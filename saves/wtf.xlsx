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N59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ES1" s="3" t="inlineStr">
        <is>
          <t>Carbohydrates</t>
        </is>
      </c>
      <c r="ET1" s="4" t="inlineStr">
        <is>
          <t>Minerals</t>
        </is>
      </c>
      <c r="EY1" s="5" t="inlineStr">
        <is>
          <t>Vitamins and Other Components</t>
        </is>
      </c>
      <c r="GB1" s="6" t="inlineStr">
        <is>
          <t>Lipids</t>
        </is>
      </c>
      <c r="GE1" s="7" t="inlineStr">
        <is>
          <t>Nutrientes</t>
        </is>
      </c>
      <c r="HX1" s="7" t="inlineStr">
        <is>
          <t>Vitamin A</t>
        </is>
      </c>
      <c r="HY1" s="7" t="inlineStr">
        <is>
          <t>Phytosterols</t>
        </is>
      </c>
      <c r="IG1" s="7" t="inlineStr">
        <is>
          <t>Oligosaccharides</t>
        </is>
      </c>
      <c r="IJ1" s="7" t="inlineStr">
        <is>
          <t>Isoflavones</t>
        </is>
      </c>
    </row>
    <row r="2">
      <c r="A2" s="7" t="inlineStr">
        <is>
          <t>FDC ID</t>
        </is>
      </c>
      <c r="B2" s="7" t="inlineStr">
        <is>
          <t>Ingrediente</t>
        </is>
      </c>
      <c r="C2" s="7" t="inlineStr">
        <is>
          <t>Marca / Origen</t>
        </is>
      </c>
      <c r="D2" s="7" t="inlineStr">
        <is>
          <t>Tipo de dato</t>
        </is>
      </c>
      <c r="E2" s="7" t="inlineStr">
        <is>
          <t>Cantidad (g)</t>
        </is>
      </c>
      <c r="F2" s="7" t="inlineStr">
        <is>
          <t>Cantidad (%)</t>
        </is>
      </c>
      <c r="G2" s="2" t="inlineStr">
        <is>
          <t>Water (g)</t>
        </is>
      </c>
      <c r="H2" s="2" t="inlineStr">
        <is>
          <t>Calcium, Ca (mg)</t>
        </is>
      </c>
      <c r="I2" s="2" t="inlineStr">
        <is>
          <t>Fatty acids, total monounsaturated (g)</t>
        </is>
      </c>
      <c r="J2" s="2" t="inlineStr">
        <is>
          <t>Fatty acids, total polyunsaturated (g)</t>
        </is>
      </c>
      <c r="K2" s="2" t="inlineStr">
        <is>
          <t>Fatty acids, total trans-polyenoic (g)</t>
        </is>
      </c>
      <c r="L2" s="2" t="inlineStr">
        <is>
          <t>MUFA 16:1 c (g)</t>
        </is>
      </c>
      <c r="M2" s="2" t="inlineStr">
        <is>
          <t>Potassium, K (mg)</t>
        </is>
      </c>
      <c r="N2" s="2" t="inlineStr">
        <is>
          <t>PUFA 18:2 CLAs (g)</t>
        </is>
      </c>
      <c r="O2" s="2" t="inlineStr">
        <is>
          <t>PUFA 18:3 n-6 c,c,c (g)</t>
        </is>
      </c>
      <c r="P2" s="2" t="inlineStr">
        <is>
          <t>PUFA 18:4 (g)</t>
        </is>
      </c>
      <c r="Q2" s="2" t="inlineStr">
        <is>
          <t>PUFA 20:2 n-6 c,c (g)</t>
        </is>
      </c>
      <c r="R2" s="2" t="inlineStr">
        <is>
          <t>PUFA 20:3 n-6 (g)</t>
        </is>
      </c>
      <c r="S2" s="2" t="inlineStr">
        <is>
          <t>PUFA 20:4 (g)</t>
        </is>
      </c>
      <c r="T2" s="2" t="inlineStr">
        <is>
          <t>Selenium, Se (ug)</t>
        </is>
      </c>
      <c r="U2" s="2" t="inlineStr">
        <is>
          <t>SFA 10:0 (g)</t>
        </is>
      </c>
      <c r="V2" s="2" t="inlineStr">
        <is>
          <t>SFA 15:0 (g)</t>
        </is>
      </c>
      <c r="W2" s="2" t="inlineStr">
        <is>
          <t>SFA 16:0 (g)</t>
        </is>
      </c>
      <c r="X2" s="2" t="inlineStr">
        <is>
          <t>SFA 18:0 (g)</t>
        </is>
      </c>
      <c r="Y2" s="2" t="inlineStr">
        <is>
          <t>SFA 20:0 (g)</t>
        </is>
      </c>
      <c r="Z2" s="2" t="inlineStr">
        <is>
          <t>SFA 4:0 (g)</t>
        </is>
      </c>
      <c r="AA2" s="2" t="inlineStr">
        <is>
          <t>SFA 6:0 (g)</t>
        </is>
      </c>
      <c r="AB2" s="2" t="inlineStr">
        <is>
          <t>TFA 18:1 t (g)</t>
        </is>
      </c>
      <c r="AC2" s="2" t="inlineStr">
        <is>
          <t>TFA 18:2 t not further defined (g)</t>
        </is>
      </c>
      <c r="AD2" s="2" t="inlineStr">
        <is>
          <t>TFA 22:1 t (g)</t>
        </is>
      </c>
      <c r="AE2" s="2" t="inlineStr">
        <is>
          <t>Zinc, Zn (mg)</t>
        </is>
      </c>
      <c r="AF2" s="2" t="inlineStr">
        <is>
          <t>Carbohydrate, by difference (g)</t>
        </is>
      </c>
      <c r="AG2" s="2" t="inlineStr">
        <is>
          <t>Niacin (mg)</t>
        </is>
      </c>
      <c r="AH2" s="2" t="inlineStr">
        <is>
          <t>Pantothenic acid (mg)</t>
        </is>
      </c>
      <c r="AI2" s="2" t="inlineStr">
        <is>
          <t>Thiamin (mg)</t>
        </is>
      </c>
      <c r="AJ2" s="2" t="inlineStr">
        <is>
          <t>Total fat (NLEA) (g)</t>
        </is>
      </c>
      <c r="AK2" s="2" t="inlineStr">
        <is>
          <t>Total lipid (fat) (g)</t>
        </is>
      </c>
      <c r="AL2" s="2" t="inlineStr">
        <is>
          <t>Vitamin B-6 (mg)</t>
        </is>
      </c>
      <c r="AM2" s="2" t="inlineStr">
        <is>
          <t>Vitamin E (alpha-tocopherol) (mg)</t>
        </is>
      </c>
      <c r="AN2" s="2" t="inlineStr">
        <is>
          <t>Vitamin K (phylloquinone) (ug)</t>
        </is>
      </c>
      <c r="AO2" s="2" t="inlineStr">
        <is>
          <t>Alanine (g)</t>
        </is>
      </c>
      <c r="AP2" s="2" t="inlineStr">
        <is>
          <t>Arginine (g)</t>
        </is>
      </c>
      <c r="AQ2" s="2" t="inlineStr">
        <is>
          <t>Aspartic acid (g)</t>
        </is>
      </c>
      <c r="AR2" s="2" t="inlineStr">
        <is>
          <t>Cysteine (g)</t>
        </is>
      </c>
      <c r="AS2" s="2" t="inlineStr">
        <is>
          <t>Glutamic acid (g)</t>
        </is>
      </c>
      <c r="AT2" s="2" t="inlineStr">
        <is>
          <t>Glycine (g)</t>
        </is>
      </c>
      <c r="AU2" s="2" t="inlineStr">
        <is>
          <t>Histidine (g)</t>
        </is>
      </c>
      <c r="AV2" s="2" t="inlineStr">
        <is>
          <t>Isoleucine (g)</t>
        </is>
      </c>
      <c r="AW2" s="2" t="inlineStr">
        <is>
          <t>Leucine (g)</t>
        </is>
      </c>
      <c r="AX2" s="2" t="inlineStr">
        <is>
          <t>Lysine (g)</t>
        </is>
      </c>
      <c r="AY2" s="2" t="inlineStr">
        <is>
          <t>Methionine (g)</t>
        </is>
      </c>
      <c r="AZ2" s="2" t="inlineStr">
        <is>
          <t>MUFA 14:1 c (g)</t>
        </is>
      </c>
      <c r="BA2" s="2" t="inlineStr">
        <is>
          <t>MUFA 20:1 c (g)</t>
        </is>
      </c>
      <c r="BB2" s="2" t="inlineStr">
        <is>
          <t>MUFA 22:1 n-9 (g)</t>
        </is>
      </c>
      <c r="BC2" s="2" t="inlineStr">
        <is>
          <t>Nitrogen (g)</t>
        </is>
      </c>
      <c r="BD2" s="2" t="inlineStr">
        <is>
          <t>Phenylalanine (g)</t>
        </is>
      </c>
      <c r="BE2" s="2" t="inlineStr">
        <is>
          <t>Proline (g)</t>
        </is>
      </c>
      <c r="BF2" s="2" t="inlineStr">
        <is>
          <t>PUFA 20:3 n-9 (g)</t>
        </is>
      </c>
      <c r="BG2" s="2" t="inlineStr">
        <is>
          <t>PUFA 22:2 (g)</t>
        </is>
      </c>
      <c r="BH2" s="2" t="inlineStr">
        <is>
          <t>Serine (g)</t>
        </is>
      </c>
      <c r="BI2" s="2" t="inlineStr">
        <is>
          <t>SFA 11:0 (g)</t>
        </is>
      </c>
      <c r="BJ2" s="2" t="inlineStr">
        <is>
          <t>TFA 18:3 t (g)</t>
        </is>
      </c>
      <c r="BK2" s="2" t="inlineStr">
        <is>
          <t>Threonine (g)</t>
        </is>
      </c>
      <c r="BL2" s="2" t="inlineStr">
        <is>
          <t>Tocopherol, beta (mg)</t>
        </is>
      </c>
      <c r="BM2" s="2" t="inlineStr">
        <is>
          <t>Tocopherol, delta (mg)</t>
        </is>
      </c>
      <c r="BN2" s="2" t="inlineStr">
        <is>
          <t>Tocopherol, gamma (mg)</t>
        </is>
      </c>
      <c r="BO2" s="2" t="inlineStr">
        <is>
          <t>Tocotrienol, alpha (mg)</t>
        </is>
      </c>
      <c r="BP2" s="2" t="inlineStr">
        <is>
          <t>Tocotrienol, beta (mg)</t>
        </is>
      </c>
      <c r="BQ2" s="2" t="inlineStr">
        <is>
          <t>Tocotrienol, delta (mg)</t>
        </is>
      </c>
      <c r="BR2" s="2" t="inlineStr">
        <is>
          <t>Tocotrienol, gamma (mg)</t>
        </is>
      </c>
      <c r="BS2" s="2" t="inlineStr">
        <is>
          <t>Tryptophan (g)</t>
        </is>
      </c>
      <c r="BT2" s="2" t="inlineStr">
        <is>
          <t>Tyrosine (g)</t>
        </is>
      </c>
      <c r="BU2" s="2" t="inlineStr">
        <is>
          <t>Valine (g)</t>
        </is>
      </c>
      <c r="BV2" s="2" t="inlineStr">
        <is>
          <t>Vitamin K (Dihydrophylloquinone) (ug)</t>
        </is>
      </c>
      <c r="BW2" s="2" t="inlineStr">
        <is>
          <t>Vitamin K (Menaquinone-4) (ug)</t>
        </is>
      </c>
      <c r="BX2" s="2" t="inlineStr">
        <is>
          <t>Fatty acids, total trans-dienoic (g)</t>
        </is>
      </c>
      <c r="BY2" s="2" t="inlineStr">
        <is>
          <t>MUFA 17:1 c (g)</t>
        </is>
      </c>
      <c r="BZ2" s="2" t="inlineStr">
        <is>
          <t>PUFA 18:2 c (g)</t>
        </is>
      </c>
      <c r="CA2" s="2" t="inlineStr">
        <is>
          <t>PUFA 18:3 c (g)</t>
        </is>
      </c>
      <c r="CB2" s="2" t="inlineStr">
        <is>
          <t>PUFA 20:2 c (g)</t>
        </is>
      </c>
      <c r="CC2" s="2" t="inlineStr">
        <is>
          <t>PUFA 20:3 c (g)</t>
        </is>
      </c>
      <c r="CD2" s="2" t="inlineStr">
        <is>
          <t>PUFA 20:4c (g)</t>
        </is>
      </c>
      <c r="CE2" s="2" t="inlineStr">
        <is>
          <t>PUFA 20:5c (g)</t>
        </is>
      </c>
      <c r="CF2" s="2" t="inlineStr">
        <is>
          <t>PUFA 22:5 c (g)</t>
        </is>
      </c>
      <c r="CG2" s="2" t="inlineStr">
        <is>
          <t>PUFA 22:6 c (g)</t>
        </is>
      </c>
      <c r="CH2" s="2" t="inlineStr">
        <is>
          <t>Retinol (ug)</t>
        </is>
      </c>
      <c r="CI2" s="2" t="inlineStr">
        <is>
          <t>Vitamin A, RAE (ug)</t>
        </is>
      </c>
      <c r="CJ2" s="2" t="inlineStr">
        <is>
          <t>Vitamin D3 (cholecalciferol) (ug)</t>
        </is>
      </c>
      <c r="CK2" s="2" t="inlineStr">
        <is>
          <t>Vitamin D (D2 + D3) (ug)</t>
        </is>
      </c>
      <c r="CL2" s="2" t="inlineStr">
        <is>
          <t>Carotene, beta (ug)</t>
        </is>
      </c>
      <c r="CM2" s="2" t="inlineStr">
        <is>
          <t>Fructose (g)</t>
        </is>
      </c>
      <c r="CN2" s="2" t="inlineStr">
        <is>
          <t>Galactose (g)</t>
        </is>
      </c>
      <c r="CO2" s="2" t="inlineStr">
        <is>
          <t>Glucose (g)</t>
        </is>
      </c>
      <c r="CP2" s="2" t="inlineStr">
        <is>
          <t>Lactose (g)</t>
        </is>
      </c>
      <c r="CQ2" s="2" t="inlineStr">
        <is>
          <t>Maltose (g)</t>
        </is>
      </c>
      <c r="CR2" s="2" t="inlineStr">
        <is>
          <t>Sucrose (g)</t>
        </is>
      </c>
      <c r="CS2" s="2" t="inlineStr">
        <is>
          <t>Vitamin D (D2 + D3), International Units (iu)</t>
        </is>
      </c>
      <c r="CT2" s="2" t="inlineStr">
        <is>
          <t>Carotene, alpha (ug)</t>
        </is>
      </c>
      <c r="CU2" s="2" t="inlineStr">
        <is>
          <t>Cryptoxanthin, beta (ug)</t>
        </is>
      </c>
      <c r="CV2" s="2" t="inlineStr">
        <is>
          <t>Lycopene (ug)</t>
        </is>
      </c>
      <c r="CW2" s="2" t="inlineStr">
        <is>
          <t>25-hydroxycholecalciferol (ug)</t>
        </is>
      </c>
      <c r="CX2" s="2" t="inlineStr">
        <is>
          <t>Vitamin D2 (ergocalciferol) (ug)</t>
        </is>
      </c>
      <c r="CY2" s="2" t="inlineStr">
        <is>
          <t>Cryptoxanthin, alpha (ug)</t>
        </is>
      </c>
      <c r="CZ2" s="2" t="inlineStr">
        <is>
          <t>MUFA 12:1 (g)</t>
        </is>
      </c>
      <c r="DA2" s="2" t="inlineStr">
        <is>
          <t>MUFA 22:1 n-11 (g)</t>
        </is>
      </c>
      <c r="DB2" s="2" t="inlineStr">
        <is>
          <t>PUFA 22:3 (g)</t>
        </is>
      </c>
      <c r="DC2" s="2" t="inlineStr">
        <is>
          <t>SFA 21:0 (g)</t>
        </is>
      </c>
      <c r="DD2" s="2" t="inlineStr">
        <is>
          <t>SFA 23:0 (g)</t>
        </is>
      </c>
      <c r="DE2" s="2" t="inlineStr">
        <is>
          <t>SFA 5:0 (g)</t>
        </is>
      </c>
      <c r="DF2" s="2" t="inlineStr">
        <is>
          <t>SFA 7:0 (g)</t>
        </is>
      </c>
      <c r="DG2" s="2" t="inlineStr">
        <is>
          <t>SFA 9:0 (g)</t>
        </is>
      </c>
      <c r="DH2" s="2" t="inlineStr">
        <is>
          <t>TFA 14:1 t (g)</t>
        </is>
      </c>
      <c r="DI2" s="2" t="inlineStr">
        <is>
          <t>TFA 20:1 t (g)</t>
        </is>
      </c>
      <c r="DJ2" s="2" t="inlineStr">
        <is>
          <t>cis-beta-Carotene (ug)</t>
        </is>
      </c>
      <c r="DK2" s="2" t="inlineStr">
        <is>
          <t>cis-Lutein/Zeaxanthin (ug)</t>
        </is>
      </c>
      <c r="DL2" s="2" t="inlineStr">
        <is>
          <t>cis-Lycopene (ug)</t>
        </is>
      </c>
      <c r="DM2" s="2" t="inlineStr">
        <is>
          <t>Lutein (ug)</t>
        </is>
      </c>
      <c r="DN2" s="2" t="inlineStr">
        <is>
          <t>trans-beta-Carotene (ug)</t>
        </is>
      </c>
      <c r="DO2" s="2" t="inlineStr">
        <is>
          <t>trans-Lycopene (ug)</t>
        </is>
      </c>
      <c r="DP2" s="2" t="inlineStr">
        <is>
          <t>Zeaxanthin (ug)</t>
        </is>
      </c>
      <c r="DQ2" s="2" t="inlineStr">
        <is>
          <t>Choline, free (mg)</t>
        </is>
      </c>
      <c r="DR2" s="2" t="inlineStr">
        <is>
          <t>Choline, from glycerophosphocholine (mg)</t>
        </is>
      </c>
      <c r="DS2" s="2" t="inlineStr">
        <is>
          <t>Choline, from phosphocholine (mg)</t>
        </is>
      </c>
      <c r="DT2" s="2" t="inlineStr">
        <is>
          <t>Choline, from phosphotidyl choline (mg)</t>
        </is>
      </c>
      <c r="DU2" s="2" t="inlineStr">
        <is>
          <t>Choline, from sphingomyelin (mg)</t>
        </is>
      </c>
      <c r="DV2" s="2" t="inlineStr">
        <is>
          <t>Iodine, I (ug)</t>
        </is>
      </c>
      <c r="DW2" s="2" t="inlineStr">
        <is>
          <t>Sugars, Total (g)</t>
        </is>
      </c>
      <c r="DX2" s="2" t="inlineStr">
        <is>
          <t>Energy (Atwater General Factors) (kcal)</t>
        </is>
      </c>
      <c r="DY2" s="2" t="inlineStr">
        <is>
          <t>Energy (Atwater Specific Factors) (kcal)</t>
        </is>
      </c>
      <c r="DZ2" s="2" t="inlineStr">
        <is>
          <t>MUFA 14:1 (g)</t>
        </is>
      </c>
      <c r="EA2" s="2" t="inlineStr">
        <is>
          <t>MUFA 16:1 (g)</t>
        </is>
      </c>
      <c r="EB2" s="2" t="inlineStr">
        <is>
          <t>MUFA 20:1 (g)</t>
        </is>
      </c>
      <c r="EC2" s="2" t="inlineStr">
        <is>
          <t>PUFA 18:3i (g)</t>
        </is>
      </c>
      <c r="ED2" s="2" t="inlineStr">
        <is>
          <t>Vitamin C, total ascorbic acid (mg)</t>
        </is>
      </c>
      <c r="EE2" s="2" t="inlineStr">
        <is>
          <t>Fiber, total dietary (g)</t>
        </is>
      </c>
      <c r="EF2" s="2" t="inlineStr">
        <is>
          <t>Lutein + zeaxanthin (ug)</t>
        </is>
      </c>
      <c r="EG2" s="2" t="inlineStr">
        <is>
          <t>MUFA 18:1 (g)</t>
        </is>
      </c>
      <c r="EH2" s="2" t="inlineStr">
        <is>
          <t>MUFA 22:1 (g)</t>
        </is>
      </c>
      <c r="EI2" s="2" t="inlineStr">
        <is>
          <t>PUFA 18:2 (g)</t>
        </is>
      </c>
      <c r="EJ2" s="2" t="inlineStr">
        <is>
          <t>PUFA 18:3 (g)</t>
        </is>
      </c>
      <c r="EK2" s="2" t="inlineStr">
        <is>
          <t>PUFA 20:3 (g)</t>
        </is>
      </c>
      <c r="EL2" s="2" t="inlineStr">
        <is>
          <t>Cystine (g)</t>
        </is>
      </c>
      <c r="EM2" s="2" t="inlineStr">
        <is>
          <t>Folate, DFE (ug)</t>
        </is>
      </c>
      <c r="EN2" s="2" t="inlineStr">
        <is>
          <t>Folate, food (ug)</t>
        </is>
      </c>
      <c r="EO2" s="2" t="inlineStr">
        <is>
          <t>Vitamin A, IU (iu)</t>
        </is>
      </c>
      <c r="EP2" s="2" t="inlineStr">
        <is>
          <t>Phytosterols (mg)</t>
        </is>
      </c>
      <c r="EQ2" s="2" t="inlineStr">
        <is>
          <t>Energy (kcal)</t>
        </is>
      </c>
      <c r="ER2" s="2" t="inlineStr">
        <is>
          <t>Energy (kJ)</t>
        </is>
      </c>
      <c r="ES2" s="3" t="inlineStr">
        <is>
          <t>Resistant starch (g)</t>
        </is>
      </c>
      <c r="ET2" s="4" t="inlineStr">
        <is>
          <t>Sugars, added (g)</t>
        </is>
      </c>
      <c r="EU2" s="4" t="inlineStr">
        <is>
          <t>Iodine, I (µg)</t>
        </is>
      </c>
      <c r="EV2" s="4" t="inlineStr">
        <is>
          <t>Selenium, Se (µg)</t>
        </is>
      </c>
      <c r="EW2" s="4" t="inlineStr">
        <is>
          <t>Fluoride, F (µg)</t>
        </is>
      </c>
      <c r="EX2" s="4" t="inlineStr">
        <is>
          <t>Molybdenum, Mo (µg)</t>
        </is>
      </c>
      <c r="EY2" s="5" t="inlineStr">
        <is>
          <t>Biotin (µg)</t>
        </is>
      </c>
      <c r="EZ2" s="5" t="inlineStr">
        <is>
          <t>Folate, total (µg)</t>
        </is>
      </c>
      <c r="FA2" s="5" t="inlineStr">
        <is>
          <t>Folic acid (µg)</t>
        </is>
      </c>
      <c r="FB2" s="5" t="inlineStr">
        <is>
          <t>Folate, food (µg)</t>
        </is>
      </c>
      <c r="FC2" s="5" t="inlineStr">
        <is>
          <t>Folate, DFE (µg)</t>
        </is>
      </c>
      <c r="FD2" s="5" t="inlineStr">
        <is>
          <t>Vitamin B-12 (µg)</t>
        </is>
      </c>
      <c r="FE2" s="5" t="inlineStr">
        <is>
          <t>Vitamin B-12, added (µg)</t>
        </is>
      </c>
      <c r="FF2" s="5" t="inlineStr">
        <is>
          <t>Vitamin A, RAE (µg)</t>
        </is>
      </c>
      <c r="FG2" s="5" t="inlineStr">
        <is>
          <t>Retinol (µg)</t>
        </is>
      </c>
      <c r="FH2" s="5" t="inlineStr">
        <is>
          <t>Carotene, beta (µg)</t>
        </is>
      </c>
      <c r="FI2" s="5" t="inlineStr">
        <is>
          <t>cis-beta-Carotene (µg)</t>
        </is>
      </c>
      <c r="FJ2" s="5" t="inlineStr">
        <is>
          <t>trans-beta-Carotene (µg)</t>
        </is>
      </c>
      <c r="FK2" s="5" t="inlineStr">
        <is>
          <t>Carotene, alpha (µg)</t>
        </is>
      </c>
      <c r="FL2" s="5" t="inlineStr">
        <is>
          <t>Carotene, gamma (µg)</t>
        </is>
      </c>
      <c r="FM2" s="5" t="inlineStr">
        <is>
          <t>Cryptoxanthin, beta (µg)</t>
        </is>
      </c>
      <c r="FN2" s="5" t="inlineStr">
        <is>
          <t>Cryptoxanthin, alpha (µg)</t>
        </is>
      </c>
      <c r="FO2" s="5" t="inlineStr">
        <is>
          <t>Lycopene (µg)</t>
        </is>
      </c>
      <c r="FP2" s="5" t="inlineStr">
        <is>
          <t>cis-Lycopene (µg)</t>
        </is>
      </c>
      <c r="FQ2" s="5" t="inlineStr">
        <is>
          <t>trans-Lycopene (µg)</t>
        </is>
      </c>
      <c r="FR2" s="5" t="inlineStr">
        <is>
          <t>Lutein + zeaxanthin (µg)</t>
        </is>
      </c>
      <c r="FS2" s="5" t="inlineStr">
        <is>
          <t>cis-Lutein/Zeaxanthin (µg)</t>
        </is>
      </c>
      <c r="FT2" s="5" t="inlineStr">
        <is>
          <t>Lutein (µg)</t>
        </is>
      </c>
      <c r="FU2" s="5" t="inlineStr">
        <is>
          <t>Zeaxanthin (µg)</t>
        </is>
      </c>
      <c r="FV2" s="5" t="inlineStr">
        <is>
          <t>Vitamin D (D2 + D3) (µg)</t>
        </is>
      </c>
      <c r="FW2" s="5" t="inlineStr">
        <is>
          <t>Vitamin D2 (ergocalciferol) (µg)</t>
        </is>
      </c>
      <c r="FX2" s="5" t="inlineStr">
        <is>
          <t>Vitamin D3 (cholecalciferol) (µg)</t>
        </is>
      </c>
      <c r="FY2" s="5" t="inlineStr">
        <is>
          <t>25-hydroxycholecalciferol (µg)</t>
        </is>
      </c>
      <c r="FZ2" s="5" t="inlineStr">
        <is>
          <t>Vitamin K (phylloquinone) (µg)</t>
        </is>
      </c>
      <c r="GA2" s="5" t="inlineStr">
        <is>
          <t>Vitamin K (Menaquinone-4) (µg)</t>
        </is>
      </c>
      <c r="GB2" s="6" t="inlineStr">
        <is>
          <t>SFA 13:0 (g)</t>
        </is>
      </c>
      <c r="GC2" s="6" t="inlineStr">
        <is>
          <t>TFA 18:2 t (g)</t>
        </is>
      </c>
      <c r="GD2" s="6" t="inlineStr">
        <is>
          <t>TFA 18:2 t,t (g)</t>
        </is>
      </c>
      <c r="GE2" s="7" t="inlineStr">
        <is>
          <t>Cholesterol (mg)</t>
        </is>
      </c>
      <c r="GF2" s="7" t="inlineStr">
        <is>
          <t>Fatty acids, total saturated (g)</t>
        </is>
      </c>
      <c r="GG2" s="7" t="inlineStr">
        <is>
          <t>Fatty acids, total trans (g)</t>
        </is>
      </c>
      <c r="GH2" s="7" t="inlineStr">
        <is>
          <t>Fatty acids, total trans-monoenoic (g)</t>
        </is>
      </c>
      <c r="GI2" s="7" t="inlineStr">
        <is>
          <t>Folate, total (ug)</t>
        </is>
      </c>
      <c r="GJ2" s="7" t="inlineStr">
        <is>
          <t>MUFA 15:1 (g)</t>
        </is>
      </c>
      <c r="GK2" s="7" t="inlineStr">
        <is>
          <t>MUFA 17:1 (g)</t>
        </is>
      </c>
      <c r="GL2" s="7" t="inlineStr">
        <is>
          <t>MUFA 18:1 c (g)</t>
        </is>
      </c>
      <c r="GM2" s="7" t="inlineStr">
        <is>
          <t>MUFA 22:1 c (g)</t>
        </is>
      </c>
      <c r="GN2" s="7" t="inlineStr">
        <is>
          <t>MUFA 24:1 c (g)</t>
        </is>
      </c>
      <c r="GO2" s="7" t="inlineStr">
        <is>
          <t>PUFA 18:2 n-6 c,c (g)</t>
        </is>
      </c>
      <c r="GP2" s="7" t="inlineStr">
        <is>
          <t>PUFA 18:3 n-3 c,c,c (ALA) (g)</t>
        </is>
      </c>
      <c r="GQ2" s="7" t="inlineStr">
        <is>
          <t>PUFA 20:3 n-3 (g)</t>
        </is>
      </c>
      <c r="GR2" s="7" t="inlineStr">
        <is>
          <t>PUFA 20:5 n-3 (EPA) (g)</t>
        </is>
      </c>
      <c r="GS2" s="7" t="inlineStr">
        <is>
          <t>PUFA 22:4 (g)</t>
        </is>
      </c>
      <c r="GT2" s="7" t="inlineStr">
        <is>
          <t>PUFA 22:5 n-3 (DPA) (g)</t>
        </is>
      </c>
      <c r="GU2" s="7" t="inlineStr">
        <is>
          <t>PUFA 22:6 n-3 (DHA) (g)</t>
        </is>
      </c>
      <c r="GV2" s="7" t="inlineStr">
        <is>
          <t>Riboflavin (mg)</t>
        </is>
      </c>
      <c r="GW2" s="7" t="inlineStr">
        <is>
          <t>SFA 12:0 (g)</t>
        </is>
      </c>
      <c r="GX2" s="7" t="inlineStr">
        <is>
          <t>SFA 14:0 (g)</t>
        </is>
      </c>
      <c r="GY2" s="7" t="inlineStr">
        <is>
          <t>SFA 17:0 (g)</t>
        </is>
      </c>
      <c r="GZ2" s="7" t="inlineStr">
        <is>
          <t>SFA 22:0 (g)</t>
        </is>
      </c>
      <c r="HA2" s="7" t="inlineStr">
        <is>
          <t>SFA 24:0 (g)</t>
        </is>
      </c>
      <c r="HB2" s="7" t="inlineStr">
        <is>
          <t>SFA 8:0 (g)</t>
        </is>
      </c>
      <c r="HC2" s="7" t="inlineStr">
        <is>
          <t>TFA 16:1 t (g)</t>
        </is>
      </c>
      <c r="HD2" s="7" t="inlineStr">
        <is>
          <t>Vitamin B-12 (ug)</t>
        </is>
      </c>
      <c r="HE2" s="7" t="inlineStr">
        <is>
          <t>Ash (g)</t>
        </is>
      </c>
      <c r="HF2" s="7" t="inlineStr">
        <is>
          <t>Copper, Cu (mg)</t>
        </is>
      </c>
      <c r="HG2" s="7" t="inlineStr">
        <is>
          <t>Hydroxyproline (g)</t>
        </is>
      </c>
      <c r="HH2" s="7" t="inlineStr">
        <is>
          <t>Iron, Fe (mg)</t>
        </is>
      </c>
      <c r="HI2" s="7" t="inlineStr">
        <is>
          <t>Magnesium, Mg (mg)</t>
        </is>
      </c>
      <c r="HJ2" s="7" t="inlineStr">
        <is>
          <t>Manganese, Mn (mg)</t>
        </is>
      </c>
      <c r="HK2" s="7" t="inlineStr">
        <is>
          <t>Phosphorus, P (mg)</t>
        </is>
      </c>
      <c r="HL2" s="7" t="inlineStr">
        <is>
          <t>Protein (g)</t>
        </is>
      </c>
      <c r="HM2" s="7" t="inlineStr">
        <is>
          <t>Sodium, Na (mg)</t>
        </is>
      </c>
      <c r="HN2" s="7" t="inlineStr">
        <is>
          <t>Betaine (mg)</t>
        </is>
      </c>
      <c r="HO2" s="7" t="inlineStr">
        <is>
          <t>Choline, total (mg)</t>
        </is>
      </c>
      <c r="HP2" s="7" t="inlineStr">
        <is>
          <t>Starch (g)</t>
        </is>
      </c>
      <c r="HQ2" s="7" t="inlineStr">
        <is>
          <t>Folic acid (ug)</t>
        </is>
      </c>
      <c r="HR2" s="7" t="inlineStr">
        <is>
          <t>Vitamin B-12, added (ug)</t>
        </is>
      </c>
      <c r="HS2" s="7" t="inlineStr">
        <is>
          <t>Alcohol, ethyl (g)</t>
        </is>
      </c>
      <c r="HT2" s="7" t="inlineStr">
        <is>
          <t>Caffeine (mg)</t>
        </is>
      </c>
      <c r="HU2" s="7" t="inlineStr">
        <is>
          <t>Theobromine (mg)</t>
        </is>
      </c>
      <c r="HV2" s="7" t="inlineStr">
        <is>
          <t>Vitamin E, added (mg)</t>
        </is>
      </c>
      <c r="HW2" s="7" t="inlineStr">
        <is>
          <t>Fluoride, F (ug)</t>
        </is>
      </c>
      <c r="HX2" s="7" t="inlineStr">
        <is>
          <t>Vitamin K (Dihydrophylloquinone) (µg)</t>
        </is>
      </c>
      <c r="HY2" s="7" t="inlineStr">
        <is>
          <t>Stigmasterol (mg)</t>
        </is>
      </c>
      <c r="HZ2" s="7" t="inlineStr">
        <is>
          <t>Campesterol (mg)</t>
        </is>
      </c>
      <c r="IA2" s="7" t="inlineStr">
        <is>
          <t>Brassicasterol (mg)</t>
        </is>
      </c>
      <c r="IB2" s="7" t="inlineStr">
        <is>
          <t>Beta-sitosterol (mg)</t>
        </is>
      </c>
      <c r="IC2" s="7" t="inlineStr">
        <is>
          <t>Campestanol (mg)</t>
        </is>
      </c>
      <c r="ID2" s="7" t="inlineStr">
        <is>
          <t>Beta-sitostanol (mg)</t>
        </is>
      </c>
      <c r="IE2" s="7" t="inlineStr">
        <is>
          <t>Delta-5-avenasterol (mg)</t>
        </is>
      </c>
      <c r="IF2" s="7" t="inlineStr">
        <is>
          <t>Phytosterols, other (mg)</t>
        </is>
      </c>
      <c r="IG2" s="7" t="inlineStr">
        <is>
          <t>Raffinose (g)</t>
        </is>
      </c>
      <c r="IH2" s="7" t="inlineStr">
        <is>
          <t>Stachyose (g)</t>
        </is>
      </c>
      <c r="II2" s="7" t="inlineStr">
        <is>
          <t>Verbascose (g)</t>
        </is>
      </c>
      <c r="IJ2" s="7" t="inlineStr">
        <is>
          <t>Daidzein (mg)</t>
        </is>
      </c>
      <c r="IK2" s="7" t="inlineStr">
        <is>
          <t>Genistein (mg)</t>
        </is>
      </c>
      <c r="IL2" s="7" t="inlineStr">
        <is>
          <t>Daidzin (mg)</t>
        </is>
      </c>
      <c r="IM2" s="7" t="inlineStr">
        <is>
          <t>Genistin (mg)</t>
        </is>
      </c>
      <c r="IN2" s="7" t="inlineStr">
        <is>
          <t>Glycitin (mg)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8" t="n">
        <v>150</v>
      </c>
      <c r="F3" s="9">
        <f>E3/SUM($E$3:$E$58)</f>
        <v/>
      </c>
      <c r="G3" t="n">
        <v>75.8</v>
      </c>
      <c r="H3" t="n">
        <v>48</v>
      </c>
      <c r="I3" t="n">
        <v>3.63</v>
      </c>
      <c r="J3" t="n">
        <v>1.82</v>
      </c>
      <c r="L3" t="n">
        <v>0.238</v>
      </c>
      <c r="M3" t="n">
        <v>132</v>
      </c>
      <c r="O3" t="n">
        <v>0.011</v>
      </c>
      <c r="R3" t="n">
        <v>0.02</v>
      </c>
      <c r="W3" t="n">
        <v>2.32</v>
      </c>
      <c r="X3" t="n">
        <v>0.8129999999999999</v>
      </c>
      <c r="AE3" t="n">
        <v>1.24</v>
      </c>
      <c r="AF3" t="n">
        <v>0.96</v>
      </c>
      <c r="AG3" t="n">
        <v>0</v>
      </c>
      <c r="AI3" t="n">
        <v>0.077</v>
      </c>
      <c r="AJ3" t="n">
        <v>8.65</v>
      </c>
      <c r="AK3" t="n">
        <v>9.960000000000001</v>
      </c>
      <c r="AL3" t="n">
        <v>0.063</v>
      </c>
      <c r="AO3" t="n">
        <v>0.667</v>
      </c>
      <c r="AP3" t="n">
        <v>0.787</v>
      </c>
      <c r="AQ3" t="n">
        <v>1.27</v>
      </c>
      <c r="AR3" t="n">
        <v>0.385</v>
      </c>
      <c r="AS3" t="n">
        <v>1.63</v>
      </c>
      <c r="AT3" t="n">
        <v>0.408</v>
      </c>
      <c r="AU3" t="n">
        <v>0.283</v>
      </c>
      <c r="AV3" t="n">
        <v>0.616</v>
      </c>
      <c r="AW3" t="n">
        <v>1.05</v>
      </c>
      <c r="AX3" t="n">
        <v>0.832</v>
      </c>
      <c r="AY3" t="n">
        <v>0.418</v>
      </c>
      <c r="BC3" t="n">
        <v>1.99</v>
      </c>
      <c r="BD3" t="n">
        <v>0.66</v>
      </c>
      <c r="BE3" t="n">
        <v>0.5600000000000001</v>
      </c>
      <c r="BH3" t="n">
        <v>0.919</v>
      </c>
      <c r="BK3" t="n">
        <v>0.594</v>
      </c>
      <c r="BS3" t="n">
        <v>0.166</v>
      </c>
      <c r="BT3" t="n">
        <v>0.512</v>
      </c>
      <c r="BU3" t="n">
        <v>0.734</v>
      </c>
      <c r="BZ3" t="n">
        <v>1.46</v>
      </c>
      <c r="CA3" t="n">
        <v>0.011</v>
      </c>
      <c r="CC3" t="n">
        <v>0.02</v>
      </c>
      <c r="CM3" t="n">
        <v>0</v>
      </c>
      <c r="CO3" t="n">
        <v>0.2</v>
      </c>
      <c r="CP3" t="n">
        <v>0</v>
      </c>
      <c r="CQ3" t="n">
        <v>0</v>
      </c>
      <c r="CR3" t="n">
        <v>0</v>
      </c>
      <c r="CS3" t="n">
        <v>98.40000000000001</v>
      </c>
      <c r="DQ3" t="n">
        <v>0.6</v>
      </c>
      <c r="DR3" t="n">
        <v>0.2</v>
      </c>
      <c r="DS3" t="n">
        <v>309</v>
      </c>
      <c r="DT3" t="n">
        <v>0.2</v>
      </c>
      <c r="DU3" t="n">
        <v>25.1</v>
      </c>
      <c r="DW3" t="n">
        <v>0.2</v>
      </c>
      <c r="EE3" t="n">
        <v>0</v>
      </c>
      <c r="EQ3" t="n">
        <v>143.08</v>
      </c>
      <c r="ER3" t="n">
        <v>598.6467200000001</v>
      </c>
      <c r="EU3" t="n">
        <v>49.1</v>
      </c>
      <c r="EV3" t="n">
        <v>31.1</v>
      </c>
      <c r="EZ3" t="n">
        <v>71</v>
      </c>
      <c r="FD3" t="n">
        <v>1.02</v>
      </c>
      <c r="FF3" t="n">
        <v>180</v>
      </c>
      <c r="FG3" t="n">
        <v>179</v>
      </c>
      <c r="FH3" t="n">
        <v>0</v>
      </c>
      <c r="FI3" t="n">
        <v>0</v>
      </c>
      <c r="FJ3" t="n">
        <v>0</v>
      </c>
      <c r="FK3" t="n">
        <v>0</v>
      </c>
      <c r="FM3" t="n">
        <v>13</v>
      </c>
      <c r="FN3" t="n">
        <v>13</v>
      </c>
      <c r="FO3" t="n">
        <v>0</v>
      </c>
      <c r="FP3" t="n">
        <v>0</v>
      </c>
      <c r="FQ3" t="n">
        <v>0</v>
      </c>
      <c r="FS3" t="n">
        <v>57</v>
      </c>
      <c r="FT3" t="n">
        <v>230</v>
      </c>
      <c r="FU3" t="n">
        <v>229</v>
      </c>
      <c r="FV3" t="n">
        <v>2.46</v>
      </c>
      <c r="FW3" t="n">
        <v>0</v>
      </c>
      <c r="FX3" t="n">
        <v>2.46</v>
      </c>
      <c r="FY3" t="n">
        <v>0.5600000000000001</v>
      </c>
      <c r="GE3" t="n">
        <v>411</v>
      </c>
      <c r="GF3" t="n">
        <v>3.2</v>
      </c>
      <c r="GL3" t="n">
        <v>3.35</v>
      </c>
      <c r="GO3" t="n">
        <v>1.46</v>
      </c>
      <c r="GV3" t="n">
        <v>0.419</v>
      </c>
      <c r="GX3" t="n">
        <v>0.032</v>
      </c>
      <c r="HE3" t="n">
        <v>0.85</v>
      </c>
      <c r="HF3" t="n">
        <v>0</v>
      </c>
      <c r="HG3" t="n">
        <v>0</v>
      </c>
      <c r="HH3" t="n">
        <v>1.67</v>
      </c>
      <c r="HI3" t="n">
        <v>11.4</v>
      </c>
      <c r="HJ3" t="n">
        <v>0</v>
      </c>
      <c r="HK3" t="n">
        <v>184</v>
      </c>
      <c r="HL3" t="n">
        <v>12.4</v>
      </c>
      <c r="HM3" t="n">
        <v>129</v>
      </c>
      <c r="HN3" t="n">
        <v>0.3</v>
      </c>
      <c r="HO3" t="n">
        <v>335</v>
      </c>
      <c r="HP3" t="n">
        <v>0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8" t="n">
        <v>116.4730390055723</v>
      </c>
      <c r="F4" s="9">
        <f>E4/SUM($E$3:$E$58)</f>
        <v/>
      </c>
      <c r="G4" t="n">
        <v>99.98</v>
      </c>
      <c r="H4" t="n">
        <v>10</v>
      </c>
      <c r="I4" t="n">
        <v>0</v>
      </c>
      <c r="J4" t="n">
        <v>0</v>
      </c>
      <c r="M4" t="n">
        <v>0</v>
      </c>
      <c r="P4" t="n">
        <v>0</v>
      </c>
      <c r="S4" t="n">
        <v>0</v>
      </c>
      <c r="U4" t="n">
        <v>0</v>
      </c>
      <c r="W4" t="n">
        <v>0</v>
      </c>
      <c r="X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CS4" t="n">
        <v>0</v>
      </c>
      <c r="DW4" t="n">
        <v>0</v>
      </c>
      <c r="EA4" t="n">
        <v>0</v>
      </c>
      <c r="EB4" t="n">
        <v>0</v>
      </c>
      <c r="ED4" t="n">
        <v>0</v>
      </c>
      <c r="EE4" t="n">
        <v>0</v>
      </c>
      <c r="EG4" t="n">
        <v>0</v>
      </c>
      <c r="EH4" t="n">
        <v>0</v>
      </c>
      <c r="EI4" t="n">
        <v>0</v>
      </c>
      <c r="EJ4" t="n">
        <v>0</v>
      </c>
      <c r="EO4" t="n">
        <v>0</v>
      </c>
      <c r="EQ4" t="n">
        <v>0</v>
      </c>
      <c r="ER4" t="n">
        <v>0</v>
      </c>
      <c r="EV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K4" t="n">
        <v>0</v>
      </c>
      <c r="FM4" t="n">
        <v>0</v>
      </c>
      <c r="FO4" t="n">
        <v>0</v>
      </c>
      <c r="FR4" t="n">
        <v>0</v>
      </c>
      <c r="FV4" t="n">
        <v>0</v>
      </c>
      <c r="FZ4" t="n">
        <v>0</v>
      </c>
      <c r="GE4" t="n">
        <v>0</v>
      </c>
      <c r="GF4" t="n">
        <v>0</v>
      </c>
      <c r="GG4" t="n">
        <v>0</v>
      </c>
      <c r="GR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HB4" t="n">
        <v>0</v>
      </c>
      <c r="HE4" t="n">
        <v>0.07000000000000001</v>
      </c>
      <c r="HF4" t="n">
        <v>0.007</v>
      </c>
      <c r="HH4" t="n">
        <v>0</v>
      </c>
      <c r="HI4" t="n">
        <v>2</v>
      </c>
      <c r="HK4" t="n">
        <v>0</v>
      </c>
      <c r="HL4" t="n">
        <v>0</v>
      </c>
      <c r="HM4" t="n">
        <v>2</v>
      </c>
      <c r="HO4" t="n">
        <v>0</v>
      </c>
      <c r="HS4" t="n">
        <v>0</v>
      </c>
      <c r="HT4" t="n">
        <v>0</v>
      </c>
      <c r="HU4" t="n">
        <v>0</v>
      </c>
      <c r="HV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8" t="n">
        <v>39.66666666666669</v>
      </c>
      <c r="F5" s="9">
        <f>E5/SUM($E$3:$E$58)</f>
        <v/>
      </c>
      <c r="G5" t="n">
        <v>10.58</v>
      </c>
      <c r="H5" t="n">
        <v>1002</v>
      </c>
      <c r="I5" t="n">
        <v>0.246</v>
      </c>
      <c r="J5" t="n">
        <v>0.068</v>
      </c>
      <c r="M5" t="n">
        <v>431</v>
      </c>
      <c r="O5" t="n">
        <v>0</v>
      </c>
      <c r="P5" t="n">
        <v>0</v>
      </c>
      <c r="Q5" t="n">
        <v>0</v>
      </c>
      <c r="S5" t="n">
        <v>0</v>
      </c>
      <c r="U5" t="n">
        <v>0.003</v>
      </c>
      <c r="V5" t="n">
        <v>0</v>
      </c>
      <c r="W5" t="n">
        <v>0.104</v>
      </c>
      <c r="X5" t="n">
        <v>0.082</v>
      </c>
      <c r="Y5" t="n">
        <v>0</v>
      </c>
      <c r="Z5" t="n">
        <v>0</v>
      </c>
      <c r="AA5" t="n">
        <v>0</v>
      </c>
      <c r="AB5" t="n">
        <v>0</v>
      </c>
      <c r="AE5" t="n">
        <v>1.83</v>
      </c>
      <c r="AF5" t="n">
        <v>80.59</v>
      </c>
      <c r="AG5" t="n">
        <v>1.332</v>
      </c>
      <c r="AH5" t="n">
        <v>0.358</v>
      </c>
      <c r="AI5" t="n">
        <v>0.022</v>
      </c>
      <c r="AJ5" t="n">
        <v>1.24</v>
      </c>
      <c r="AK5" t="n">
        <v>1.24</v>
      </c>
      <c r="AL5" t="n">
        <v>0.158</v>
      </c>
      <c r="AM5" t="n">
        <v>2.32</v>
      </c>
      <c r="AO5" t="n">
        <v>0.166</v>
      </c>
      <c r="AP5" t="n">
        <v>0.166</v>
      </c>
      <c r="AQ5" t="n">
        <v>0.438</v>
      </c>
      <c r="AS5" t="n">
        <v>0.37</v>
      </c>
      <c r="AT5" t="n">
        <v>0.195</v>
      </c>
      <c r="AU5" t="n">
        <v>0.117</v>
      </c>
      <c r="AV5" t="n">
        <v>0.146</v>
      </c>
      <c r="AW5" t="n">
        <v>0.253</v>
      </c>
      <c r="AX5" t="n">
        <v>0.243</v>
      </c>
      <c r="AY5" t="n">
        <v>0.078</v>
      </c>
      <c r="BD5" t="n">
        <v>0.146</v>
      </c>
      <c r="BE5" t="n">
        <v>0.419</v>
      </c>
      <c r="BH5" t="n">
        <v>0.195</v>
      </c>
      <c r="BK5" t="n">
        <v>0.136</v>
      </c>
      <c r="BL5" t="n">
        <v>0</v>
      </c>
      <c r="BM5" t="n">
        <v>0.26</v>
      </c>
      <c r="BN5" t="n">
        <v>10.44</v>
      </c>
      <c r="BO5" t="n">
        <v>0</v>
      </c>
      <c r="BP5" t="n">
        <v>0</v>
      </c>
      <c r="BQ5" t="n">
        <v>0</v>
      </c>
      <c r="BR5" t="n">
        <v>0</v>
      </c>
      <c r="BS5" t="n">
        <v>0.049</v>
      </c>
      <c r="BT5" t="n">
        <v>0.136</v>
      </c>
      <c r="BU5" t="n">
        <v>0.224</v>
      </c>
      <c r="CM5" t="n">
        <v>1.11</v>
      </c>
      <c r="CN5" t="n">
        <v>0</v>
      </c>
      <c r="CO5" t="n">
        <v>1.04</v>
      </c>
      <c r="CP5" t="n">
        <v>0</v>
      </c>
      <c r="CQ5" t="n">
        <v>0</v>
      </c>
      <c r="CR5" t="n">
        <v>0.02</v>
      </c>
      <c r="CS5" t="n">
        <v>0</v>
      </c>
      <c r="DW5" t="n">
        <v>2.17</v>
      </c>
      <c r="DZ5" t="n">
        <v>0</v>
      </c>
      <c r="EA5" t="n">
        <v>0.001</v>
      </c>
      <c r="EB5" t="n">
        <v>0</v>
      </c>
      <c r="ED5" t="n">
        <v>3.8</v>
      </c>
      <c r="EE5" t="n">
        <v>53.1</v>
      </c>
      <c r="EG5" t="n">
        <v>0.246</v>
      </c>
      <c r="EH5" t="n">
        <v>0</v>
      </c>
      <c r="EI5" t="n">
        <v>0.044</v>
      </c>
      <c r="EJ5" t="n">
        <v>0.011</v>
      </c>
      <c r="EK5" t="n">
        <v>0</v>
      </c>
      <c r="EL5" t="n">
        <v>0.058</v>
      </c>
      <c r="EO5" t="n">
        <v>295</v>
      </c>
      <c r="EP5" t="n">
        <v>26</v>
      </c>
      <c r="EQ5" t="n">
        <v>349.48</v>
      </c>
      <c r="ER5" t="n">
        <v>1462.22432</v>
      </c>
      <c r="EV5" t="n">
        <v>3.1</v>
      </c>
      <c r="EZ5" t="n">
        <v>6</v>
      </c>
      <c r="FA5" t="n">
        <v>0</v>
      </c>
      <c r="FB5" t="n">
        <v>6</v>
      </c>
      <c r="FC5" t="n">
        <v>6</v>
      </c>
      <c r="FD5" t="n">
        <v>0</v>
      </c>
      <c r="FE5" t="n">
        <v>0</v>
      </c>
      <c r="FF5" t="n">
        <v>15</v>
      </c>
      <c r="FG5" t="n">
        <v>0</v>
      </c>
      <c r="FH5" t="n">
        <v>112</v>
      </c>
      <c r="FK5" t="n">
        <v>1</v>
      </c>
      <c r="FM5" t="n">
        <v>129</v>
      </c>
      <c r="FO5" t="n">
        <v>15</v>
      </c>
      <c r="FR5" t="n">
        <v>222</v>
      </c>
      <c r="FV5" t="n">
        <v>0</v>
      </c>
      <c r="FZ5" t="n">
        <v>31.2</v>
      </c>
      <c r="GB5" t="n">
        <v>0</v>
      </c>
      <c r="GE5" t="n">
        <v>0</v>
      </c>
      <c r="GF5" t="n">
        <v>0.345</v>
      </c>
      <c r="GG5" t="n">
        <v>0</v>
      </c>
      <c r="GH5" t="n">
        <v>0</v>
      </c>
      <c r="GJ5" t="n">
        <v>0</v>
      </c>
      <c r="GK5" t="n">
        <v>0</v>
      </c>
      <c r="GL5" t="n">
        <v>0.246</v>
      </c>
      <c r="GN5" t="n">
        <v>0</v>
      </c>
      <c r="GP5" t="n">
        <v>0.011</v>
      </c>
      <c r="GR5" t="n">
        <v>0</v>
      </c>
      <c r="GT5" t="n">
        <v>0</v>
      </c>
      <c r="GU5" t="n">
        <v>0</v>
      </c>
      <c r="GV5" t="n">
        <v>0.041</v>
      </c>
      <c r="GW5" t="n">
        <v>0.006</v>
      </c>
      <c r="GX5" t="n">
        <v>0.008999999999999999</v>
      </c>
      <c r="GY5" t="n">
        <v>0.136</v>
      </c>
      <c r="GZ5" t="n">
        <v>0</v>
      </c>
      <c r="HA5" t="n">
        <v>0</v>
      </c>
      <c r="HB5" t="n">
        <v>0</v>
      </c>
      <c r="HE5" t="n">
        <v>3.6</v>
      </c>
      <c r="HF5" t="n">
        <v>0.339</v>
      </c>
      <c r="HG5" t="n">
        <v>0</v>
      </c>
      <c r="HH5" t="n">
        <v>8.32</v>
      </c>
      <c r="HI5" t="n">
        <v>60</v>
      </c>
      <c r="HJ5" t="n">
        <v>17.466</v>
      </c>
      <c r="HK5" t="n">
        <v>64</v>
      </c>
      <c r="HL5" t="n">
        <v>3.99</v>
      </c>
      <c r="HM5" t="n">
        <v>10</v>
      </c>
      <c r="HN5" t="n">
        <v>3.9</v>
      </c>
      <c r="HO5" t="n">
        <v>11</v>
      </c>
      <c r="HS5" t="n">
        <v>0</v>
      </c>
      <c r="HT5" t="n">
        <v>0</v>
      </c>
      <c r="HU5" t="n">
        <v>0</v>
      </c>
      <c r="HV5" t="n">
        <v>0</v>
      </c>
      <c r="HX5" t="n">
        <v>0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8" t="n">
        <v>30</v>
      </c>
      <c r="F6" s="9">
        <f>E6/SUM($E$3:$E$58)</f>
        <v/>
      </c>
      <c r="G6" t="n">
        <v>0</v>
      </c>
      <c r="H6" t="n">
        <v>0</v>
      </c>
      <c r="I6" t="n">
        <v>63.276</v>
      </c>
      <c r="J6" t="n">
        <v>28.142</v>
      </c>
      <c r="K6" t="n">
        <v>0.365</v>
      </c>
      <c r="M6" t="n">
        <v>0</v>
      </c>
      <c r="O6" t="n">
        <v>0</v>
      </c>
      <c r="P6" t="n">
        <v>0</v>
      </c>
      <c r="Q6" t="n">
        <v>0</v>
      </c>
      <c r="S6" t="n">
        <v>0</v>
      </c>
      <c r="U6" t="n">
        <v>0</v>
      </c>
      <c r="V6" t="n">
        <v>0</v>
      </c>
      <c r="W6" t="n">
        <v>4.298</v>
      </c>
      <c r="X6" t="n">
        <v>2.087</v>
      </c>
      <c r="Y6" t="n">
        <v>0.65</v>
      </c>
      <c r="Z6" t="n">
        <v>0</v>
      </c>
      <c r="AA6" t="n">
        <v>0</v>
      </c>
      <c r="AB6" t="n">
        <v>0.03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100</v>
      </c>
      <c r="AL6" t="n">
        <v>0</v>
      </c>
      <c r="AM6" t="n">
        <v>17.46</v>
      </c>
      <c r="BL6" t="n">
        <v>0.01</v>
      </c>
      <c r="BM6" t="n">
        <v>0.99</v>
      </c>
      <c r="BN6" t="n">
        <v>27.34</v>
      </c>
      <c r="BO6" t="n">
        <v>0.03</v>
      </c>
      <c r="BP6" t="n">
        <v>0</v>
      </c>
      <c r="BQ6" t="n">
        <v>0.01</v>
      </c>
      <c r="BR6" t="n">
        <v>0</v>
      </c>
      <c r="CS6" t="n">
        <v>0</v>
      </c>
      <c r="DW6" t="n">
        <v>0</v>
      </c>
      <c r="DZ6" t="n">
        <v>0</v>
      </c>
      <c r="EA6" t="n">
        <v>0.214</v>
      </c>
      <c r="EB6" t="n">
        <v>1.317</v>
      </c>
      <c r="ED6" t="n">
        <v>0</v>
      </c>
      <c r="EE6" t="n">
        <v>0</v>
      </c>
      <c r="EG6" t="n">
        <v>61.744</v>
      </c>
      <c r="EH6" t="n">
        <v>0</v>
      </c>
      <c r="EI6" t="n">
        <v>19.005</v>
      </c>
      <c r="EJ6" t="n">
        <v>9.137</v>
      </c>
      <c r="EK6" t="n">
        <v>0</v>
      </c>
      <c r="EO6" t="n">
        <v>0</v>
      </c>
      <c r="EQ6" t="n">
        <v>900</v>
      </c>
      <c r="ER6" t="n">
        <v>3765.6</v>
      </c>
      <c r="EV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K6" t="n">
        <v>0</v>
      </c>
      <c r="FM6" t="n">
        <v>0</v>
      </c>
      <c r="FO6" t="n">
        <v>0</v>
      </c>
      <c r="FR6" t="n">
        <v>0</v>
      </c>
      <c r="FV6" t="n">
        <v>0</v>
      </c>
      <c r="FZ6" t="n">
        <v>71.3</v>
      </c>
      <c r="GA6" t="n">
        <v>0</v>
      </c>
      <c r="GD6" t="n">
        <v>0.365</v>
      </c>
      <c r="GE6" t="n">
        <v>0</v>
      </c>
      <c r="GF6" t="n">
        <v>7.365</v>
      </c>
      <c r="GG6" t="n">
        <v>0.395</v>
      </c>
      <c r="GH6" t="n">
        <v>0.03</v>
      </c>
      <c r="GJ6" t="n">
        <v>0</v>
      </c>
      <c r="GK6" t="n">
        <v>0</v>
      </c>
      <c r="GL6" t="n">
        <v>61.714</v>
      </c>
      <c r="GO6" t="n">
        <v>18.64</v>
      </c>
      <c r="GP6" t="n">
        <v>9.137</v>
      </c>
      <c r="GR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0.33</v>
      </c>
      <c r="HB6" t="n">
        <v>0</v>
      </c>
      <c r="HE6" t="n">
        <v>0</v>
      </c>
      <c r="HF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0.2</v>
      </c>
      <c r="HS6" t="n">
        <v>0</v>
      </c>
      <c r="HT6" t="n">
        <v>0</v>
      </c>
      <c r="HU6" t="n">
        <v>0</v>
      </c>
      <c r="HV6" t="n">
        <v>0</v>
      </c>
      <c r="HX6" t="n">
        <v>0</v>
      </c>
      <c r="HY6" t="n">
        <v>3</v>
      </c>
      <c r="HZ6" t="n">
        <v>241</v>
      </c>
      <c r="IB6" t="n">
        <v>413</v>
      </c>
    </row>
    <row r="7">
      <c r="A7" t="n">
        <v>748366</v>
      </c>
      <c r="B7" t="inlineStr">
        <is>
          <t>Oil, soybean</t>
        </is>
      </c>
      <c r="C7" t="inlineStr"/>
      <c r="D7" t="inlineStr">
        <is>
          <t>Foundation</t>
        </is>
      </c>
      <c r="E7" s="8" t="n">
        <v>5</v>
      </c>
      <c r="F7" s="9">
        <f>E7/SUM($E$3:$E$58)</f>
        <v/>
      </c>
      <c r="I7" t="n">
        <v>22.1</v>
      </c>
      <c r="J7" t="n">
        <v>57.6</v>
      </c>
      <c r="L7" t="n">
        <v>0.08</v>
      </c>
      <c r="R7" t="n">
        <v>0</v>
      </c>
      <c r="V7" t="n">
        <v>0.014</v>
      </c>
      <c r="W7" t="n">
        <v>10.3</v>
      </c>
      <c r="X7" t="n">
        <v>3.71</v>
      </c>
      <c r="Y7" t="n">
        <v>0.294</v>
      </c>
      <c r="AJ7" t="n">
        <v>94.59999999999999</v>
      </c>
      <c r="AK7" t="n">
        <v>94.59999999999999</v>
      </c>
      <c r="AM7" t="n">
        <v>12.2</v>
      </c>
      <c r="BA7" t="n">
        <v>0.6</v>
      </c>
      <c r="BL7" t="n">
        <v>1.8</v>
      </c>
      <c r="BM7" t="n">
        <v>22</v>
      </c>
      <c r="BN7" t="n">
        <v>70.40000000000001</v>
      </c>
      <c r="BO7" t="n">
        <v>0</v>
      </c>
      <c r="BP7" t="n">
        <v>1.6</v>
      </c>
      <c r="BQ7" t="n">
        <v>0</v>
      </c>
      <c r="BR7" t="n">
        <v>0</v>
      </c>
      <c r="BZ7" t="n">
        <v>50.9</v>
      </c>
      <c r="CA7" t="n">
        <v>6.62</v>
      </c>
      <c r="CC7" t="n">
        <v>0</v>
      </c>
      <c r="DC7" t="n">
        <v>0.025</v>
      </c>
      <c r="EQ7" t="n">
        <v>851.4</v>
      </c>
      <c r="ER7" t="n">
        <v>3562.2576</v>
      </c>
      <c r="GF7" t="n">
        <v>14.9</v>
      </c>
      <c r="GL7" t="n">
        <v>21.4</v>
      </c>
      <c r="GO7" t="n">
        <v>50.9</v>
      </c>
      <c r="GP7" t="n">
        <v>6.62</v>
      </c>
      <c r="GX7" t="n">
        <v>0.075</v>
      </c>
      <c r="GY7" t="n">
        <v>0.08599999999999999</v>
      </c>
      <c r="GZ7" t="n">
        <v>0.306</v>
      </c>
      <c r="HA7" t="n">
        <v>0.124</v>
      </c>
      <c r="HY7" t="n">
        <v>55.4</v>
      </c>
      <c r="HZ7" t="n">
        <v>58</v>
      </c>
      <c r="IA7" t="n">
        <v>0</v>
      </c>
      <c r="IB7" t="n">
        <v>153</v>
      </c>
      <c r="IC7" t="n">
        <v>2.15</v>
      </c>
      <c r="ID7" t="n">
        <v>5.62</v>
      </c>
      <c r="IE7" t="n">
        <v>10.5</v>
      </c>
      <c r="IF7" t="n">
        <v>20.8</v>
      </c>
    </row>
    <row r="8">
      <c r="A8" t="n">
        <v>173468</v>
      </c>
      <c r="B8" t="inlineStr">
        <is>
          <t>Salt, table</t>
        </is>
      </c>
      <c r="C8" t="inlineStr"/>
      <c r="D8" t="inlineStr">
        <is>
          <t>SR Legacy</t>
        </is>
      </c>
      <c r="E8" s="8" t="n">
        <v>3.130147163880557</v>
      </c>
      <c r="F8" s="9">
        <f>E8/SUM($E$3:$E$58)</f>
        <v/>
      </c>
      <c r="G8" t="n">
        <v>0.2</v>
      </c>
      <c r="H8" t="n">
        <v>24</v>
      </c>
      <c r="I8" t="n">
        <v>0</v>
      </c>
      <c r="J8" t="n">
        <v>0</v>
      </c>
      <c r="M8" t="n">
        <v>8</v>
      </c>
      <c r="P8" t="n">
        <v>0</v>
      </c>
      <c r="S8" t="n">
        <v>0</v>
      </c>
      <c r="U8" t="n">
        <v>0</v>
      </c>
      <c r="W8" t="n">
        <v>0</v>
      </c>
      <c r="X8" t="n">
        <v>0</v>
      </c>
      <c r="Z8" t="n">
        <v>0</v>
      </c>
      <c r="AA8" t="n">
        <v>0</v>
      </c>
      <c r="AE8" t="n">
        <v>0.1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O8" t="n">
        <v>0</v>
      </c>
      <c r="AP8" t="n">
        <v>0</v>
      </c>
      <c r="AQ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BD8" t="n">
        <v>0</v>
      </c>
      <c r="BE8" t="n">
        <v>0</v>
      </c>
      <c r="BH8" t="n">
        <v>0</v>
      </c>
      <c r="BK8" t="n">
        <v>0</v>
      </c>
      <c r="BS8" t="n">
        <v>0</v>
      </c>
      <c r="BT8" t="n">
        <v>0</v>
      </c>
      <c r="BU8" t="n">
        <v>0</v>
      </c>
      <c r="CS8" t="n">
        <v>0</v>
      </c>
      <c r="DW8" t="n">
        <v>0</v>
      </c>
      <c r="EA8" t="n">
        <v>0</v>
      </c>
      <c r="EB8" t="n">
        <v>0</v>
      </c>
      <c r="ED8" t="n">
        <v>0</v>
      </c>
      <c r="EE8" t="n">
        <v>0</v>
      </c>
      <c r="EG8" t="n">
        <v>0</v>
      </c>
      <c r="EH8" t="n">
        <v>0</v>
      </c>
      <c r="EI8" t="n">
        <v>0</v>
      </c>
      <c r="EJ8" t="n">
        <v>0</v>
      </c>
      <c r="EL8" t="n">
        <v>0</v>
      </c>
      <c r="EO8" t="n">
        <v>0</v>
      </c>
      <c r="EP8" t="n">
        <v>0</v>
      </c>
      <c r="EQ8" t="n">
        <v>0</v>
      </c>
      <c r="ER8" t="n">
        <v>0</v>
      </c>
      <c r="EV8" t="n">
        <v>0.1</v>
      </c>
      <c r="EW8" t="n">
        <v>2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K8" t="n">
        <v>0</v>
      </c>
      <c r="FM8" t="n">
        <v>0</v>
      </c>
      <c r="FO8" t="n">
        <v>0</v>
      </c>
      <c r="FR8" t="n">
        <v>0</v>
      </c>
      <c r="FV8" t="n">
        <v>0</v>
      </c>
      <c r="FZ8" t="n">
        <v>0</v>
      </c>
      <c r="GE8" t="n">
        <v>0</v>
      </c>
      <c r="GF8" t="n">
        <v>0</v>
      </c>
      <c r="GG8" t="n">
        <v>0</v>
      </c>
      <c r="GR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HB8" t="n">
        <v>0</v>
      </c>
      <c r="HE8" t="n">
        <v>99.8</v>
      </c>
      <c r="HF8" t="n">
        <v>0.03</v>
      </c>
      <c r="HH8" t="n">
        <v>0.33</v>
      </c>
      <c r="HI8" t="n">
        <v>1</v>
      </c>
      <c r="HJ8" t="n">
        <v>0.1</v>
      </c>
      <c r="HK8" t="n">
        <v>0</v>
      </c>
      <c r="HL8" t="n">
        <v>0</v>
      </c>
      <c r="HM8" t="n">
        <v>38758</v>
      </c>
      <c r="HO8" t="n">
        <v>0</v>
      </c>
      <c r="HS8" t="n">
        <v>0</v>
      </c>
      <c r="HT8" t="n">
        <v>0</v>
      </c>
      <c r="HU8" t="n">
        <v>0</v>
      </c>
      <c r="HV8" t="n">
        <v>0</v>
      </c>
    </row>
    <row r="9">
      <c r="A9" t="n">
        <v>2644283</v>
      </c>
      <c r="B9" t="inlineStr">
        <is>
          <t>Lentils, dry</t>
        </is>
      </c>
      <c r="C9" t="inlineStr"/>
      <c r="D9" t="inlineStr">
        <is>
          <t>Foundation</t>
        </is>
      </c>
      <c r="E9" s="8" t="n">
        <v>32.80000000000001</v>
      </c>
      <c r="F9" s="9">
        <f>E9/SUM($E$3:$E$58)</f>
        <v/>
      </c>
      <c r="G9" t="n">
        <v>9.451000000000001</v>
      </c>
      <c r="H9" t="n">
        <v>61.85</v>
      </c>
      <c r="M9" t="n">
        <v>948.9</v>
      </c>
      <c r="AE9" t="n">
        <v>3.863</v>
      </c>
      <c r="AF9" t="n">
        <v>62.17125</v>
      </c>
      <c r="AJ9" t="n">
        <v>1.925</v>
      </c>
      <c r="AK9" t="n">
        <v>1.925</v>
      </c>
      <c r="BC9" t="n">
        <v>3.771</v>
      </c>
      <c r="DX9" t="n">
        <v>360.285</v>
      </c>
      <c r="DY9" t="n">
        <v>350.9328</v>
      </c>
      <c r="EQ9" t="n">
        <v>360.285</v>
      </c>
      <c r="ER9" t="n">
        <v>1507.43244</v>
      </c>
      <c r="ES9" t="n">
        <v>16</v>
      </c>
      <c r="HE9" t="n">
        <v>2.884</v>
      </c>
      <c r="HF9" t="n">
        <v>0.8376</v>
      </c>
      <c r="HH9" t="n">
        <v>7.158</v>
      </c>
      <c r="HI9" t="n">
        <v>106.7</v>
      </c>
      <c r="HJ9" t="n">
        <v>1.569</v>
      </c>
      <c r="HK9" t="n">
        <v>373.6</v>
      </c>
      <c r="HL9" t="n">
        <v>23.56875</v>
      </c>
      <c r="HM9" t="n">
        <v>0</v>
      </c>
      <c r="HP9" t="n">
        <v>37.13</v>
      </c>
    </row>
    <row r="10">
      <c r="A10" t="n">
        <v>2707920</v>
      </c>
      <c r="B10" t="inlineStr">
        <is>
          <t>Cookie, chocolate sandwich</t>
        </is>
      </c>
      <c r="C10" t="inlineStr"/>
      <c r="D10" t="inlineStr">
        <is>
          <t>Survey (FNDDS)</t>
        </is>
      </c>
      <c r="E10" s="8" t="n">
        <v>100</v>
      </c>
      <c r="F10" s="9">
        <f>E10/SUM($E$3:$E$58)</f>
        <v/>
      </c>
      <c r="G10" t="n">
        <v>3.11</v>
      </c>
      <c r="H10" t="n">
        <v>21</v>
      </c>
      <c r="I10" t="n">
        <v>9.279999999999999</v>
      </c>
      <c r="J10" t="n">
        <v>3.56</v>
      </c>
      <c r="M10" t="n">
        <v>234</v>
      </c>
      <c r="P10" t="n">
        <v>0</v>
      </c>
      <c r="S10" t="n">
        <v>0.004</v>
      </c>
      <c r="U10" t="n">
        <v>0.011</v>
      </c>
      <c r="W10" t="n">
        <v>4.45</v>
      </c>
      <c r="X10" t="n">
        <v>0.857</v>
      </c>
      <c r="Z10" t="n">
        <v>0</v>
      </c>
      <c r="AA10" t="n">
        <v>0</v>
      </c>
      <c r="AE10" t="n">
        <v>0.74</v>
      </c>
      <c r="AF10" t="n">
        <v>71</v>
      </c>
      <c r="AG10" t="n">
        <v>2.6</v>
      </c>
      <c r="AI10" t="n">
        <v>0.197</v>
      </c>
      <c r="AJ10" t="n">
        <v>19.1</v>
      </c>
      <c r="AK10" t="n">
        <v>19.1</v>
      </c>
      <c r="AL10" t="n">
        <v>0.023</v>
      </c>
      <c r="AM10" t="n">
        <v>2.47</v>
      </c>
      <c r="DW10" t="n">
        <v>40.7</v>
      </c>
      <c r="EA10" t="n">
        <v>0.036</v>
      </c>
      <c r="EB10" t="n">
        <v>0.12</v>
      </c>
      <c r="ED10" t="n">
        <v>0</v>
      </c>
      <c r="EE10" t="n">
        <v>2.9</v>
      </c>
      <c r="EG10" t="n">
        <v>9.109999999999999</v>
      </c>
      <c r="EH10" t="n">
        <v>0.003</v>
      </c>
      <c r="EI10" t="n">
        <v>3.25</v>
      </c>
      <c r="EJ10" t="n">
        <v>0.298</v>
      </c>
      <c r="EQ10" t="n">
        <v>476.74</v>
      </c>
      <c r="ER10" t="n">
        <v>1994.68016</v>
      </c>
      <c r="EV10" t="n">
        <v>5.2</v>
      </c>
      <c r="EZ10" t="n">
        <v>61</v>
      </c>
      <c r="FA10" t="n">
        <v>58</v>
      </c>
      <c r="FB10" t="n">
        <v>3</v>
      </c>
      <c r="FC10" t="n">
        <v>102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K10" t="n">
        <v>0</v>
      </c>
      <c r="FM10" t="n">
        <v>0</v>
      </c>
      <c r="FO10" t="n">
        <v>0</v>
      </c>
      <c r="FR10" t="n">
        <v>4</v>
      </c>
      <c r="FV10" t="n">
        <v>0</v>
      </c>
      <c r="FZ10" t="n">
        <v>27.4</v>
      </c>
      <c r="GE10" t="n">
        <v>0</v>
      </c>
      <c r="GF10" t="n">
        <v>5.65</v>
      </c>
      <c r="GR10" t="n">
        <v>0</v>
      </c>
      <c r="GT10" t="n">
        <v>0</v>
      </c>
      <c r="GU10" t="n">
        <v>0</v>
      </c>
      <c r="GV10" t="n">
        <v>0.238</v>
      </c>
      <c r="GW10" t="n">
        <v>0.045</v>
      </c>
      <c r="GX10" t="n">
        <v>0.111</v>
      </c>
      <c r="HB10" t="n">
        <v>0.003</v>
      </c>
      <c r="HF10" t="n">
        <v>0.334</v>
      </c>
      <c r="HH10" t="n">
        <v>12.1</v>
      </c>
      <c r="HI10" t="n">
        <v>47</v>
      </c>
      <c r="HK10" t="n">
        <v>93</v>
      </c>
      <c r="HL10" t="n">
        <v>5.21</v>
      </c>
      <c r="HM10" t="n">
        <v>388</v>
      </c>
      <c r="HO10" t="n">
        <v>19.2</v>
      </c>
      <c r="HS10" t="n">
        <v>0</v>
      </c>
      <c r="HT10" t="n">
        <v>5</v>
      </c>
      <c r="HU10" t="n">
        <v>184</v>
      </c>
      <c r="HV10" t="n">
        <v>0</v>
      </c>
    </row>
    <row r="11">
      <c r="A11" t="n">
        <v>746782</v>
      </c>
      <c r="B11" t="inlineStr">
        <is>
          <t>Milk, whole, 3.25% milkfat, with added vitamin D</t>
        </is>
      </c>
      <c r="C11" t="inlineStr"/>
      <c r="D11" t="inlineStr">
        <is>
          <t>Foundation</t>
        </is>
      </c>
      <c r="E11" s="8" t="n">
        <v>100</v>
      </c>
      <c r="F11" s="9">
        <f>E11/SUM($E$3:$E$58)</f>
        <v/>
      </c>
      <c r="G11" t="n">
        <v>88.09999999999999</v>
      </c>
      <c r="H11" t="n">
        <v>123</v>
      </c>
      <c r="I11" t="n">
        <v>0.6879999999999999</v>
      </c>
      <c r="J11" t="n">
        <v>0.108</v>
      </c>
      <c r="K11" t="n">
        <v>0</v>
      </c>
      <c r="L11" t="n">
        <v>0.039</v>
      </c>
      <c r="M11" t="n">
        <v>150</v>
      </c>
      <c r="N11" t="n">
        <v>0.013</v>
      </c>
      <c r="O11" t="n">
        <v>0.001</v>
      </c>
      <c r="P11" t="n">
        <v>0</v>
      </c>
      <c r="Q11" t="n">
        <v>0.001</v>
      </c>
      <c r="R11" t="n">
        <v>0.004</v>
      </c>
      <c r="S11" t="n">
        <v>0.004</v>
      </c>
      <c r="U11" t="n">
        <v>0.08400000000000001</v>
      </c>
      <c r="V11" t="n">
        <v>0.032</v>
      </c>
      <c r="W11" t="n">
        <v>0.857</v>
      </c>
      <c r="X11" t="n">
        <v>0.309</v>
      </c>
      <c r="Y11" t="n">
        <v>0.004</v>
      </c>
      <c r="Z11" t="n">
        <v>0.067</v>
      </c>
      <c r="AA11" t="n">
        <v>0.054</v>
      </c>
      <c r="AB11" t="n">
        <v>0.082</v>
      </c>
      <c r="AC11" t="n">
        <v>0.018</v>
      </c>
      <c r="AD11" t="n">
        <v>0</v>
      </c>
      <c r="AE11" t="n">
        <v>0.42</v>
      </c>
      <c r="AF11" t="n">
        <v>4.63</v>
      </c>
      <c r="AG11" t="n">
        <v>0.105</v>
      </c>
      <c r="AH11" t="n">
        <v>0.362</v>
      </c>
      <c r="AI11" t="n">
        <v>0.056</v>
      </c>
      <c r="AJ11" t="n">
        <v>2.77</v>
      </c>
      <c r="AK11" t="n">
        <v>3.2</v>
      </c>
      <c r="AL11" t="n">
        <v>0.061</v>
      </c>
      <c r="AM11" t="n">
        <v>0.05</v>
      </c>
      <c r="AO11" t="n">
        <v>0.11</v>
      </c>
      <c r="AP11" t="n">
        <v>0.127</v>
      </c>
      <c r="AQ11" t="n">
        <v>0.279</v>
      </c>
      <c r="AR11" t="n">
        <v>0.038</v>
      </c>
      <c r="AS11" t="n">
        <v>0.788</v>
      </c>
      <c r="AT11" t="n">
        <v>0.06900000000000001</v>
      </c>
      <c r="AU11" t="n">
        <v>0.097</v>
      </c>
      <c r="AV11" t="n">
        <v>0.173</v>
      </c>
      <c r="AW11" t="n">
        <v>0.333</v>
      </c>
      <c r="AX11" t="n">
        <v>0.298</v>
      </c>
      <c r="AY11" t="n">
        <v>0.09</v>
      </c>
      <c r="AZ11" t="n">
        <v>0.024</v>
      </c>
      <c r="BA11" t="n">
        <v>0.004</v>
      </c>
      <c r="BB11" t="n">
        <v>0</v>
      </c>
      <c r="BC11" t="n">
        <v>0.51</v>
      </c>
      <c r="BD11" t="n">
        <v>0.161</v>
      </c>
      <c r="BE11" t="n">
        <v>0.333</v>
      </c>
      <c r="BF11" t="n">
        <v>0</v>
      </c>
      <c r="BG11" t="n">
        <v>0</v>
      </c>
      <c r="BH11" t="n">
        <v>0.188</v>
      </c>
      <c r="BI11" t="n">
        <v>0</v>
      </c>
      <c r="BJ11" t="n">
        <v>0</v>
      </c>
      <c r="BK11" t="n">
        <v>0.154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0.043</v>
      </c>
      <c r="BT11" t="n">
        <v>0.162</v>
      </c>
      <c r="BU11" t="n">
        <v>0.207</v>
      </c>
      <c r="BX11" t="n">
        <v>0.018</v>
      </c>
      <c r="BY11" t="n">
        <v>0.005</v>
      </c>
      <c r="BZ11" t="n">
        <v>0.097</v>
      </c>
      <c r="CA11" t="n">
        <v>0.013</v>
      </c>
      <c r="CB11" t="n">
        <v>0.001</v>
      </c>
      <c r="CC11" t="n">
        <v>0.004</v>
      </c>
      <c r="CD11" t="n">
        <v>0.004</v>
      </c>
      <c r="CE11" t="n">
        <v>0.001</v>
      </c>
      <c r="CF11" t="n">
        <v>0.002</v>
      </c>
      <c r="CG11" t="n">
        <v>0</v>
      </c>
      <c r="CM11" t="n">
        <v>0</v>
      </c>
      <c r="CN11" t="n">
        <v>0</v>
      </c>
      <c r="CO11" t="n">
        <v>0</v>
      </c>
      <c r="CP11" t="n">
        <v>4.81</v>
      </c>
      <c r="CQ11" t="n">
        <v>0</v>
      </c>
      <c r="CR11" t="n">
        <v>0</v>
      </c>
      <c r="CS11" t="n">
        <v>38.4</v>
      </c>
      <c r="CZ11" t="n">
        <v>0.001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0.005</v>
      </c>
      <c r="DI11" t="n">
        <v>0</v>
      </c>
      <c r="DQ11" t="n">
        <v>3</v>
      </c>
      <c r="DR11" t="n">
        <v>10.3</v>
      </c>
      <c r="DS11" t="n">
        <v>1.3</v>
      </c>
      <c r="DT11" t="n">
        <v>1.8</v>
      </c>
      <c r="DU11" t="n">
        <v>1.4</v>
      </c>
      <c r="DW11" t="n">
        <v>4.81</v>
      </c>
      <c r="EQ11" t="n">
        <v>60.40000000000001</v>
      </c>
      <c r="ER11" t="n">
        <v>252.7136</v>
      </c>
      <c r="EU11" t="n">
        <v>37.9</v>
      </c>
      <c r="EV11" t="n">
        <v>1.9</v>
      </c>
      <c r="EZ11" t="n">
        <v>0</v>
      </c>
      <c r="FD11" t="n">
        <v>0.54</v>
      </c>
      <c r="FF11" t="n">
        <v>32</v>
      </c>
      <c r="FG11" t="n">
        <v>31</v>
      </c>
      <c r="FH11" t="n">
        <v>7</v>
      </c>
      <c r="FI11" t="n">
        <v>2</v>
      </c>
      <c r="FJ11" t="n">
        <v>5</v>
      </c>
      <c r="FK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S11" t="n">
        <v>0</v>
      </c>
      <c r="FT11" t="n">
        <v>5</v>
      </c>
      <c r="FU11" t="n">
        <v>1</v>
      </c>
      <c r="FV11" t="n">
        <v>0.96</v>
      </c>
      <c r="FW11" t="n">
        <v>0</v>
      </c>
      <c r="FX11" t="n">
        <v>0.96</v>
      </c>
      <c r="FY11" t="n">
        <v>0</v>
      </c>
      <c r="GE11" t="n">
        <v>12</v>
      </c>
      <c r="GF11" t="n">
        <v>1.86</v>
      </c>
      <c r="GG11" t="n">
        <v>0.112</v>
      </c>
      <c r="GH11" t="n">
        <v>0.095</v>
      </c>
      <c r="GJ11" t="n">
        <v>0</v>
      </c>
      <c r="GK11" t="n">
        <v>0.005</v>
      </c>
      <c r="GL11" t="n">
        <v>0.612</v>
      </c>
      <c r="GM11" t="n">
        <v>0</v>
      </c>
      <c r="GN11" t="n">
        <v>0</v>
      </c>
      <c r="GO11" t="n">
        <v>0.08400000000000001</v>
      </c>
      <c r="GP11" t="n">
        <v>0.012</v>
      </c>
      <c r="GQ11" t="n">
        <v>0</v>
      </c>
      <c r="GR11" t="n">
        <v>0.001</v>
      </c>
      <c r="GS11" t="n">
        <v>0.001</v>
      </c>
      <c r="GT11" t="n">
        <v>0.002</v>
      </c>
      <c r="GU11" t="n">
        <v>0</v>
      </c>
      <c r="GV11" t="n">
        <v>0.138</v>
      </c>
      <c r="GW11" t="n">
        <v>0.097</v>
      </c>
      <c r="GX11" t="n">
        <v>0.303</v>
      </c>
      <c r="GY11" t="n">
        <v>0.018</v>
      </c>
      <c r="GZ11" t="n">
        <v>0.002</v>
      </c>
      <c r="HA11" t="n">
        <v>0.001</v>
      </c>
      <c r="HB11" t="n">
        <v>0.034</v>
      </c>
      <c r="HC11" t="n">
        <v>0.008</v>
      </c>
      <c r="HE11" t="n">
        <v>0.8</v>
      </c>
      <c r="HF11" t="n">
        <v>0.001</v>
      </c>
      <c r="HG11" t="n">
        <v>0</v>
      </c>
      <c r="HH11" t="n">
        <v>0</v>
      </c>
      <c r="HI11" t="n">
        <v>11.9</v>
      </c>
      <c r="HJ11" t="n">
        <v>0</v>
      </c>
      <c r="HK11" t="n">
        <v>101</v>
      </c>
      <c r="HL11" t="n">
        <v>3.27</v>
      </c>
      <c r="HM11" t="n">
        <v>38</v>
      </c>
      <c r="HN11" t="n">
        <v>0.7</v>
      </c>
      <c r="HO11" t="n">
        <v>17.8</v>
      </c>
    </row>
    <row r="12">
      <c r="A12" t="n">
        <v>2720960</v>
      </c>
      <c r="B12" t="inlineStr">
        <is>
          <t>Pringles Crisps Bbq 16.9oz</t>
        </is>
      </c>
      <c r="C12" t="inlineStr">
        <is>
          <t>Kellogg Company US</t>
        </is>
      </c>
      <c r="D12" t="inlineStr">
        <is>
          <t>Branded</t>
        </is>
      </c>
      <c r="E12" s="8" t="n">
        <v>100</v>
      </c>
      <c r="F12" s="9">
        <f>E12/SUM($E$3:$E$58)</f>
        <v/>
      </c>
      <c r="H12" t="n">
        <v>9.699999999999999</v>
      </c>
      <c r="M12" t="n">
        <v>412</v>
      </c>
      <c r="AF12" t="n">
        <v>57.6</v>
      </c>
      <c r="AJ12" t="n">
        <v>31.2</v>
      </c>
      <c r="AK12" t="n">
        <v>31.2</v>
      </c>
      <c r="DW12" t="n">
        <v>4.3</v>
      </c>
      <c r="EE12" t="n">
        <v>2.4</v>
      </c>
      <c r="EQ12" t="n">
        <v>529.2</v>
      </c>
      <c r="ER12" t="n">
        <v>2214.1728</v>
      </c>
      <c r="ET12" t="n">
        <v>3.2</v>
      </c>
      <c r="FV12" t="n">
        <v>0</v>
      </c>
      <c r="GE12" t="n">
        <v>0</v>
      </c>
      <c r="GF12" t="n">
        <v>8.6</v>
      </c>
      <c r="GG12" t="n">
        <v>0</v>
      </c>
      <c r="HH12" t="n">
        <v>0.6</v>
      </c>
      <c r="HL12" t="n">
        <v>4.5</v>
      </c>
      <c r="HM12" t="n">
        <v>482</v>
      </c>
    </row>
    <row r="13">
      <c r="A13" t="n">
        <v>2257045</v>
      </c>
      <c r="B13" t="inlineStr">
        <is>
          <t>Almond milk, unsweetened, plain, refrigerated</t>
        </is>
      </c>
      <c r="C13" t="inlineStr"/>
      <c r="D13" t="inlineStr">
        <is>
          <t>Foundation</t>
        </is>
      </c>
      <c r="E13" s="8" t="n">
        <v>100</v>
      </c>
      <c r="F13" s="9">
        <f>E13/SUM($E$3:$E$58)</f>
        <v/>
      </c>
      <c r="G13" t="n">
        <v>96.52</v>
      </c>
      <c r="H13" t="n">
        <v>157.5</v>
      </c>
      <c r="M13" t="n">
        <v>49.27</v>
      </c>
      <c r="AE13" t="n">
        <v>0.07661</v>
      </c>
      <c r="AF13" t="n">
        <v>0.67075</v>
      </c>
      <c r="AG13" t="n">
        <v>0.08875</v>
      </c>
      <c r="AI13" t="n">
        <v>0.005</v>
      </c>
      <c r="AJ13" t="n">
        <v>1.558</v>
      </c>
      <c r="AK13" t="n">
        <v>1.558</v>
      </c>
      <c r="AL13" t="n">
        <v>0</v>
      </c>
      <c r="AO13" t="n">
        <v>0.02875</v>
      </c>
      <c r="AP13" t="n">
        <v>0.0925</v>
      </c>
      <c r="AQ13" t="n">
        <v>0.0775</v>
      </c>
      <c r="AR13" t="n">
        <v>0.00125</v>
      </c>
      <c r="AS13" t="n">
        <v>0.1375</v>
      </c>
      <c r="AT13" t="n">
        <v>0.045</v>
      </c>
      <c r="AU13" t="n">
        <v>0.01375</v>
      </c>
      <c r="AV13" t="n">
        <v>0.02625</v>
      </c>
      <c r="AW13" t="n">
        <v>0.04625</v>
      </c>
      <c r="AX13" t="n">
        <v>0.03125</v>
      </c>
      <c r="AY13" t="n">
        <v>0.00125</v>
      </c>
      <c r="BC13" t="n">
        <v>0.105</v>
      </c>
      <c r="BD13" t="n">
        <v>0.0425</v>
      </c>
      <c r="BE13" t="n">
        <v>0.03125</v>
      </c>
      <c r="BH13" t="n">
        <v>0.02</v>
      </c>
      <c r="BK13" t="n">
        <v>0.01</v>
      </c>
      <c r="BS13" t="n">
        <v>0.00125</v>
      </c>
      <c r="BT13" t="n">
        <v>0.01875</v>
      </c>
      <c r="BU13" t="n">
        <v>0.0175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0.03857</v>
      </c>
      <c r="CS13" t="n">
        <v>63.6</v>
      </c>
      <c r="DX13" t="n">
        <v>19.33</v>
      </c>
      <c r="EE13" t="n">
        <v>0</v>
      </c>
      <c r="EQ13" t="n">
        <v>19.33</v>
      </c>
      <c r="ER13" t="n">
        <v>80.87671999999999</v>
      </c>
      <c r="EY13" t="n">
        <v>1.425</v>
      </c>
      <c r="EZ13" t="n">
        <v>0</v>
      </c>
      <c r="FD13" t="n">
        <v>0.4492</v>
      </c>
      <c r="FG13" t="n">
        <v>60.92</v>
      </c>
      <c r="FV13" t="n">
        <v>1.59</v>
      </c>
      <c r="FW13" t="n">
        <v>1.578</v>
      </c>
      <c r="FX13" t="n">
        <v>0.01015</v>
      </c>
      <c r="FZ13" t="n">
        <v>0</v>
      </c>
      <c r="GA13" t="n">
        <v>0</v>
      </c>
      <c r="GV13" t="n">
        <v>0.08333</v>
      </c>
      <c r="HE13" t="n">
        <v>0.595</v>
      </c>
      <c r="HF13" t="n">
        <v>0.02688</v>
      </c>
      <c r="HG13" t="n">
        <v>0</v>
      </c>
      <c r="HH13" t="n">
        <v>0.1247</v>
      </c>
      <c r="HI13" t="n">
        <v>8.249000000000001</v>
      </c>
      <c r="HJ13" t="n">
        <v>0.05642</v>
      </c>
      <c r="HK13" t="n">
        <v>19.08</v>
      </c>
      <c r="HL13" t="n">
        <v>0.65625</v>
      </c>
      <c r="HM13" t="n">
        <v>59.22</v>
      </c>
      <c r="HX13" t="n">
        <v>0</v>
      </c>
    </row>
    <row r="14">
      <c r="A14" t="n">
        <v>1999631</v>
      </c>
      <c r="B14" t="inlineStr">
        <is>
          <t>Almond milk, unsweetened, plain, shelf stable</t>
        </is>
      </c>
      <c r="C14" t="inlineStr"/>
      <c r="D14" t="inlineStr">
        <is>
          <t>Foundation</t>
        </is>
      </c>
      <c r="E14" s="8" t="n">
        <v>100</v>
      </c>
      <c r="F14" s="9">
        <f>E14/SUM($E$3:$E$58)</f>
        <v/>
      </c>
      <c r="G14" t="n">
        <v>97.40000000000001</v>
      </c>
      <c r="H14" t="n">
        <v>172.7</v>
      </c>
      <c r="I14" t="n">
        <v>0.7288</v>
      </c>
      <c r="J14" t="n">
        <v>0.2763</v>
      </c>
      <c r="K14" t="n">
        <v>0</v>
      </c>
      <c r="L14" t="n">
        <v>0.005813</v>
      </c>
      <c r="M14" t="n">
        <v>30.79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U14" t="n">
        <v>0</v>
      </c>
      <c r="V14" t="n">
        <v>0.00125</v>
      </c>
      <c r="W14" t="n">
        <v>0.07781</v>
      </c>
      <c r="X14" t="n">
        <v>0.0195</v>
      </c>
      <c r="Y14" t="n">
        <v>0</v>
      </c>
      <c r="Z14" t="n">
        <v>0.003688</v>
      </c>
      <c r="AA14" t="n">
        <v>0</v>
      </c>
      <c r="AB14" t="n">
        <v>0</v>
      </c>
      <c r="AC14" t="n">
        <v>0.000125</v>
      </c>
      <c r="AD14" t="n">
        <v>0</v>
      </c>
      <c r="AE14" t="n">
        <v>0.1718</v>
      </c>
      <c r="AF14" t="n">
        <v>0.3371125</v>
      </c>
      <c r="AG14" t="n">
        <v>0.07438</v>
      </c>
      <c r="AI14" t="n">
        <v>0</v>
      </c>
      <c r="AJ14" t="n">
        <v>1.1089</v>
      </c>
      <c r="AK14" t="n">
        <v>1.221</v>
      </c>
      <c r="AL14" t="n">
        <v>0</v>
      </c>
      <c r="AM14" t="n">
        <v>3.323</v>
      </c>
      <c r="AZ14" t="n">
        <v>0</v>
      </c>
      <c r="BA14" t="n">
        <v>0.000875</v>
      </c>
      <c r="BB14" t="n">
        <v>0</v>
      </c>
      <c r="BC14" t="n">
        <v>0.08875</v>
      </c>
      <c r="BF14" t="n">
        <v>0</v>
      </c>
      <c r="BG14" t="n">
        <v>0</v>
      </c>
      <c r="BI14" t="n">
        <v>0</v>
      </c>
      <c r="BJ14" t="n">
        <v>0</v>
      </c>
      <c r="BL14" t="n">
        <v>0</v>
      </c>
      <c r="BM14" t="n">
        <v>0</v>
      </c>
      <c r="BN14" t="n">
        <v>0.02746</v>
      </c>
      <c r="BO14" t="n">
        <v>0</v>
      </c>
      <c r="BP14" t="n">
        <v>0</v>
      </c>
      <c r="BQ14" t="n">
        <v>0</v>
      </c>
      <c r="BR14" t="n">
        <v>0</v>
      </c>
      <c r="BY14" t="n">
        <v>0.00125</v>
      </c>
      <c r="BZ14" t="n">
        <v>0.2756</v>
      </c>
      <c r="CA14" t="n">
        <v>0.000625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37.1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W14" t="n">
        <v>0</v>
      </c>
      <c r="DX14" t="n">
        <v>14.5562</v>
      </c>
      <c r="DY14" t="n">
        <v>14.5562</v>
      </c>
      <c r="EE14" t="n">
        <v>0</v>
      </c>
      <c r="EQ14" t="n">
        <v>14.5562</v>
      </c>
      <c r="ER14" t="n">
        <v>60.9031408</v>
      </c>
      <c r="EU14" t="n">
        <v>0</v>
      </c>
      <c r="EV14" t="n">
        <v>0</v>
      </c>
      <c r="EX14" t="n">
        <v>0</v>
      </c>
      <c r="EY14" t="n">
        <v>1.019</v>
      </c>
      <c r="EZ14" t="n">
        <v>0</v>
      </c>
      <c r="FD14" t="n">
        <v>0.3375</v>
      </c>
      <c r="FF14" t="n">
        <v>41.4</v>
      </c>
      <c r="FG14" t="n">
        <v>41.42</v>
      </c>
      <c r="FV14" t="n">
        <v>0.927</v>
      </c>
      <c r="FW14" t="n">
        <v>0.9266</v>
      </c>
      <c r="FX14" t="n">
        <v>0</v>
      </c>
      <c r="GC14" t="n">
        <v>0.000125</v>
      </c>
      <c r="GF14" t="n">
        <v>0.1038</v>
      </c>
      <c r="GG14" t="n">
        <v>0</v>
      </c>
      <c r="GH14" t="n">
        <v>0</v>
      </c>
      <c r="GJ14" t="n">
        <v>0</v>
      </c>
      <c r="GK14" t="n">
        <v>0.00125</v>
      </c>
      <c r="GL14" t="n">
        <v>0.7207</v>
      </c>
      <c r="GM14" t="n">
        <v>0</v>
      </c>
      <c r="GN14" t="n">
        <v>0</v>
      </c>
      <c r="GO14" t="n">
        <v>0.2756</v>
      </c>
      <c r="GP14" t="n">
        <v>0.000625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0.03339</v>
      </c>
      <c r="GW14" t="n">
        <v>0</v>
      </c>
      <c r="GX14" t="n">
        <v>0.002375</v>
      </c>
      <c r="GY14" t="n">
        <v>0.000875</v>
      </c>
      <c r="GZ14" t="n">
        <v>0</v>
      </c>
      <c r="HA14" t="n">
        <v>0</v>
      </c>
      <c r="HB14" t="n">
        <v>0</v>
      </c>
      <c r="HC14" t="n">
        <v>0</v>
      </c>
      <c r="HE14" t="n">
        <v>0.4872</v>
      </c>
      <c r="HF14" t="n">
        <v>0.02126</v>
      </c>
      <c r="HH14" t="n">
        <v>0.2899</v>
      </c>
      <c r="HI14" t="n">
        <v>6.785</v>
      </c>
      <c r="HJ14" t="n">
        <v>0.04497</v>
      </c>
      <c r="HK14" t="n">
        <v>29.85</v>
      </c>
      <c r="HL14" t="n">
        <v>0.5546875</v>
      </c>
      <c r="HM14" t="n">
        <v>59.58</v>
      </c>
      <c r="IG14" t="n">
        <v>0.007875</v>
      </c>
      <c r="IH14" t="n">
        <v>0.0075</v>
      </c>
      <c r="II14" t="n">
        <v>0</v>
      </c>
    </row>
    <row r="15">
      <c r="A15" t="n">
        <v>746766</v>
      </c>
      <c r="B15" t="inlineStr">
        <is>
          <t>Cheese, ricotta, whole milk</t>
        </is>
      </c>
      <c r="C15" t="inlineStr"/>
      <c r="D15" t="inlineStr">
        <is>
          <t>Foundation</t>
        </is>
      </c>
      <c r="E15" s="8" t="n">
        <v>100</v>
      </c>
      <c r="F15" s="9">
        <f>E15/SUM($E$3:$E$58)</f>
        <v/>
      </c>
      <c r="G15" t="n">
        <v>72.90000000000001</v>
      </c>
      <c r="H15" t="n">
        <v>224</v>
      </c>
      <c r="I15" t="n">
        <v>2.56</v>
      </c>
      <c r="J15" t="n">
        <v>0.389</v>
      </c>
      <c r="K15" t="n">
        <v>0.001</v>
      </c>
      <c r="L15" t="n">
        <v>0.184</v>
      </c>
      <c r="M15" t="n">
        <v>230</v>
      </c>
      <c r="N15" t="n">
        <v>0.049</v>
      </c>
      <c r="O15" t="n">
        <v>0</v>
      </c>
      <c r="P15" t="n">
        <v>0.001</v>
      </c>
      <c r="Q15" t="n">
        <v>0.001</v>
      </c>
      <c r="R15" t="n">
        <v>0.012</v>
      </c>
      <c r="S15" t="n">
        <v>0.015</v>
      </c>
      <c r="T15" t="n">
        <v>5.5</v>
      </c>
      <c r="U15" t="n">
        <v>0.306</v>
      </c>
      <c r="V15" t="n">
        <v>0.116</v>
      </c>
      <c r="W15" t="n">
        <v>3.36</v>
      </c>
      <c r="X15" t="n">
        <v>1.02</v>
      </c>
      <c r="Y15" t="n">
        <v>0.014</v>
      </c>
      <c r="Z15" t="n">
        <v>0.251</v>
      </c>
      <c r="AA15" t="n">
        <v>0.199</v>
      </c>
      <c r="AB15" t="n">
        <v>0.251</v>
      </c>
      <c r="AC15" t="n">
        <v>0.068</v>
      </c>
      <c r="AD15" t="n">
        <v>0</v>
      </c>
      <c r="AE15" t="n">
        <v>0.5600000000000001</v>
      </c>
      <c r="AF15" t="n">
        <v>6.86</v>
      </c>
      <c r="AG15" t="n">
        <v>0.168</v>
      </c>
      <c r="AH15" t="n">
        <v>0.673</v>
      </c>
      <c r="AI15" t="n">
        <v>0.043</v>
      </c>
      <c r="AJ15" t="n">
        <v>10.3</v>
      </c>
      <c r="AK15" t="n">
        <v>11</v>
      </c>
      <c r="AL15" t="n">
        <v>0.099</v>
      </c>
      <c r="AM15" t="n">
        <v>0.27</v>
      </c>
      <c r="AN15" t="n">
        <v>0.6</v>
      </c>
      <c r="AO15" t="n">
        <v>0.325</v>
      </c>
      <c r="AP15" t="n">
        <v>0.21</v>
      </c>
      <c r="AQ15" t="n">
        <v>0.735</v>
      </c>
      <c r="AR15" t="n">
        <v>0.18</v>
      </c>
      <c r="AS15" t="n">
        <v>1.3</v>
      </c>
      <c r="AT15" t="n">
        <v>0.135</v>
      </c>
      <c r="AU15" t="n">
        <v>0.175</v>
      </c>
      <c r="AV15" t="n">
        <v>0.365</v>
      </c>
      <c r="AW15" t="n">
        <v>0.785</v>
      </c>
      <c r="AX15" t="n">
        <v>0.655</v>
      </c>
      <c r="AY15" t="n">
        <v>0.17</v>
      </c>
      <c r="AZ15" t="n">
        <v>0.117</v>
      </c>
      <c r="BA15" t="n">
        <v>0.02</v>
      </c>
      <c r="BB15" t="n">
        <v>0.002</v>
      </c>
      <c r="BC15" t="n">
        <v>1.22</v>
      </c>
      <c r="BD15" t="n">
        <v>0.27</v>
      </c>
      <c r="BE15" t="n">
        <v>0.5649999999999999</v>
      </c>
      <c r="BF15" t="n">
        <v>0</v>
      </c>
      <c r="BG15" t="n">
        <v>0</v>
      </c>
      <c r="BH15" t="n">
        <v>0.365</v>
      </c>
      <c r="BI15" t="n">
        <v>0</v>
      </c>
      <c r="BJ15" t="n">
        <v>0.001</v>
      </c>
      <c r="BK15" t="n">
        <v>0.395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0.115</v>
      </c>
      <c r="BT15" t="n">
        <v>0.25</v>
      </c>
      <c r="BU15" t="n">
        <v>0.325</v>
      </c>
      <c r="BV15" t="n">
        <v>0</v>
      </c>
      <c r="BW15" t="n">
        <v>3.1</v>
      </c>
      <c r="BX15" t="n">
        <v>0.068</v>
      </c>
      <c r="BY15" t="n">
        <v>0.021</v>
      </c>
      <c r="BZ15" t="n">
        <v>0.308</v>
      </c>
      <c r="CA15" t="n">
        <v>0.042</v>
      </c>
      <c r="CB15" t="n">
        <v>0.001</v>
      </c>
      <c r="CC15" t="n">
        <v>0.012</v>
      </c>
      <c r="CD15" t="n">
        <v>0.015</v>
      </c>
      <c r="CE15" t="n">
        <v>0.005</v>
      </c>
      <c r="CF15" t="n">
        <v>0.007</v>
      </c>
      <c r="CG15" t="n">
        <v>0</v>
      </c>
      <c r="CH15" t="n">
        <v>127</v>
      </c>
      <c r="CI15" t="n">
        <v>127</v>
      </c>
      <c r="EQ15" t="n">
        <v>157.68</v>
      </c>
      <c r="ER15" t="n">
        <v>659.7331200000001</v>
      </c>
      <c r="GE15" t="n">
        <v>48</v>
      </c>
      <c r="GF15" t="n">
        <v>6.97</v>
      </c>
      <c r="GG15" t="n">
        <v>0.351</v>
      </c>
      <c r="GH15" t="n">
        <v>0.283</v>
      </c>
      <c r="GI15" t="n">
        <v>4</v>
      </c>
      <c r="GJ15" t="n">
        <v>0</v>
      </c>
      <c r="GK15" t="n">
        <v>0.021</v>
      </c>
      <c r="GL15" t="n">
        <v>2.22</v>
      </c>
      <c r="GM15" t="n">
        <v>0.002</v>
      </c>
      <c r="GN15" t="n">
        <v>0</v>
      </c>
      <c r="GO15" t="n">
        <v>0.259</v>
      </c>
      <c r="GP15" t="n">
        <v>0.042</v>
      </c>
      <c r="GQ15" t="n">
        <v>0</v>
      </c>
      <c r="GR15" t="n">
        <v>0.005</v>
      </c>
      <c r="GS15" t="n">
        <v>0.003</v>
      </c>
      <c r="GT15" t="n">
        <v>0.007</v>
      </c>
      <c r="GU15" t="n">
        <v>0</v>
      </c>
      <c r="GV15" t="n">
        <v>0.327</v>
      </c>
      <c r="GW15" t="n">
        <v>0.36</v>
      </c>
      <c r="GX15" t="n">
        <v>1.15</v>
      </c>
      <c r="GY15" t="n">
        <v>0.067</v>
      </c>
      <c r="GZ15" t="n">
        <v>0.006</v>
      </c>
      <c r="HA15" t="n">
        <v>0.004</v>
      </c>
      <c r="HB15" t="n">
        <v>0.125</v>
      </c>
      <c r="HC15" t="n">
        <v>0.032</v>
      </c>
      <c r="HD15" t="n">
        <v>0.78</v>
      </c>
      <c r="HE15" t="n">
        <v>1.36</v>
      </c>
      <c r="HF15" t="n">
        <v>0</v>
      </c>
      <c r="HG15" t="n">
        <v>0</v>
      </c>
      <c r="HH15" t="n">
        <v>0.1</v>
      </c>
      <c r="HI15" t="n">
        <v>19.7</v>
      </c>
      <c r="HJ15" t="n">
        <v>0</v>
      </c>
      <c r="HK15" t="n">
        <v>162</v>
      </c>
      <c r="HL15" t="n">
        <v>7.81</v>
      </c>
      <c r="HM15" t="n">
        <v>105</v>
      </c>
    </row>
    <row r="16">
      <c r="A16" t="n">
        <v>2259796</v>
      </c>
      <c r="B16" t="inlineStr">
        <is>
          <t>Cheese, feta, whole milk, crumbled</t>
        </is>
      </c>
      <c r="C16" t="inlineStr"/>
      <c r="D16" t="inlineStr">
        <is>
          <t>Foundation</t>
        </is>
      </c>
      <c r="E16" s="8" t="n">
        <v>100</v>
      </c>
      <c r="F16" s="9">
        <f>E16/SUM($E$3:$E$58)</f>
        <v/>
      </c>
      <c r="G16" t="n">
        <v>51.89</v>
      </c>
      <c r="H16" t="n">
        <v>371.1</v>
      </c>
      <c r="I16" t="n">
        <v>4.184</v>
      </c>
      <c r="L16" t="n">
        <v>0.2849</v>
      </c>
      <c r="M16" t="n">
        <v>105.3</v>
      </c>
      <c r="U16" t="n">
        <v>0.481</v>
      </c>
      <c r="W16" t="n">
        <v>5.313</v>
      </c>
      <c r="X16" t="n">
        <v>1.741</v>
      </c>
      <c r="Z16" t="n">
        <v>0.4039</v>
      </c>
      <c r="AA16" t="n">
        <v>0.3336</v>
      </c>
      <c r="AE16" t="n">
        <v>2.353</v>
      </c>
      <c r="AF16" t="n">
        <v>5.58318</v>
      </c>
      <c r="AG16" t="n">
        <v>0.2644</v>
      </c>
      <c r="AI16" t="n">
        <v>0.05638</v>
      </c>
      <c r="AJ16" t="n">
        <v>19.08</v>
      </c>
      <c r="AK16" t="n">
        <v>19.08</v>
      </c>
      <c r="AL16" t="n">
        <v>0.03831</v>
      </c>
      <c r="BC16" t="n">
        <v>3.089</v>
      </c>
      <c r="CM16" t="n">
        <v>0</v>
      </c>
      <c r="CN16" t="n">
        <v>0.4294</v>
      </c>
      <c r="CO16" t="n">
        <v>0.5863</v>
      </c>
      <c r="CP16" t="n">
        <v>0.61</v>
      </c>
      <c r="CQ16" t="n">
        <v>0</v>
      </c>
      <c r="CR16" t="n">
        <v>0</v>
      </c>
      <c r="CS16" t="n">
        <v>0</v>
      </c>
      <c r="DW16" t="n">
        <v>1.6257</v>
      </c>
      <c r="DX16" t="n">
        <v>272.884</v>
      </c>
      <c r="DY16" t="n">
        <v>273.472498</v>
      </c>
      <c r="EQ16" t="n">
        <v>272.884</v>
      </c>
      <c r="ER16" t="n">
        <v>1141.746656</v>
      </c>
      <c r="EU16" t="n">
        <v>48.44</v>
      </c>
      <c r="EY16" t="n">
        <v>0.4638</v>
      </c>
      <c r="FG16" t="n">
        <v>146.9</v>
      </c>
      <c r="FV16" t="n">
        <v>0</v>
      </c>
      <c r="FW16" t="n">
        <v>0</v>
      </c>
      <c r="FX16" t="n">
        <v>0</v>
      </c>
      <c r="FZ16" t="n">
        <v>1.2</v>
      </c>
      <c r="GA16" t="n">
        <v>4.8</v>
      </c>
      <c r="GE16" t="n">
        <v>57.52</v>
      </c>
      <c r="GF16" t="n">
        <v>11.17</v>
      </c>
      <c r="GL16" t="n">
        <v>3.663</v>
      </c>
      <c r="GO16" t="n">
        <v>0.4244</v>
      </c>
      <c r="GV16" t="n">
        <v>0.4444</v>
      </c>
      <c r="GW16" t="n">
        <v>0.5449000000000001</v>
      </c>
      <c r="GX16" t="n">
        <v>1.797</v>
      </c>
      <c r="HE16" t="n">
        <v>3.739</v>
      </c>
      <c r="HF16" t="n">
        <v>0.03155</v>
      </c>
      <c r="HH16" t="n">
        <v>0.0675</v>
      </c>
      <c r="HI16" t="n">
        <v>17.69</v>
      </c>
      <c r="HJ16" t="n">
        <v>0.02003</v>
      </c>
      <c r="HK16" t="n">
        <v>327.6</v>
      </c>
      <c r="HL16" t="n">
        <v>19.70782</v>
      </c>
      <c r="HM16" t="n">
        <v>1034</v>
      </c>
      <c r="HX16" t="n">
        <v>0</v>
      </c>
    </row>
    <row r="17">
      <c r="A17" t="n">
        <v>746772</v>
      </c>
      <c r="B17" t="inlineStr">
        <is>
          <t>Milk, lowfat, fluid, 1% milkfat, with added vitamin A and vitamin D</t>
        </is>
      </c>
      <c r="C17" t="inlineStr"/>
      <c r="D17" t="inlineStr">
        <is>
          <t>Foundation</t>
        </is>
      </c>
      <c r="E17" s="8" t="n">
        <v>100</v>
      </c>
      <c r="F17" s="9">
        <f>E17/SUM($E$3:$E$58)</f>
        <v/>
      </c>
      <c r="G17" t="n">
        <v>89.7</v>
      </c>
      <c r="H17" t="n">
        <v>126</v>
      </c>
      <c r="I17" t="n">
        <v>0.21</v>
      </c>
      <c r="J17" t="n">
        <v>0.032</v>
      </c>
      <c r="K17" t="n">
        <v>0</v>
      </c>
      <c r="L17" t="n">
        <v>0.012</v>
      </c>
      <c r="M17" t="n">
        <v>159</v>
      </c>
      <c r="N17" t="n">
        <v>0.004</v>
      </c>
      <c r="O17" t="n">
        <v>0</v>
      </c>
      <c r="P17" t="n">
        <v>0</v>
      </c>
      <c r="Q17" t="n">
        <v>0</v>
      </c>
      <c r="R17" t="n">
        <v>0.001</v>
      </c>
      <c r="S17" t="n">
        <v>0.001</v>
      </c>
      <c r="T17" t="n">
        <v>2.1</v>
      </c>
      <c r="U17" t="n">
        <v>0.023</v>
      </c>
      <c r="V17" t="n">
        <v>0.01</v>
      </c>
      <c r="W17" t="n">
        <v>0.265</v>
      </c>
      <c r="X17" t="n">
        <v>0.096</v>
      </c>
      <c r="Y17" t="n">
        <v>0.001</v>
      </c>
      <c r="Z17" t="n">
        <v>0.022</v>
      </c>
      <c r="AA17" t="n">
        <v>0.015</v>
      </c>
      <c r="AB17" t="n">
        <v>0.027</v>
      </c>
      <c r="AC17" t="n">
        <v>0.004</v>
      </c>
      <c r="AD17" t="n">
        <v>0</v>
      </c>
      <c r="AE17" t="n">
        <v>0.43</v>
      </c>
      <c r="AF17" t="n">
        <v>5.18</v>
      </c>
      <c r="AG17" t="n">
        <v>0.113</v>
      </c>
      <c r="AH17" t="n">
        <v>0.368</v>
      </c>
      <c r="AI17" t="n">
        <v>0.057</v>
      </c>
      <c r="AJ17" t="n">
        <v>0.85</v>
      </c>
      <c r="AK17" t="n">
        <v>0.95</v>
      </c>
      <c r="AL17" t="n">
        <v>0.06</v>
      </c>
      <c r="AM17" t="n">
        <v>0.02</v>
      </c>
      <c r="AO17" t="n">
        <v>0.111</v>
      </c>
      <c r="AP17" t="n">
        <v>0.128</v>
      </c>
      <c r="AQ17" t="n">
        <v>0.286</v>
      </c>
      <c r="AR17" t="n">
        <v>0.036</v>
      </c>
      <c r="AS17" t="n">
        <v>0.8090000000000001</v>
      </c>
      <c r="AT17" t="n">
        <v>0.06900000000000001</v>
      </c>
      <c r="AU17" t="n">
        <v>0.099</v>
      </c>
      <c r="AV17" t="n">
        <v>0.174</v>
      </c>
      <c r="AW17" t="n">
        <v>0.342</v>
      </c>
      <c r="AX17" t="n">
        <v>0.308</v>
      </c>
      <c r="AY17" t="n">
        <v>0.092</v>
      </c>
      <c r="AZ17" t="n">
        <v>0.007</v>
      </c>
      <c r="BA17" t="n">
        <v>0.001</v>
      </c>
      <c r="BB17" t="n">
        <v>0</v>
      </c>
      <c r="BC17" t="n">
        <v>0.53</v>
      </c>
      <c r="BD17" t="n">
        <v>0.168</v>
      </c>
      <c r="BE17" t="n">
        <v>0.349</v>
      </c>
      <c r="BF17" t="n">
        <v>0</v>
      </c>
      <c r="BG17" t="n">
        <v>0</v>
      </c>
      <c r="BH17" t="n">
        <v>0.194</v>
      </c>
      <c r="BI17" t="n">
        <v>0</v>
      </c>
      <c r="BJ17" t="n">
        <v>0</v>
      </c>
      <c r="BK17" t="n">
        <v>0.158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0.045</v>
      </c>
      <c r="BT17" t="n">
        <v>0.167</v>
      </c>
      <c r="BU17" t="n">
        <v>0.21</v>
      </c>
      <c r="BX17" t="n">
        <v>0.004</v>
      </c>
      <c r="BY17" t="n">
        <v>0.002</v>
      </c>
      <c r="BZ17" t="n">
        <v>0.029</v>
      </c>
      <c r="CA17" t="n">
        <v>0.004</v>
      </c>
      <c r="CB17" t="n">
        <v>0</v>
      </c>
      <c r="CC17" t="n">
        <v>0.001</v>
      </c>
      <c r="CD17" t="n">
        <v>0.001</v>
      </c>
      <c r="CE17" t="n">
        <v>0</v>
      </c>
      <c r="CF17" t="n">
        <v>0</v>
      </c>
      <c r="CG17" t="n">
        <v>0</v>
      </c>
      <c r="CH17" t="n">
        <v>58</v>
      </c>
      <c r="CI17" t="n">
        <v>58</v>
      </c>
      <c r="CJ17" t="n">
        <v>1.06</v>
      </c>
      <c r="CK17" t="n">
        <v>1.06</v>
      </c>
      <c r="CL17" t="n">
        <v>1</v>
      </c>
      <c r="CM17" t="n">
        <v>0</v>
      </c>
      <c r="CN17" t="n">
        <v>0</v>
      </c>
      <c r="CO17" t="n">
        <v>0</v>
      </c>
      <c r="CP17" t="n">
        <v>4.96</v>
      </c>
      <c r="CQ17" t="n">
        <v>0</v>
      </c>
      <c r="CR17" t="n">
        <v>0</v>
      </c>
      <c r="CS17" t="n">
        <v>42.4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0.001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0</v>
      </c>
      <c r="DQ17" t="n">
        <v>3</v>
      </c>
      <c r="DR17" t="n">
        <v>10.9</v>
      </c>
      <c r="DS17" t="n">
        <v>0.9</v>
      </c>
      <c r="DT17" t="n">
        <v>1.8</v>
      </c>
      <c r="DU17" t="n">
        <v>0.8</v>
      </c>
      <c r="DV17" t="n">
        <v>36.2</v>
      </c>
      <c r="DW17" t="n">
        <v>4.96</v>
      </c>
      <c r="EQ17" t="n">
        <v>42.78999999999999</v>
      </c>
      <c r="ER17" t="n">
        <v>179.03336</v>
      </c>
      <c r="GE17" t="n">
        <v>5</v>
      </c>
      <c r="GF17" t="n">
        <v>0.5679999999999999</v>
      </c>
      <c r="GG17" t="n">
        <v>0.036</v>
      </c>
      <c r="GH17" t="n">
        <v>0.031</v>
      </c>
      <c r="GI17" t="n">
        <v>2</v>
      </c>
      <c r="GJ17" t="n">
        <v>0</v>
      </c>
      <c r="GK17" t="n">
        <v>0.002</v>
      </c>
      <c r="GL17" t="n">
        <v>0.187</v>
      </c>
      <c r="GM17" t="n">
        <v>0</v>
      </c>
      <c r="GN17" t="n">
        <v>0</v>
      </c>
      <c r="GO17" t="n">
        <v>0.026</v>
      </c>
      <c r="GP17" t="n">
        <v>0.004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0.14</v>
      </c>
      <c r="GW17" t="n">
        <v>0.026</v>
      </c>
      <c r="GX17" t="n">
        <v>0.093</v>
      </c>
      <c r="GY17" t="n">
        <v>0.006</v>
      </c>
      <c r="GZ17" t="n">
        <v>0</v>
      </c>
      <c r="HA17" t="n">
        <v>0</v>
      </c>
      <c r="HB17" t="n">
        <v>0.011</v>
      </c>
      <c r="HC17" t="n">
        <v>0.002</v>
      </c>
      <c r="HD17" t="n">
        <v>0.61</v>
      </c>
      <c r="HE17" t="n">
        <v>0.8</v>
      </c>
      <c r="HF17" t="n">
        <v>0.001</v>
      </c>
      <c r="HG17" t="n">
        <v>0</v>
      </c>
      <c r="HH17" t="n">
        <v>0</v>
      </c>
      <c r="HI17" t="n">
        <v>12</v>
      </c>
      <c r="HJ17" t="n">
        <v>0</v>
      </c>
      <c r="HK17" t="n">
        <v>103</v>
      </c>
      <c r="HL17" t="n">
        <v>3.38</v>
      </c>
      <c r="HM17" t="n">
        <v>39</v>
      </c>
      <c r="HN17" t="n">
        <v>0.9</v>
      </c>
      <c r="HO17" t="n">
        <v>17.4</v>
      </c>
    </row>
    <row r="18">
      <c r="A18" t="n">
        <v>746776</v>
      </c>
      <c r="B18" t="inlineStr">
        <is>
          <t>Milk, nonfat, fluid, with added vitamin A and vitamin D (fat free or skim)</t>
        </is>
      </c>
      <c r="C18" t="inlineStr"/>
      <c r="D18" t="inlineStr">
        <is>
          <t>Foundation</t>
        </is>
      </c>
      <c r="E18" s="8" t="n">
        <v>100</v>
      </c>
      <c r="F18" s="9">
        <f>E18/SUM($E$3:$E$58)</f>
        <v/>
      </c>
      <c r="G18" t="n">
        <v>90.8</v>
      </c>
      <c r="H18" t="n">
        <v>132</v>
      </c>
      <c r="I18" t="n">
        <v>0.017</v>
      </c>
      <c r="J18" t="n">
        <v>0.006</v>
      </c>
      <c r="K18" t="n">
        <v>0</v>
      </c>
      <c r="L18" t="n">
        <v>0.001</v>
      </c>
      <c r="M18" t="n">
        <v>167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0.002</v>
      </c>
      <c r="V18" t="n">
        <v>0.001</v>
      </c>
      <c r="W18" t="n">
        <v>0.021</v>
      </c>
      <c r="X18" t="n">
        <v>0.008999999999999999</v>
      </c>
      <c r="Y18" t="n">
        <v>0</v>
      </c>
      <c r="Z18" t="n">
        <v>0.003</v>
      </c>
      <c r="AA18" t="n">
        <v>0.001</v>
      </c>
      <c r="AB18" t="n">
        <v>0.001</v>
      </c>
      <c r="AC18" t="n">
        <v>0</v>
      </c>
      <c r="AD18" t="n">
        <v>0</v>
      </c>
      <c r="AE18" t="n">
        <v>0.45</v>
      </c>
      <c r="AF18" t="n">
        <v>4.92</v>
      </c>
      <c r="AG18" t="n">
        <v>0.118</v>
      </c>
      <c r="AH18" t="n">
        <v>0.388</v>
      </c>
      <c r="AI18" t="n">
        <v>0.056</v>
      </c>
      <c r="AJ18" t="n">
        <v>0.07000000000000001</v>
      </c>
      <c r="AK18" t="n">
        <v>0.08</v>
      </c>
      <c r="AL18" t="n">
        <v>0.058</v>
      </c>
      <c r="AM18" t="n">
        <v>0</v>
      </c>
      <c r="AO18" t="n">
        <v>0.118</v>
      </c>
      <c r="AP18" t="n">
        <v>0.131</v>
      </c>
      <c r="AQ18" t="n">
        <v>0.299</v>
      </c>
      <c r="AR18" t="n">
        <v>0.038</v>
      </c>
      <c r="AS18" t="n">
        <v>0.832</v>
      </c>
      <c r="AT18" t="n">
        <v>0.07099999999999999</v>
      </c>
      <c r="AU18" t="n">
        <v>0.101</v>
      </c>
      <c r="AV18" t="n">
        <v>0.182</v>
      </c>
      <c r="AW18" t="n">
        <v>0.347</v>
      </c>
      <c r="AX18" t="n">
        <v>0.302</v>
      </c>
      <c r="AY18" t="n">
        <v>0.093</v>
      </c>
      <c r="AZ18" t="n">
        <v>0</v>
      </c>
      <c r="BA18" t="n">
        <v>0</v>
      </c>
      <c r="BB18" t="n">
        <v>0</v>
      </c>
      <c r="BC18" t="n">
        <v>0.54</v>
      </c>
      <c r="BD18" t="n">
        <v>0.168</v>
      </c>
      <c r="BE18" t="n">
        <v>0.348</v>
      </c>
      <c r="BF18" t="n">
        <v>0</v>
      </c>
      <c r="BG18" t="n">
        <v>0</v>
      </c>
      <c r="BH18" t="n">
        <v>0.202</v>
      </c>
      <c r="BI18" t="n">
        <v>0</v>
      </c>
      <c r="BJ18" t="n">
        <v>0</v>
      </c>
      <c r="BK18" t="n">
        <v>0.166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0.048</v>
      </c>
      <c r="BT18" t="n">
        <v>0.168</v>
      </c>
      <c r="BU18" t="n">
        <v>0.222</v>
      </c>
      <c r="BX18" t="n">
        <v>0</v>
      </c>
      <c r="BY18" t="n">
        <v>0</v>
      </c>
      <c r="BZ18" t="n">
        <v>0.005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64</v>
      </c>
      <c r="CI18" t="n">
        <v>64</v>
      </c>
      <c r="CJ18" t="n">
        <v>1.1</v>
      </c>
      <c r="CK18" t="n">
        <v>1.1</v>
      </c>
      <c r="CL18" t="n">
        <v>2</v>
      </c>
      <c r="CM18" t="n">
        <v>0</v>
      </c>
      <c r="CN18" t="n">
        <v>0</v>
      </c>
      <c r="CO18" t="n">
        <v>0</v>
      </c>
      <c r="CP18" t="n">
        <v>5.05</v>
      </c>
      <c r="CQ18" t="n">
        <v>0</v>
      </c>
      <c r="CR18" t="n">
        <v>0</v>
      </c>
      <c r="CS18" t="n">
        <v>44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1</v>
      </c>
      <c r="DK18" t="n">
        <v>0</v>
      </c>
      <c r="DL18" t="n">
        <v>0</v>
      </c>
      <c r="DM18" t="n">
        <v>1</v>
      </c>
      <c r="DN18" t="n">
        <v>1</v>
      </c>
      <c r="DO18" t="n">
        <v>0</v>
      </c>
      <c r="DP18" t="n">
        <v>0</v>
      </c>
      <c r="DQ18" t="n">
        <v>3.1</v>
      </c>
      <c r="DR18" t="n">
        <v>11.5</v>
      </c>
      <c r="DS18" t="n">
        <v>0.8</v>
      </c>
      <c r="DT18" t="n">
        <v>2</v>
      </c>
      <c r="DU18" t="n">
        <v>0.9</v>
      </c>
      <c r="DV18" t="n">
        <v>35.7</v>
      </c>
      <c r="DW18" t="n">
        <v>5.05</v>
      </c>
      <c r="EQ18" t="n">
        <v>34.12</v>
      </c>
      <c r="ER18" t="n">
        <v>142.75808</v>
      </c>
      <c r="GE18" t="n">
        <v>3</v>
      </c>
      <c r="GF18" t="n">
        <v>0.049</v>
      </c>
      <c r="GG18" t="n">
        <v>0</v>
      </c>
      <c r="GH18" t="n">
        <v>0.001</v>
      </c>
      <c r="GI18" t="n">
        <v>2</v>
      </c>
      <c r="GJ18" t="n">
        <v>0</v>
      </c>
      <c r="GK18" t="n">
        <v>0</v>
      </c>
      <c r="GL18" t="n">
        <v>0.017</v>
      </c>
      <c r="GM18" t="n">
        <v>0</v>
      </c>
      <c r="GN18" t="n">
        <v>0</v>
      </c>
      <c r="GO18" t="n">
        <v>0.005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0.131</v>
      </c>
      <c r="GW18" t="n">
        <v>0.002</v>
      </c>
      <c r="GX18" t="n">
        <v>0.008</v>
      </c>
      <c r="GY18" t="n">
        <v>0.001</v>
      </c>
      <c r="GZ18" t="n">
        <v>0</v>
      </c>
      <c r="HA18" t="n">
        <v>0</v>
      </c>
      <c r="HB18" t="n">
        <v>0.001</v>
      </c>
      <c r="HC18" t="n">
        <v>0</v>
      </c>
      <c r="HD18" t="n">
        <v>0.58</v>
      </c>
      <c r="HE18" t="n">
        <v>0.77</v>
      </c>
      <c r="HF18" t="n">
        <v>0.002</v>
      </c>
      <c r="HG18" t="n">
        <v>0</v>
      </c>
      <c r="HH18" t="n">
        <v>0</v>
      </c>
      <c r="HI18" t="n">
        <v>12.5</v>
      </c>
      <c r="HJ18" t="n">
        <v>0.001</v>
      </c>
      <c r="HK18" t="n">
        <v>107</v>
      </c>
      <c r="HL18" t="n">
        <v>3.43</v>
      </c>
      <c r="HM18" t="n">
        <v>41</v>
      </c>
      <c r="HN18" t="n">
        <v>0.9</v>
      </c>
      <c r="HO18" t="n">
        <v>18.2</v>
      </c>
    </row>
    <row r="19">
      <c r="A19" t="n">
        <v>746778</v>
      </c>
      <c r="B19" t="inlineStr">
        <is>
          <t>Milk, reduced fat, fluid, 2% milkfat, with added vitamin A and vitamin D</t>
        </is>
      </c>
      <c r="C19" t="inlineStr"/>
      <c r="D19" t="inlineStr">
        <is>
          <t>Foundation</t>
        </is>
      </c>
      <c r="E19" s="8" t="n">
        <v>100</v>
      </c>
      <c r="F19" s="9">
        <f>E19/SUM($E$3:$E$58)</f>
        <v/>
      </c>
      <c r="G19" t="n">
        <v>89.09999999999999</v>
      </c>
      <c r="H19" t="n">
        <v>126</v>
      </c>
      <c r="I19" t="n">
        <v>0.4</v>
      </c>
      <c r="J19" t="n">
        <v>0.058</v>
      </c>
      <c r="K19" t="n">
        <v>0</v>
      </c>
      <c r="L19" t="n">
        <v>0.024</v>
      </c>
      <c r="M19" t="n">
        <v>159</v>
      </c>
      <c r="N19" t="n">
        <v>0.007</v>
      </c>
      <c r="O19" t="n">
        <v>0</v>
      </c>
      <c r="P19" t="n">
        <v>0</v>
      </c>
      <c r="Q19" t="n">
        <v>0</v>
      </c>
      <c r="R19" t="n">
        <v>0.002</v>
      </c>
      <c r="S19" t="n">
        <v>0.003</v>
      </c>
      <c r="U19" t="n">
        <v>0.049</v>
      </c>
      <c r="V19" t="n">
        <v>0.019</v>
      </c>
      <c r="W19" t="n">
        <v>0.512</v>
      </c>
      <c r="X19" t="n">
        <v>0.184</v>
      </c>
      <c r="Y19" t="n">
        <v>0.002</v>
      </c>
      <c r="Z19" t="n">
        <v>0.041</v>
      </c>
      <c r="AA19" t="n">
        <v>0.032</v>
      </c>
      <c r="AB19" t="n">
        <v>0.052</v>
      </c>
      <c r="AC19" t="n">
        <v>0.008999999999999999</v>
      </c>
      <c r="AD19" t="n">
        <v>0</v>
      </c>
      <c r="AE19" t="n">
        <v>0.43</v>
      </c>
      <c r="AF19" t="n">
        <v>4.9</v>
      </c>
      <c r="AG19" t="n">
        <v>0.112</v>
      </c>
      <c r="AH19" t="n">
        <v>0.39</v>
      </c>
      <c r="AI19" t="n">
        <v>0.059</v>
      </c>
      <c r="AJ19" t="n">
        <v>1.64</v>
      </c>
      <c r="AK19" t="n">
        <v>1.9</v>
      </c>
      <c r="AL19" t="n">
        <v>0.061</v>
      </c>
      <c r="AM19" t="n">
        <v>0.03</v>
      </c>
      <c r="AO19" t="n">
        <v>0.113</v>
      </c>
      <c r="AP19" t="n">
        <v>0.125</v>
      </c>
      <c r="AQ19" t="n">
        <v>0.291</v>
      </c>
      <c r="AR19" t="n">
        <v>0.035</v>
      </c>
      <c r="AS19" t="n">
        <v>0.801</v>
      </c>
      <c r="AT19" t="n">
        <v>0.068</v>
      </c>
      <c r="AU19" t="n">
        <v>0.099</v>
      </c>
      <c r="AV19" t="n">
        <v>0.173</v>
      </c>
      <c r="AW19" t="n">
        <v>0.335</v>
      </c>
      <c r="AX19" t="n">
        <v>0.293</v>
      </c>
      <c r="AY19" t="n">
        <v>0.089</v>
      </c>
      <c r="AZ19" t="n">
        <v>0.014</v>
      </c>
      <c r="BA19" t="n">
        <v>0.002</v>
      </c>
      <c r="BB19" t="n">
        <v>0</v>
      </c>
      <c r="BC19" t="n">
        <v>0.53</v>
      </c>
      <c r="BD19" t="n">
        <v>0.163</v>
      </c>
      <c r="BE19" t="n">
        <v>0.332</v>
      </c>
      <c r="BF19" t="n">
        <v>0</v>
      </c>
      <c r="BG19" t="n">
        <v>0</v>
      </c>
      <c r="BH19" t="n">
        <v>0.197</v>
      </c>
      <c r="BI19" t="n">
        <v>0</v>
      </c>
      <c r="BJ19" t="n">
        <v>0</v>
      </c>
      <c r="BK19" t="n">
        <v>0.162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0.042</v>
      </c>
      <c r="BT19" t="n">
        <v>0.165</v>
      </c>
      <c r="BU19" t="n">
        <v>0.213</v>
      </c>
      <c r="BX19" t="n">
        <v>0.008999999999999999</v>
      </c>
      <c r="BY19" t="n">
        <v>0.003</v>
      </c>
      <c r="BZ19" t="n">
        <v>0.052</v>
      </c>
      <c r="CA19" t="n">
        <v>0.007</v>
      </c>
      <c r="CB19" t="n">
        <v>0</v>
      </c>
      <c r="CC19" t="n">
        <v>0.002</v>
      </c>
      <c r="CD19" t="n">
        <v>0.003</v>
      </c>
      <c r="CE19" t="n">
        <v>0</v>
      </c>
      <c r="CF19" t="n">
        <v>0.001</v>
      </c>
      <c r="CG19" t="n">
        <v>0</v>
      </c>
      <c r="CM19" t="n">
        <v>0</v>
      </c>
      <c r="CN19" t="n">
        <v>0</v>
      </c>
      <c r="CO19" t="n">
        <v>0</v>
      </c>
      <c r="CP19" t="n">
        <v>4.89</v>
      </c>
      <c r="CQ19" t="n">
        <v>0</v>
      </c>
      <c r="CR19" t="n">
        <v>0</v>
      </c>
      <c r="CS19" t="n">
        <v>45.2</v>
      </c>
      <c r="CZ19" t="n">
        <v>0.001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0.003</v>
      </c>
      <c r="DI19" t="n">
        <v>0</v>
      </c>
      <c r="DQ19" t="n">
        <v>3.1</v>
      </c>
      <c r="DR19" t="n">
        <v>11</v>
      </c>
      <c r="DS19" t="n">
        <v>1.1</v>
      </c>
      <c r="DT19" t="n">
        <v>1.9</v>
      </c>
      <c r="DU19" t="n">
        <v>1.2</v>
      </c>
      <c r="DW19" t="n">
        <v>4.89</v>
      </c>
      <c r="EQ19" t="n">
        <v>50.14</v>
      </c>
      <c r="ER19" t="n">
        <v>209.78576</v>
      </c>
      <c r="EU19" t="n">
        <v>39.6</v>
      </c>
      <c r="EV19" t="n">
        <v>1.8</v>
      </c>
      <c r="EZ19" t="n">
        <v>2</v>
      </c>
      <c r="FD19" t="n">
        <v>0.55</v>
      </c>
      <c r="FF19" t="n">
        <v>83</v>
      </c>
      <c r="FG19" t="n">
        <v>83</v>
      </c>
      <c r="FH19" t="n">
        <v>3</v>
      </c>
      <c r="FI19" t="n">
        <v>1</v>
      </c>
      <c r="FJ19" t="n">
        <v>2</v>
      </c>
      <c r="FK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S19" t="n">
        <v>0</v>
      </c>
      <c r="FT19" t="n">
        <v>0</v>
      </c>
      <c r="FU19" t="n">
        <v>0</v>
      </c>
      <c r="FV19" t="n">
        <v>1.13</v>
      </c>
      <c r="FW19" t="n">
        <v>0</v>
      </c>
      <c r="FX19" t="n">
        <v>1.13</v>
      </c>
      <c r="FY19" t="n">
        <v>0</v>
      </c>
      <c r="GE19" t="n">
        <v>8</v>
      </c>
      <c r="GF19" t="n">
        <v>1.11</v>
      </c>
      <c r="GG19" t="n">
        <v>0.07000000000000001</v>
      </c>
      <c r="GH19" t="n">
        <v>0.06</v>
      </c>
      <c r="GJ19" t="n">
        <v>0</v>
      </c>
      <c r="GK19" t="n">
        <v>0.003</v>
      </c>
      <c r="GL19" t="n">
        <v>0.358</v>
      </c>
      <c r="GM19" t="n">
        <v>0</v>
      </c>
      <c r="GN19" t="n">
        <v>0</v>
      </c>
      <c r="GO19" t="n">
        <v>0.045</v>
      </c>
      <c r="GP19" t="n">
        <v>0.007</v>
      </c>
      <c r="GQ19" t="n">
        <v>0</v>
      </c>
      <c r="GR19" t="n">
        <v>0</v>
      </c>
      <c r="GS19" t="n">
        <v>0</v>
      </c>
      <c r="GT19" t="n">
        <v>0.001</v>
      </c>
      <c r="GU19" t="n">
        <v>0</v>
      </c>
      <c r="GV19" t="n">
        <v>0.137</v>
      </c>
      <c r="GW19" t="n">
        <v>0.058</v>
      </c>
      <c r="GX19" t="n">
        <v>0.181</v>
      </c>
      <c r="GY19" t="n">
        <v>0.011</v>
      </c>
      <c r="GZ19" t="n">
        <v>0.001</v>
      </c>
      <c r="HA19" t="n">
        <v>0</v>
      </c>
      <c r="HB19" t="n">
        <v>0.021</v>
      </c>
      <c r="HC19" t="n">
        <v>0.005</v>
      </c>
      <c r="HE19" t="n">
        <v>0.75</v>
      </c>
      <c r="HF19" t="n">
        <v>0.001</v>
      </c>
      <c r="HG19" t="n">
        <v>0</v>
      </c>
      <c r="HH19" t="n">
        <v>0</v>
      </c>
      <c r="HI19" t="n">
        <v>12</v>
      </c>
      <c r="HJ19" t="n">
        <v>0.001</v>
      </c>
      <c r="HK19" t="n">
        <v>103</v>
      </c>
      <c r="HL19" t="n">
        <v>3.36</v>
      </c>
      <c r="HM19" t="n">
        <v>39</v>
      </c>
      <c r="HN19" t="n">
        <v>0.7</v>
      </c>
      <c r="HO19" t="n">
        <v>18.2</v>
      </c>
    </row>
    <row r="20">
      <c r="A20" t="n">
        <v>746782</v>
      </c>
      <c r="B20" t="inlineStr">
        <is>
          <t>Milk, whole, 3.25% milkfat, with added vitamin D</t>
        </is>
      </c>
      <c r="C20" t="inlineStr"/>
      <c r="D20" t="inlineStr">
        <is>
          <t>Foundation</t>
        </is>
      </c>
      <c r="E20" s="8" t="n">
        <v>100</v>
      </c>
      <c r="F20" s="9">
        <f>E20/SUM($E$3:$E$58)</f>
        <v/>
      </c>
      <c r="G20" t="n">
        <v>88.09999999999999</v>
      </c>
      <c r="H20" t="n">
        <v>123</v>
      </c>
      <c r="I20" t="n">
        <v>0.6879999999999999</v>
      </c>
      <c r="J20" t="n">
        <v>0.108</v>
      </c>
      <c r="K20" t="n">
        <v>0</v>
      </c>
      <c r="L20" t="n">
        <v>0.039</v>
      </c>
      <c r="M20" t="n">
        <v>150</v>
      </c>
      <c r="N20" t="n">
        <v>0.013</v>
      </c>
      <c r="O20" t="n">
        <v>0.001</v>
      </c>
      <c r="P20" t="n">
        <v>0</v>
      </c>
      <c r="Q20" t="n">
        <v>0.001</v>
      </c>
      <c r="R20" t="n">
        <v>0.004</v>
      </c>
      <c r="S20" t="n">
        <v>0.004</v>
      </c>
      <c r="T20" t="n">
        <v>1.9</v>
      </c>
      <c r="U20" t="n">
        <v>0.08400000000000001</v>
      </c>
      <c r="V20" t="n">
        <v>0.032</v>
      </c>
      <c r="W20" t="n">
        <v>0.857</v>
      </c>
      <c r="X20" t="n">
        <v>0.309</v>
      </c>
      <c r="Y20" t="n">
        <v>0.004</v>
      </c>
      <c r="Z20" t="n">
        <v>0.067</v>
      </c>
      <c r="AA20" t="n">
        <v>0.054</v>
      </c>
      <c r="AB20" t="n">
        <v>0.082</v>
      </c>
      <c r="AC20" t="n">
        <v>0.018</v>
      </c>
      <c r="AD20" t="n">
        <v>0</v>
      </c>
      <c r="AE20" t="n">
        <v>0.42</v>
      </c>
      <c r="AF20" t="n">
        <v>4.63</v>
      </c>
      <c r="AG20" t="n">
        <v>0.105</v>
      </c>
      <c r="AH20" t="n">
        <v>0.362</v>
      </c>
      <c r="AI20" t="n">
        <v>0.056</v>
      </c>
      <c r="AJ20" t="n">
        <v>2.77</v>
      </c>
      <c r="AK20" t="n">
        <v>3.2</v>
      </c>
      <c r="AL20" t="n">
        <v>0.061</v>
      </c>
      <c r="AM20" t="n">
        <v>0.05</v>
      </c>
      <c r="AO20" t="n">
        <v>0.11</v>
      </c>
      <c r="AP20" t="n">
        <v>0.127</v>
      </c>
      <c r="AQ20" t="n">
        <v>0.279</v>
      </c>
      <c r="AR20" t="n">
        <v>0.038</v>
      </c>
      <c r="AS20" t="n">
        <v>0.788</v>
      </c>
      <c r="AT20" t="n">
        <v>0.06900000000000001</v>
      </c>
      <c r="AU20" t="n">
        <v>0.097</v>
      </c>
      <c r="AV20" t="n">
        <v>0.173</v>
      </c>
      <c r="AW20" t="n">
        <v>0.333</v>
      </c>
      <c r="AX20" t="n">
        <v>0.298</v>
      </c>
      <c r="AY20" t="n">
        <v>0.09</v>
      </c>
      <c r="AZ20" t="n">
        <v>0.024</v>
      </c>
      <c r="BA20" t="n">
        <v>0.004</v>
      </c>
      <c r="BB20" t="n">
        <v>0</v>
      </c>
      <c r="BC20" t="n">
        <v>0.51</v>
      </c>
      <c r="BD20" t="n">
        <v>0.161</v>
      </c>
      <c r="BE20" t="n">
        <v>0.333</v>
      </c>
      <c r="BF20" t="n">
        <v>0</v>
      </c>
      <c r="BG20" t="n">
        <v>0</v>
      </c>
      <c r="BH20" t="n">
        <v>0.188</v>
      </c>
      <c r="BI20" t="n">
        <v>0</v>
      </c>
      <c r="BJ20" t="n">
        <v>0</v>
      </c>
      <c r="BK20" t="n">
        <v>0.154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0.043</v>
      </c>
      <c r="BT20" t="n">
        <v>0.162</v>
      </c>
      <c r="BU20" t="n">
        <v>0.207</v>
      </c>
      <c r="BX20" t="n">
        <v>0.018</v>
      </c>
      <c r="BY20" t="n">
        <v>0.005</v>
      </c>
      <c r="BZ20" t="n">
        <v>0.097</v>
      </c>
      <c r="CA20" t="n">
        <v>0.013</v>
      </c>
      <c r="CB20" t="n">
        <v>0.001</v>
      </c>
      <c r="CC20" t="n">
        <v>0.004</v>
      </c>
      <c r="CD20" t="n">
        <v>0.004</v>
      </c>
      <c r="CE20" t="n">
        <v>0.001</v>
      </c>
      <c r="CF20" t="n">
        <v>0.002</v>
      </c>
      <c r="CG20" t="n">
        <v>0</v>
      </c>
      <c r="CH20" t="n">
        <v>31</v>
      </c>
      <c r="CI20" t="n">
        <v>32</v>
      </c>
      <c r="CJ20" t="n">
        <v>0.96</v>
      </c>
      <c r="CK20" t="n">
        <v>0.96</v>
      </c>
      <c r="CL20" t="n">
        <v>7</v>
      </c>
      <c r="CM20" t="n">
        <v>0</v>
      </c>
      <c r="CN20" t="n">
        <v>0</v>
      </c>
      <c r="CO20" t="n">
        <v>0</v>
      </c>
      <c r="CP20" t="n">
        <v>4.81</v>
      </c>
      <c r="CQ20" t="n">
        <v>0</v>
      </c>
      <c r="CR20" t="n">
        <v>0</v>
      </c>
      <c r="CS20" t="n">
        <v>38.4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0.001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0.005</v>
      </c>
      <c r="DI20" t="n">
        <v>0</v>
      </c>
      <c r="DJ20" t="n">
        <v>2</v>
      </c>
      <c r="DK20" t="n">
        <v>0</v>
      </c>
      <c r="DL20" t="n">
        <v>0</v>
      </c>
      <c r="DM20" t="n">
        <v>5</v>
      </c>
      <c r="DN20" t="n">
        <v>5</v>
      </c>
      <c r="DO20" t="n">
        <v>0</v>
      </c>
      <c r="DP20" t="n">
        <v>1</v>
      </c>
      <c r="DQ20" t="n">
        <v>3</v>
      </c>
      <c r="DR20" t="n">
        <v>10.3</v>
      </c>
      <c r="DS20" t="n">
        <v>1.3</v>
      </c>
      <c r="DT20" t="n">
        <v>1.8</v>
      </c>
      <c r="DU20" t="n">
        <v>1.4</v>
      </c>
      <c r="DV20" t="n">
        <v>37.9</v>
      </c>
      <c r="DW20" t="n">
        <v>4.81</v>
      </c>
      <c r="EQ20" t="n">
        <v>60.40000000000001</v>
      </c>
      <c r="ER20" t="n">
        <v>252.7136</v>
      </c>
      <c r="GE20" t="n">
        <v>12</v>
      </c>
      <c r="GF20" t="n">
        <v>1.86</v>
      </c>
      <c r="GG20" t="n">
        <v>0.112</v>
      </c>
      <c r="GH20" t="n">
        <v>0.095</v>
      </c>
      <c r="GI20" t="n">
        <v>0</v>
      </c>
      <c r="GJ20" t="n">
        <v>0</v>
      </c>
      <c r="GK20" t="n">
        <v>0.005</v>
      </c>
      <c r="GL20" t="n">
        <v>0.612</v>
      </c>
      <c r="GM20" t="n">
        <v>0</v>
      </c>
      <c r="GN20" t="n">
        <v>0</v>
      </c>
      <c r="GO20" t="n">
        <v>0.08400000000000001</v>
      </c>
      <c r="GP20" t="n">
        <v>0.012</v>
      </c>
      <c r="GQ20" t="n">
        <v>0</v>
      </c>
      <c r="GR20" t="n">
        <v>0.001</v>
      </c>
      <c r="GS20" t="n">
        <v>0.001</v>
      </c>
      <c r="GT20" t="n">
        <v>0.002</v>
      </c>
      <c r="GU20" t="n">
        <v>0</v>
      </c>
      <c r="GV20" t="n">
        <v>0.138</v>
      </c>
      <c r="GW20" t="n">
        <v>0.097</v>
      </c>
      <c r="GX20" t="n">
        <v>0.303</v>
      </c>
      <c r="GY20" t="n">
        <v>0.018</v>
      </c>
      <c r="GZ20" t="n">
        <v>0.002</v>
      </c>
      <c r="HA20" t="n">
        <v>0.001</v>
      </c>
      <c r="HB20" t="n">
        <v>0.034</v>
      </c>
      <c r="HC20" t="n">
        <v>0.008</v>
      </c>
      <c r="HD20" t="n">
        <v>0.54</v>
      </c>
      <c r="HE20" t="n">
        <v>0.8</v>
      </c>
      <c r="HF20" t="n">
        <v>0.001</v>
      </c>
      <c r="HG20" t="n">
        <v>0</v>
      </c>
      <c r="HH20" t="n">
        <v>0</v>
      </c>
      <c r="HI20" t="n">
        <v>11.9</v>
      </c>
      <c r="HJ20" t="n">
        <v>0</v>
      </c>
      <c r="HK20" t="n">
        <v>101</v>
      </c>
      <c r="HL20" t="n">
        <v>3.27</v>
      </c>
      <c r="HM20" t="n">
        <v>38</v>
      </c>
      <c r="HN20" t="n">
        <v>0.7</v>
      </c>
      <c r="HO20" t="n">
        <v>17.8</v>
      </c>
    </row>
    <row r="21">
      <c r="A21" t="n">
        <v>2257046</v>
      </c>
      <c r="B21" t="inlineStr">
        <is>
          <t>Oat milk, unsweetened, plain, refrigerated</t>
        </is>
      </c>
      <c r="C21" t="inlineStr"/>
      <c r="D21" t="inlineStr">
        <is>
          <t>Foundation</t>
        </is>
      </c>
      <c r="E21" s="8" t="n">
        <v>100</v>
      </c>
      <c r="F21" s="9">
        <f>E21/SUM($E$3:$E$58)</f>
        <v/>
      </c>
      <c r="G21" t="n">
        <v>90.56</v>
      </c>
      <c r="H21" t="n">
        <v>148.5</v>
      </c>
      <c r="M21" t="n">
        <v>148.4</v>
      </c>
      <c r="AE21" t="n">
        <v>0.09062000000000001</v>
      </c>
      <c r="AF21" t="n">
        <v>5.100325</v>
      </c>
      <c r="AG21" t="n">
        <v>0.09625</v>
      </c>
      <c r="AI21" t="n">
        <v>0.04</v>
      </c>
      <c r="AJ21" t="n">
        <v>2.749</v>
      </c>
      <c r="AK21" t="n">
        <v>2.749</v>
      </c>
      <c r="AL21" t="n">
        <v>0.0065</v>
      </c>
      <c r="AO21" t="n">
        <v>0.0375</v>
      </c>
      <c r="AP21" t="n">
        <v>0.0825</v>
      </c>
      <c r="AQ21" t="n">
        <v>0.0825</v>
      </c>
      <c r="AR21" t="n">
        <v>0.025</v>
      </c>
      <c r="AS21" t="n">
        <v>0.15</v>
      </c>
      <c r="AT21" t="n">
        <v>0.05625</v>
      </c>
      <c r="AU21" t="n">
        <v>0.0175</v>
      </c>
      <c r="AV21" t="n">
        <v>0.025</v>
      </c>
      <c r="AW21" t="n">
        <v>0.08125</v>
      </c>
      <c r="AX21" t="n">
        <v>0.06125</v>
      </c>
      <c r="AY21" t="n">
        <v>0.01</v>
      </c>
      <c r="BC21" t="n">
        <v>0.1275</v>
      </c>
      <c r="BD21" t="n">
        <v>0.0725</v>
      </c>
      <c r="BE21" t="n">
        <v>0.0725</v>
      </c>
      <c r="BH21" t="n">
        <v>0.05625</v>
      </c>
      <c r="BK21" t="n">
        <v>0.0225</v>
      </c>
      <c r="BS21" t="n">
        <v>0.008750000000000001</v>
      </c>
      <c r="BT21" t="n">
        <v>0.04125</v>
      </c>
      <c r="BU21" t="n">
        <v>0.0325</v>
      </c>
      <c r="CM21" t="n">
        <v>0</v>
      </c>
      <c r="CN21" t="n">
        <v>0</v>
      </c>
      <c r="CO21" t="n">
        <v>0.7706</v>
      </c>
      <c r="CP21" t="n">
        <v>0</v>
      </c>
      <c r="CQ21" t="n">
        <v>1.551</v>
      </c>
      <c r="CR21" t="n">
        <v>0</v>
      </c>
      <c r="CS21" t="n">
        <v>68</v>
      </c>
      <c r="DW21" t="n">
        <v>2.3216</v>
      </c>
      <c r="DX21" t="n">
        <v>48.3298</v>
      </c>
      <c r="EE21" t="n">
        <v>0</v>
      </c>
      <c r="EQ21" t="n">
        <v>48.3298</v>
      </c>
      <c r="ER21" t="n">
        <v>202.2118832</v>
      </c>
      <c r="EV21" t="n">
        <v>0</v>
      </c>
      <c r="EX21" t="n">
        <v>10.09</v>
      </c>
      <c r="EY21" t="n">
        <v>1.406</v>
      </c>
      <c r="EZ21" t="n">
        <v>0</v>
      </c>
      <c r="FD21" t="n">
        <v>0.5064</v>
      </c>
      <c r="FG21" t="n">
        <v>84.73</v>
      </c>
      <c r="FV21" t="n">
        <v>1.7</v>
      </c>
      <c r="FW21" t="n">
        <v>1.694</v>
      </c>
      <c r="FX21" t="n">
        <v>0.007692</v>
      </c>
      <c r="FZ21" t="n">
        <v>0.4</v>
      </c>
      <c r="GA21" t="n">
        <v>0</v>
      </c>
      <c r="GV21" t="n">
        <v>0.2807</v>
      </c>
      <c r="HE21" t="n">
        <v>0.7938</v>
      </c>
      <c r="HF21" t="n">
        <v>0.02712</v>
      </c>
      <c r="HG21" t="n">
        <v>0</v>
      </c>
      <c r="HH21" t="n">
        <v>0.2612</v>
      </c>
      <c r="HI21" t="n">
        <v>5.909</v>
      </c>
      <c r="HJ21" t="n">
        <v>0.1262</v>
      </c>
      <c r="HK21" t="n">
        <v>89.18000000000001</v>
      </c>
      <c r="HL21" t="n">
        <v>0.796875</v>
      </c>
      <c r="HM21" t="n">
        <v>41.98</v>
      </c>
      <c r="HX21" t="n">
        <v>0</v>
      </c>
    </row>
    <row r="22">
      <c r="A22" t="n">
        <v>2257044</v>
      </c>
      <c r="B22" t="inlineStr">
        <is>
          <t>Soy milk, sweetened, plain, refrigerated</t>
        </is>
      </c>
      <c r="C22" t="inlineStr"/>
      <c r="D22" t="inlineStr">
        <is>
          <t>Foundation</t>
        </is>
      </c>
      <c r="E22" s="8" t="n">
        <v>100</v>
      </c>
      <c r="F22" s="9">
        <f>E22/SUM($E$3:$E$58)</f>
        <v/>
      </c>
      <c r="G22" t="n">
        <v>91.52</v>
      </c>
      <c r="H22" t="n">
        <v>154.8</v>
      </c>
      <c r="M22" t="n">
        <v>117.9</v>
      </c>
      <c r="AE22" t="n">
        <v>0.2636</v>
      </c>
      <c r="AF22" t="n">
        <v>2.996125</v>
      </c>
      <c r="AG22" t="n">
        <v>0.1329</v>
      </c>
      <c r="AI22" t="n">
        <v>0.04357</v>
      </c>
      <c r="AJ22" t="n">
        <v>1.957</v>
      </c>
      <c r="AK22" t="n">
        <v>1.957</v>
      </c>
      <c r="AL22" t="n">
        <v>0.03643</v>
      </c>
      <c r="AO22" t="n">
        <v>0.1</v>
      </c>
      <c r="AP22" t="n">
        <v>0.2</v>
      </c>
      <c r="AQ22" t="n">
        <v>0.3286</v>
      </c>
      <c r="AR22" t="n">
        <v>0.04857</v>
      </c>
      <c r="AS22" t="n">
        <v>0.4857</v>
      </c>
      <c r="AT22" t="n">
        <v>0.1</v>
      </c>
      <c r="AU22" t="n">
        <v>0.1</v>
      </c>
      <c r="AV22" t="n">
        <v>0.1</v>
      </c>
      <c r="AW22" t="n">
        <v>0.2</v>
      </c>
      <c r="AX22" t="n">
        <v>0.2</v>
      </c>
      <c r="AY22" t="n">
        <v>0.03286</v>
      </c>
      <c r="BC22" t="n">
        <v>0.4443</v>
      </c>
      <c r="BD22" t="n">
        <v>0.1571</v>
      </c>
      <c r="BE22" t="n">
        <v>0.1143</v>
      </c>
      <c r="BH22" t="n">
        <v>0.1714</v>
      </c>
      <c r="BK22" t="n">
        <v>0.1</v>
      </c>
      <c r="BS22" t="n">
        <v>0.03429</v>
      </c>
      <c r="BT22" t="n">
        <v>0.1</v>
      </c>
      <c r="BU22" t="n">
        <v>0.1014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2.577</v>
      </c>
      <c r="CS22" t="n">
        <v>185</v>
      </c>
      <c r="DX22" t="n">
        <v>40.705</v>
      </c>
      <c r="EE22" t="n">
        <v>0</v>
      </c>
      <c r="EQ22" t="n">
        <v>40.705</v>
      </c>
      <c r="ER22" t="n">
        <v>170.30972</v>
      </c>
      <c r="EV22" t="n">
        <v>0</v>
      </c>
      <c r="EX22" t="n">
        <v>32.29</v>
      </c>
      <c r="EY22" t="n">
        <v>2.157</v>
      </c>
      <c r="EZ22" t="n">
        <v>15.81</v>
      </c>
      <c r="FD22" t="n">
        <v>1.327</v>
      </c>
      <c r="FG22" t="n">
        <v>89.43000000000001</v>
      </c>
      <c r="FV22" t="n">
        <v>4.63</v>
      </c>
      <c r="FW22" t="n">
        <v>4.61</v>
      </c>
      <c r="FX22" t="n">
        <v>0.02014</v>
      </c>
      <c r="FZ22" t="n">
        <v>2.8</v>
      </c>
      <c r="GA22" t="n">
        <v>0</v>
      </c>
      <c r="GV22" t="n">
        <v>0.3307</v>
      </c>
      <c r="HE22" t="n">
        <v>0.75</v>
      </c>
      <c r="HF22" t="n">
        <v>0.09561</v>
      </c>
      <c r="HG22" t="n">
        <v>0</v>
      </c>
      <c r="HH22" t="n">
        <v>0.3666</v>
      </c>
      <c r="HI22" t="n">
        <v>17.46</v>
      </c>
      <c r="HJ22" t="n">
        <v>0.1596</v>
      </c>
      <c r="HK22" t="n">
        <v>45.96</v>
      </c>
      <c r="HL22" t="n">
        <v>2.776875</v>
      </c>
      <c r="HM22" t="n">
        <v>39.44</v>
      </c>
      <c r="HX22" t="n">
        <v>0</v>
      </c>
      <c r="IJ22" t="n">
        <v>0.1393</v>
      </c>
      <c r="IK22" t="n">
        <v>0.2364</v>
      </c>
      <c r="IL22" t="n">
        <v>7.961</v>
      </c>
      <c r="IM22" t="n">
        <v>14.71</v>
      </c>
      <c r="IN22" t="n">
        <v>0.3643</v>
      </c>
    </row>
    <row r="23">
      <c r="A23" t="n">
        <v>1999630</v>
      </c>
      <c r="B23" t="inlineStr">
        <is>
          <t>Soy milk, unsweetened, plain, shelf stable</t>
        </is>
      </c>
      <c r="C23" t="inlineStr"/>
      <c r="D23" t="inlineStr">
        <is>
          <t>Foundation</t>
        </is>
      </c>
      <c r="E23" s="8" t="n">
        <v>100</v>
      </c>
      <c r="F23" s="9">
        <f>E23/SUM($E$3:$E$58)</f>
        <v/>
      </c>
      <c r="G23" t="n">
        <v>92.40000000000001</v>
      </c>
      <c r="H23" t="n">
        <v>101</v>
      </c>
      <c r="I23" t="n">
        <v>0.4163</v>
      </c>
      <c r="J23" t="n">
        <v>1.154</v>
      </c>
      <c r="K23" t="n">
        <v>0</v>
      </c>
      <c r="L23" t="n">
        <v>0.001938</v>
      </c>
      <c r="M23" t="n">
        <v>158.2</v>
      </c>
      <c r="N23" t="n">
        <v>0</v>
      </c>
      <c r="O23" t="n">
        <v>0</v>
      </c>
      <c r="P23" t="n">
        <v>0</v>
      </c>
      <c r="Q23" t="n">
        <v>0.0005625</v>
      </c>
      <c r="R23" t="n">
        <v>0</v>
      </c>
      <c r="S23" t="n">
        <v>0</v>
      </c>
      <c r="U23" t="n">
        <v>0</v>
      </c>
      <c r="V23" t="n">
        <v>0.001688</v>
      </c>
      <c r="W23" t="n">
        <v>0.2182</v>
      </c>
      <c r="X23" t="n">
        <v>0.07281</v>
      </c>
      <c r="Y23" t="n">
        <v>0.005625</v>
      </c>
      <c r="Z23" t="n">
        <v>0</v>
      </c>
      <c r="AA23" t="n">
        <v>0</v>
      </c>
      <c r="AB23" t="n">
        <v>0.0008125</v>
      </c>
      <c r="AC23" t="n">
        <v>0.001125</v>
      </c>
      <c r="AD23" t="n">
        <v>0</v>
      </c>
      <c r="AE23" t="n">
        <v>0.3118</v>
      </c>
      <c r="AF23" t="n">
        <v>1.293125</v>
      </c>
      <c r="AG23" t="n">
        <v>0.2356</v>
      </c>
      <c r="AI23" t="n">
        <v>0.06319</v>
      </c>
      <c r="AJ23" t="n">
        <v>1.8841</v>
      </c>
      <c r="AK23" t="n">
        <v>2.125</v>
      </c>
      <c r="AL23" t="n">
        <v>0.05525</v>
      </c>
      <c r="AM23" t="n">
        <v>0.1557</v>
      </c>
      <c r="AO23" t="n">
        <v>0.1394</v>
      </c>
      <c r="AP23" t="n">
        <v>0.2688</v>
      </c>
      <c r="AQ23" t="n">
        <v>0.3963</v>
      </c>
      <c r="AR23" t="n">
        <v>0.0575</v>
      </c>
      <c r="AS23" t="n">
        <v>0.6194</v>
      </c>
      <c r="AT23" t="n">
        <v>0.1413</v>
      </c>
      <c r="AU23" t="n">
        <v>0.0975</v>
      </c>
      <c r="AV23" t="n">
        <v>0.145</v>
      </c>
      <c r="AW23" t="n">
        <v>0.2494</v>
      </c>
      <c r="AX23" t="n">
        <v>0.2206</v>
      </c>
      <c r="AY23" t="n">
        <v>0.04625</v>
      </c>
      <c r="AZ23" t="n">
        <v>0</v>
      </c>
      <c r="BA23" t="n">
        <v>0.004813</v>
      </c>
      <c r="BB23" t="n">
        <v>0</v>
      </c>
      <c r="BC23" t="n">
        <v>0.5675</v>
      </c>
      <c r="BD23" t="n">
        <v>0.175</v>
      </c>
      <c r="BE23" t="n">
        <v>0.137</v>
      </c>
      <c r="BF23" t="n">
        <v>0</v>
      </c>
      <c r="BG23" t="n">
        <v>0</v>
      </c>
      <c r="BH23" t="n">
        <v>0.1675</v>
      </c>
      <c r="BI23" t="n">
        <v>0</v>
      </c>
      <c r="BJ23" t="n">
        <v>0</v>
      </c>
      <c r="BK23" t="n">
        <v>0.1281</v>
      </c>
      <c r="BL23" t="n">
        <v>0</v>
      </c>
      <c r="BM23" t="n">
        <v>0.8742</v>
      </c>
      <c r="BN23" t="n">
        <v>1.42</v>
      </c>
      <c r="BO23" t="n">
        <v>0</v>
      </c>
      <c r="BP23" t="n">
        <v>0</v>
      </c>
      <c r="BQ23" t="n">
        <v>0</v>
      </c>
      <c r="BR23" t="n">
        <v>0</v>
      </c>
      <c r="BS23" t="n">
        <v>0.04625</v>
      </c>
      <c r="BT23" t="n">
        <v>0.1238</v>
      </c>
      <c r="BU23" t="n">
        <v>0.1419</v>
      </c>
      <c r="BY23" t="n">
        <v>0.001</v>
      </c>
      <c r="BZ23" t="n">
        <v>0.9878</v>
      </c>
      <c r="CA23" t="n">
        <v>0.1664</v>
      </c>
      <c r="CB23" t="n">
        <v>0.0005625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0.5569</v>
      </c>
      <c r="CS23" t="n">
        <v>27.2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W23" t="n">
        <v>0.5569</v>
      </c>
      <c r="DX23" t="n">
        <v>38.485</v>
      </c>
      <c r="DY23" t="n">
        <v>38.485</v>
      </c>
      <c r="EE23" t="n">
        <v>0</v>
      </c>
      <c r="EQ23" t="n">
        <v>38.485</v>
      </c>
      <c r="ER23" t="n">
        <v>161.02124</v>
      </c>
      <c r="EU23" t="n">
        <v>0</v>
      </c>
      <c r="EV23" t="n">
        <v>1.942</v>
      </c>
      <c r="EX23" t="n">
        <v>58.38</v>
      </c>
      <c r="EY23" t="n">
        <v>3.338</v>
      </c>
      <c r="EZ23" t="n">
        <v>19.69</v>
      </c>
      <c r="FD23" t="n">
        <v>0.3931</v>
      </c>
      <c r="FF23" t="n">
        <v>58.2</v>
      </c>
      <c r="FG23" t="n">
        <v>58.23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8.224500000000001</v>
      </c>
      <c r="FS23" t="n">
        <v>0.9655</v>
      </c>
      <c r="FU23" t="n">
        <v>7.259</v>
      </c>
      <c r="FV23" t="n">
        <v>0.681</v>
      </c>
      <c r="FW23" t="n">
        <v>0.6814</v>
      </c>
      <c r="FX23" t="n">
        <v>0</v>
      </c>
      <c r="GC23" t="n">
        <v>0.001125</v>
      </c>
      <c r="GF23" t="n">
        <v>0.3138</v>
      </c>
      <c r="GG23" t="n">
        <v>0</v>
      </c>
      <c r="GH23" t="n">
        <v>0.0008125</v>
      </c>
      <c r="GJ23" t="n">
        <v>0</v>
      </c>
      <c r="GK23" t="n">
        <v>0.001</v>
      </c>
      <c r="GL23" t="n">
        <v>0.4092</v>
      </c>
      <c r="GM23" t="n">
        <v>0</v>
      </c>
      <c r="GN23" t="n">
        <v>0</v>
      </c>
      <c r="GO23" t="n">
        <v>0.9878</v>
      </c>
      <c r="GP23" t="n">
        <v>0.1664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0.08400000000000001</v>
      </c>
      <c r="GW23" t="n">
        <v>0</v>
      </c>
      <c r="GX23" t="n">
        <v>0.003813</v>
      </c>
      <c r="GY23" t="n">
        <v>0.002</v>
      </c>
      <c r="GZ23" t="n">
        <v>0.00675</v>
      </c>
      <c r="HA23" t="n">
        <v>0.002313</v>
      </c>
      <c r="HB23" t="n">
        <v>0</v>
      </c>
      <c r="HC23" t="n">
        <v>0</v>
      </c>
      <c r="HE23" t="n">
        <v>0.635</v>
      </c>
      <c r="HF23" t="n">
        <v>0.1078</v>
      </c>
      <c r="HG23" t="n">
        <v>0</v>
      </c>
      <c r="HH23" t="n">
        <v>0.5416</v>
      </c>
      <c r="HI23" t="n">
        <v>21.54</v>
      </c>
      <c r="HJ23" t="n">
        <v>0.2077</v>
      </c>
      <c r="HK23" t="n">
        <v>68.65000000000001</v>
      </c>
      <c r="HL23" t="n">
        <v>3.546875</v>
      </c>
      <c r="HM23" t="n">
        <v>34.28</v>
      </c>
      <c r="IG23" t="n">
        <v>0.06653000000000001</v>
      </c>
      <c r="IH23" t="n">
        <v>0.4344</v>
      </c>
      <c r="II23" t="n">
        <v>0.02625</v>
      </c>
      <c r="IJ23" t="n">
        <v>0.4569</v>
      </c>
      <c r="IK23" t="n">
        <v>0.3801</v>
      </c>
      <c r="IL23" t="n">
        <v>12.91</v>
      </c>
      <c r="IM23" t="n">
        <v>18.81</v>
      </c>
      <c r="IN23" t="n">
        <v>1.365</v>
      </c>
    </row>
    <row r="24">
      <c r="A24" t="n">
        <v>2646174</v>
      </c>
      <c r="B24" t="inlineStr">
        <is>
          <t>Beef, chuck, roast, boneless, choice, raw</t>
        </is>
      </c>
      <c r="C24" t="inlineStr"/>
      <c r="D24" t="inlineStr">
        <is>
          <t>Foundation</t>
        </is>
      </c>
      <c r="E24" s="8" t="n">
        <v>100</v>
      </c>
      <c r="F24" s="9">
        <f>E24/SUM($E$3:$E$58)</f>
        <v/>
      </c>
      <c r="G24" t="n">
        <v>63.43</v>
      </c>
      <c r="H24" t="n">
        <v>4.576</v>
      </c>
      <c r="I24" t="n">
        <v>7.021</v>
      </c>
      <c r="J24" t="n">
        <v>0.5557</v>
      </c>
      <c r="M24" t="n">
        <v>281.1</v>
      </c>
      <c r="AE24" t="n">
        <v>5.386</v>
      </c>
      <c r="AF24" t="n">
        <v>0</v>
      </c>
      <c r="AJ24" t="n">
        <v>17.8</v>
      </c>
      <c r="AK24" t="n">
        <v>17.8</v>
      </c>
      <c r="BC24" t="n">
        <v>2.944</v>
      </c>
      <c r="DX24" t="n">
        <v>231.7048</v>
      </c>
      <c r="DY24" t="n">
        <v>237.096894</v>
      </c>
      <c r="EQ24" t="n">
        <v>233.8</v>
      </c>
      <c r="ER24" t="n">
        <v>978.2192000000001</v>
      </c>
      <c r="GE24" t="n">
        <v>66.75</v>
      </c>
      <c r="GF24" t="n">
        <v>6.341</v>
      </c>
      <c r="GG24" t="n">
        <v>0.6686</v>
      </c>
      <c r="HE24" t="n">
        <v>0.8938</v>
      </c>
      <c r="HF24" t="n">
        <v>0.05405</v>
      </c>
      <c r="HH24" t="n">
        <v>2.059</v>
      </c>
      <c r="HI24" t="n">
        <v>16.99</v>
      </c>
      <c r="HJ24" t="n">
        <v>0</v>
      </c>
      <c r="HK24" t="n">
        <v>151</v>
      </c>
      <c r="HL24" t="n">
        <v>18.4</v>
      </c>
      <c r="HM24" t="n">
        <v>48.44</v>
      </c>
    </row>
    <row r="25">
      <c r="A25" t="n">
        <v>2646175</v>
      </c>
      <c r="B25" t="inlineStr">
        <is>
          <t>Beef, flank, steak, boneless, choice, raw</t>
        </is>
      </c>
      <c r="C25" t="inlineStr"/>
      <c r="D25" t="inlineStr">
        <is>
          <t>Foundation</t>
        </is>
      </c>
      <c r="E25" s="8" t="n">
        <v>100</v>
      </c>
      <c r="F25" s="9">
        <f>E25/SUM($E$3:$E$58)</f>
        <v/>
      </c>
      <c r="G25" t="n">
        <v>69.8</v>
      </c>
      <c r="H25" t="n">
        <v>3.84</v>
      </c>
      <c r="I25" t="n">
        <v>3.59</v>
      </c>
      <c r="J25" t="n">
        <v>0.314</v>
      </c>
      <c r="M25" t="n">
        <v>332</v>
      </c>
      <c r="AE25" t="n">
        <v>5.56</v>
      </c>
      <c r="AF25" t="n">
        <v>0</v>
      </c>
      <c r="AJ25" t="n">
        <v>9.4</v>
      </c>
      <c r="AK25" t="n">
        <v>9.4</v>
      </c>
      <c r="BC25" t="n">
        <v>3.22</v>
      </c>
      <c r="DX25" t="n">
        <v>164</v>
      </c>
      <c r="DY25" t="n">
        <v>170</v>
      </c>
      <c r="EQ25" t="n">
        <v>165</v>
      </c>
      <c r="ER25" t="n">
        <v>690.36</v>
      </c>
      <c r="GE25" t="n">
        <v>57.7</v>
      </c>
      <c r="GF25" t="n">
        <v>3.55</v>
      </c>
      <c r="GG25" t="n">
        <v>0.389</v>
      </c>
      <c r="HE25" t="n">
        <v>0.994</v>
      </c>
      <c r="HF25" t="n">
        <v>0.0447</v>
      </c>
      <c r="HH25" t="n">
        <v>1.83</v>
      </c>
      <c r="HI25" t="n">
        <v>18.9</v>
      </c>
      <c r="HJ25" t="n">
        <v>0.00169</v>
      </c>
      <c r="HK25" t="n">
        <v>167</v>
      </c>
      <c r="HL25" t="n">
        <v>20.1</v>
      </c>
      <c r="HM25" t="n">
        <v>51.3</v>
      </c>
    </row>
    <row r="26">
      <c r="A26" t="n">
        <v>2514744</v>
      </c>
      <c r="B26" t="inlineStr">
        <is>
          <t>Beef, ground, 80% lean meat / 20% fat, raw</t>
        </is>
      </c>
      <c r="C26" t="inlineStr"/>
      <c r="D26" t="inlineStr">
        <is>
          <t>Foundation</t>
        </is>
      </c>
      <c r="E26" s="8" t="n">
        <v>100</v>
      </c>
      <c r="F26" s="9">
        <f>E26/SUM($E$3:$E$58)</f>
        <v/>
      </c>
      <c r="G26" t="n">
        <v>62.82</v>
      </c>
      <c r="H26" t="n">
        <v>6.889</v>
      </c>
      <c r="I26" t="n">
        <v>7.247</v>
      </c>
      <c r="J26" t="n">
        <v>0.485</v>
      </c>
      <c r="M26" t="n">
        <v>273.3</v>
      </c>
      <c r="AE26" t="n">
        <v>3.848</v>
      </c>
      <c r="AF26" t="n">
        <v>0</v>
      </c>
      <c r="AJ26" t="n">
        <v>19.44</v>
      </c>
      <c r="AK26" t="n">
        <v>19.44</v>
      </c>
      <c r="BC26" t="n">
        <v>2.805</v>
      </c>
      <c r="DX26" t="n">
        <v>242.61</v>
      </c>
      <c r="DY26" t="n">
        <v>247.812675</v>
      </c>
      <c r="EQ26" t="n">
        <v>245.085</v>
      </c>
      <c r="ER26" t="n">
        <v>1025.43564</v>
      </c>
      <c r="GE26" t="n">
        <v>67.73999999999999</v>
      </c>
      <c r="GF26" t="n">
        <v>6.845</v>
      </c>
      <c r="GG26" t="n">
        <v>0.7</v>
      </c>
      <c r="HE26" t="n">
        <v>0.8275</v>
      </c>
      <c r="HF26" t="n">
        <v>0.0551</v>
      </c>
      <c r="HH26" t="n">
        <v>1.965</v>
      </c>
      <c r="HI26" t="n">
        <v>16.41</v>
      </c>
      <c r="HJ26" t="n">
        <v>0</v>
      </c>
      <c r="HK26" t="n">
        <v>144.4</v>
      </c>
      <c r="HL26" t="n">
        <v>17.53125</v>
      </c>
      <c r="HM26" t="n">
        <v>54.94</v>
      </c>
    </row>
    <row r="27">
      <c r="A27" t="n">
        <v>2514743</v>
      </c>
      <c r="B27" t="inlineStr">
        <is>
          <t>Beef, ground, 90% lean meat / 10% fat, raw</t>
        </is>
      </c>
      <c r="C27" t="inlineStr"/>
      <c r="D27" t="inlineStr">
        <is>
          <t>Foundation</t>
        </is>
      </c>
      <c r="E27" s="8" t="n">
        <v>100</v>
      </c>
      <c r="F27" s="9">
        <f>E27/SUM($E$3:$E$58)</f>
        <v/>
      </c>
      <c r="G27" t="n">
        <v>69</v>
      </c>
      <c r="H27" t="n">
        <v>7.135</v>
      </c>
      <c r="I27" t="n">
        <v>4.477</v>
      </c>
      <c r="J27" t="n">
        <v>0.361</v>
      </c>
      <c r="M27" t="n">
        <v>281.4</v>
      </c>
      <c r="AE27" t="n">
        <v>4.194</v>
      </c>
      <c r="AF27" t="n">
        <v>0</v>
      </c>
      <c r="AJ27" t="n">
        <v>12.85</v>
      </c>
      <c r="AK27" t="n">
        <v>12.85</v>
      </c>
      <c r="BC27" t="n">
        <v>2.905</v>
      </c>
      <c r="DX27" t="n">
        <v>184.8648</v>
      </c>
      <c r="DY27" t="n">
        <v>190.134819</v>
      </c>
      <c r="EQ27" t="n">
        <v>188.275</v>
      </c>
      <c r="ER27" t="n">
        <v>787.7425999999999</v>
      </c>
      <c r="GE27" t="n">
        <v>65.90000000000001</v>
      </c>
      <c r="GF27" t="n">
        <v>5.051</v>
      </c>
      <c r="GG27" t="n">
        <v>0.484</v>
      </c>
      <c r="HE27" t="n">
        <v>0.8463000000000001</v>
      </c>
      <c r="HF27" t="n">
        <v>0.05616</v>
      </c>
      <c r="HH27" t="n">
        <v>2.128</v>
      </c>
      <c r="HI27" t="n">
        <v>16.49</v>
      </c>
      <c r="HJ27" t="n">
        <v>0</v>
      </c>
      <c r="HK27" t="n">
        <v>148</v>
      </c>
      <c r="HL27" t="n">
        <v>18.15625</v>
      </c>
      <c r="HM27" t="n">
        <v>61.64</v>
      </c>
    </row>
    <row r="28">
      <c r="A28" t="n">
        <v>746758</v>
      </c>
      <c r="B28" t="inlineStr">
        <is>
          <t>Beef, loin, tenderloin roast, separable lean only, boneless, trimmed to 0" fat, select, cooked, roasted</t>
        </is>
      </c>
      <c r="C28" t="inlineStr"/>
      <c r="D28" t="inlineStr">
        <is>
          <t>Foundation</t>
        </is>
      </c>
      <c r="E28" s="8" t="n">
        <v>100</v>
      </c>
      <c r="F28" s="9">
        <f>E28/SUM($E$3:$E$58)</f>
        <v/>
      </c>
      <c r="G28" t="n">
        <v>65.7</v>
      </c>
      <c r="H28" t="n">
        <v>13</v>
      </c>
      <c r="I28" t="n">
        <v>2.26</v>
      </c>
      <c r="J28" t="n">
        <v>0.472</v>
      </c>
      <c r="L28" t="n">
        <v>0.141</v>
      </c>
      <c r="M28" t="n">
        <v>352</v>
      </c>
      <c r="N28" t="n">
        <v>0.033</v>
      </c>
      <c r="Q28" t="n">
        <v>0.002</v>
      </c>
      <c r="R28" t="n">
        <v>0.016</v>
      </c>
      <c r="S28" t="n">
        <v>0.064</v>
      </c>
      <c r="T28" t="n">
        <v>25.4</v>
      </c>
      <c r="U28" t="n">
        <v>0.005</v>
      </c>
      <c r="V28" t="n">
        <v>0.03</v>
      </c>
      <c r="W28" t="n">
        <v>1.34</v>
      </c>
      <c r="X28" t="n">
        <v>0.85</v>
      </c>
      <c r="Y28" t="n">
        <v>0.005</v>
      </c>
      <c r="AB28" t="n">
        <v>0.303</v>
      </c>
      <c r="AC28" t="n">
        <v>0.034</v>
      </c>
      <c r="AE28" t="n">
        <v>3.7</v>
      </c>
      <c r="AF28" t="n">
        <v>0</v>
      </c>
      <c r="AG28" t="n">
        <v>5.76</v>
      </c>
      <c r="AJ28" t="n">
        <v>5.56</v>
      </c>
      <c r="AK28" t="n">
        <v>6.36</v>
      </c>
      <c r="AL28" t="n">
        <v>0.67</v>
      </c>
      <c r="AZ28" t="n">
        <v>0.031</v>
      </c>
      <c r="BA28" t="n">
        <v>0.012</v>
      </c>
      <c r="BX28" t="n">
        <v>0.034</v>
      </c>
      <c r="BY28" t="n">
        <v>0.047</v>
      </c>
      <c r="BZ28" t="n">
        <v>0.362</v>
      </c>
      <c r="CA28" t="n">
        <v>0.012</v>
      </c>
      <c r="CB28" t="n">
        <v>0.002</v>
      </c>
      <c r="CC28" t="n">
        <v>0.016</v>
      </c>
      <c r="CD28" t="n">
        <v>0.064</v>
      </c>
      <c r="CE28" t="n">
        <v>0.002</v>
      </c>
      <c r="CF28" t="n">
        <v>0.011</v>
      </c>
      <c r="CG28" t="n">
        <v>0.002</v>
      </c>
      <c r="EB28" t="n">
        <v>0.012</v>
      </c>
      <c r="EQ28" t="n">
        <v>168.04</v>
      </c>
      <c r="ER28" t="n">
        <v>703.07936</v>
      </c>
      <c r="GE28" t="n">
        <v>85</v>
      </c>
      <c r="GF28" t="n">
        <v>2.47</v>
      </c>
      <c r="GG28" t="n">
        <v>0.359</v>
      </c>
      <c r="GH28" t="n">
        <v>0.326</v>
      </c>
      <c r="GK28" t="n">
        <v>0.047</v>
      </c>
      <c r="GL28" t="n">
        <v>2.03</v>
      </c>
      <c r="GO28" t="n">
        <v>0.329</v>
      </c>
      <c r="GP28" t="n">
        <v>0.012</v>
      </c>
      <c r="GR28" t="n">
        <v>0.002</v>
      </c>
      <c r="GT28" t="n">
        <v>0.011</v>
      </c>
      <c r="GU28" t="n">
        <v>0.002</v>
      </c>
      <c r="GV28" t="n">
        <v>0.4</v>
      </c>
      <c r="GW28" t="n">
        <v>0.006</v>
      </c>
      <c r="GX28" t="n">
        <v>0.153</v>
      </c>
      <c r="GY28" t="n">
        <v>0.073</v>
      </c>
      <c r="HA28" t="n">
        <v>0.006</v>
      </c>
      <c r="HC28" t="n">
        <v>0.022</v>
      </c>
      <c r="HD28" t="n">
        <v>4.21</v>
      </c>
      <c r="HE28" t="n">
        <v>1.22</v>
      </c>
      <c r="HF28" t="n">
        <v>0.097</v>
      </c>
      <c r="HH28" t="n">
        <v>3.04</v>
      </c>
      <c r="HI28" t="n">
        <v>13.7</v>
      </c>
      <c r="HJ28" t="n">
        <v>0.008</v>
      </c>
      <c r="HK28" t="n">
        <v>259</v>
      </c>
      <c r="HL28" t="n">
        <v>27.7</v>
      </c>
      <c r="HM28" t="n">
        <v>54</v>
      </c>
    </row>
    <row r="29">
      <c r="A29" t="n">
        <v>746759</v>
      </c>
      <c r="B29" t="inlineStr">
        <is>
          <t>Beef, loin, top loin steak, boneless, lip-on, separable lean only, trimmed to 1/8" fat, choice, raw</t>
        </is>
      </c>
      <c r="C29" t="inlineStr"/>
      <c r="D29" t="inlineStr">
        <is>
          <t>Foundation</t>
        </is>
      </c>
      <c r="E29" s="8" t="n">
        <v>100</v>
      </c>
      <c r="F29" s="9">
        <f>E29/SUM($E$3:$E$58)</f>
        <v/>
      </c>
      <c r="G29" t="n">
        <v>69.90000000000001</v>
      </c>
      <c r="H29" t="n">
        <v>15</v>
      </c>
      <c r="I29" t="n">
        <v>2.71</v>
      </c>
      <c r="J29" t="n">
        <v>0.364</v>
      </c>
      <c r="L29" t="n">
        <v>0.211</v>
      </c>
      <c r="M29" t="n">
        <v>282</v>
      </c>
      <c r="N29" t="n">
        <v>0.022</v>
      </c>
      <c r="Q29" t="n">
        <v>0.001</v>
      </c>
      <c r="R29" t="n">
        <v>0.013</v>
      </c>
      <c r="S29" t="n">
        <v>0.048</v>
      </c>
      <c r="T29" t="n">
        <v>21.3</v>
      </c>
      <c r="U29" t="n">
        <v>0.006</v>
      </c>
      <c r="V29" t="n">
        <v>0.027</v>
      </c>
      <c r="W29" t="n">
        <v>1.5</v>
      </c>
      <c r="X29" t="n">
        <v>0.773</v>
      </c>
      <c r="Y29" t="n">
        <v>0.004</v>
      </c>
      <c r="AB29" t="n">
        <v>0.261</v>
      </c>
      <c r="AC29" t="n">
        <v>0.03</v>
      </c>
      <c r="AE29" t="n">
        <v>3.76</v>
      </c>
      <c r="AF29" t="n">
        <v>0</v>
      </c>
      <c r="AG29" t="n">
        <v>6.88</v>
      </c>
      <c r="AH29" t="n">
        <v>0.36</v>
      </c>
      <c r="AI29" t="n">
        <v>0.053</v>
      </c>
      <c r="AJ29" t="n">
        <v>5.93</v>
      </c>
      <c r="AK29" t="n">
        <v>6.39</v>
      </c>
      <c r="AL29" t="n">
        <v>0.575</v>
      </c>
      <c r="AM29" t="n">
        <v>0.25</v>
      </c>
      <c r="AZ29" t="n">
        <v>0.04</v>
      </c>
      <c r="BA29" t="n">
        <v>0.011</v>
      </c>
      <c r="BL29" t="n">
        <v>0</v>
      </c>
      <c r="BM29" t="n">
        <v>0</v>
      </c>
      <c r="BN29" t="n">
        <v>0.02</v>
      </c>
      <c r="BO29" t="n">
        <v>0</v>
      </c>
      <c r="BP29" t="n">
        <v>0</v>
      </c>
      <c r="BQ29" t="n">
        <v>0</v>
      </c>
      <c r="BR29" t="n">
        <v>0</v>
      </c>
      <c r="BX29" t="n">
        <v>0.03</v>
      </c>
      <c r="BY29" t="n">
        <v>0.054</v>
      </c>
      <c r="BZ29" t="n">
        <v>0.281</v>
      </c>
      <c r="CA29" t="n">
        <v>0.008999999999999999</v>
      </c>
      <c r="CB29" t="n">
        <v>0.001</v>
      </c>
      <c r="CC29" t="n">
        <v>0.013</v>
      </c>
      <c r="CD29" t="n">
        <v>0.048</v>
      </c>
      <c r="CE29" t="n">
        <v>0.003</v>
      </c>
      <c r="CF29" t="n">
        <v>0.008</v>
      </c>
      <c r="CG29" t="n">
        <v>0</v>
      </c>
      <c r="CJ29" t="n">
        <v>0</v>
      </c>
      <c r="CK29" t="n">
        <v>0</v>
      </c>
      <c r="CS29" t="n">
        <v>0</v>
      </c>
      <c r="CW29" t="n">
        <v>0.26</v>
      </c>
      <c r="CX29" t="n">
        <v>0</v>
      </c>
      <c r="DQ29" t="n">
        <v>0.7</v>
      </c>
      <c r="DR29" t="n">
        <v>5.7</v>
      </c>
      <c r="DS29" t="n">
        <v>44</v>
      </c>
      <c r="DT29" t="n">
        <v>0.7</v>
      </c>
      <c r="DU29" t="n">
        <v>5.2</v>
      </c>
      <c r="EB29" t="n">
        <v>0.011</v>
      </c>
      <c r="EQ29" t="n">
        <v>148.71</v>
      </c>
      <c r="ER29" t="n">
        <v>622.2026400000001</v>
      </c>
      <c r="GE29" t="n">
        <v>58</v>
      </c>
      <c r="GF29" t="n">
        <v>2.56</v>
      </c>
      <c r="GG29" t="n">
        <v>0.306</v>
      </c>
      <c r="GH29" t="n">
        <v>0.276</v>
      </c>
      <c r="GK29" t="n">
        <v>0.054</v>
      </c>
      <c r="GL29" t="n">
        <v>2.39</v>
      </c>
      <c r="GO29" t="n">
        <v>0.259</v>
      </c>
      <c r="GP29" t="n">
        <v>0.008999999999999999</v>
      </c>
      <c r="GR29" t="n">
        <v>0.003</v>
      </c>
      <c r="GT29" t="n">
        <v>0.008</v>
      </c>
      <c r="GU29" t="n">
        <v>0</v>
      </c>
      <c r="GV29" t="n">
        <v>0.202</v>
      </c>
      <c r="GW29" t="n">
        <v>0.005</v>
      </c>
      <c r="GX29" t="n">
        <v>0.168</v>
      </c>
      <c r="GY29" t="n">
        <v>0.06900000000000001</v>
      </c>
      <c r="HA29" t="n">
        <v>0.004</v>
      </c>
      <c r="HC29" t="n">
        <v>0.015</v>
      </c>
      <c r="HD29" t="n">
        <v>1.72</v>
      </c>
      <c r="HE29" t="n">
        <v>1.01</v>
      </c>
      <c r="HF29" t="n">
        <v>0.043</v>
      </c>
      <c r="HH29" t="n">
        <v>1.9</v>
      </c>
      <c r="HI29" t="n">
        <v>11.3</v>
      </c>
      <c r="HJ29" t="n">
        <v>0.002</v>
      </c>
      <c r="HK29" t="n">
        <v>206</v>
      </c>
      <c r="HL29" t="n">
        <v>22.8</v>
      </c>
      <c r="HM29" t="n">
        <v>45</v>
      </c>
      <c r="HN29" t="n">
        <v>10</v>
      </c>
      <c r="HO29" t="n">
        <v>56.3</v>
      </c>
    </row>
    <row r="30">
      <c r="A30" t="n">
        <v>2646172</v>
      </c>
      <c r="B30" t="inlineStr">
        <is>
          <t>Beef, ribeye, steak, boneless, choice, raw</t>
        </is>
      </c>
      <c r="C30" t="inlineStr"/>
      <c r="D30" t="inlineStr">
        <is>
          <t>Foundation</t>
        </is>
      </c>
      <c r="E30" s="8" t="n">
        <v>100</v>
      </c>
      <c r="F30" s="9">
        <f>E30/SUM($E$3:$E$58)</f>
        <v/>
      </c>
      <c r="G30" t="n">
        <v>60.63</v>
      </c>
      <c r="H30" t="n">
        <v>4.173</v>
      </c>
      <c r="I30" t="n">
        <v>7.731</v>
      </c>
      <c r="J30" t="n">
        <v>0.6286</v>
      </c>
      <c r="M30" t="n">
        <v>288</v>
      </c>
      <c r="AE30" t="n">
        <v>4.063</v>
      </c>
      <c r="AF30" t="n">
        <v>0</v>
      </c>
      <c r="AJ30" t="n">
        <v>20.04</v>
      </c>
      <c r="AK30" t="n">
        <v>20.04</v>
      </c>
      <c r="BC30" t="n">
        <v>2.999</v>
      </c>
      <c r="DX30" t="n">
        <v>254.11</v>
      </c>
      <c r="DY30" t="n">
        <v>259.611425</v>
      </c>
      <c r="EQ30" t="n">
        <v>255.335</v>
      </c>
      <c r="ER30" t="n">
        <v>1068.32164</v>
      </c>
      <c r="GE30" t="n">
        <v>62.66</v>
      </c>
      <c r="GF30" t="n">
        <v>7.966</v>
      </c>
      <c r="GG30" t="n">
        <v>0.9743000000000001</v>
      </c>
      <c r="HE30" t="n">
        <v>0.8925</v>
      </c>
      <c r="HF30" t="n">
        <v>0.04263</v>
      </c>
      <c r="HH30" t="n">
        <v>1.641</v>
      </c>
      <c r="HI30" t="n">
        <v>16.68</v>
      </c>
      <c r="HJ30" t="n">
        <v>0</v>
      </c>
      <c r="HK30" t="n">
        <v>149.7</v>
      </c>
      <c r="HL30" t="n">
        <v>18.74375</v>
      </c>
      <c r="HM30" t="n">
        <v>42.54</v>
      </c>
    </row>
    <row r="31">
      <c r="A31" t="n">
        <v>746761</v>
      </c>
      <c r="B31" t="inlineStr">
        <is>
          <t>Beef, round, top round roast, boneless, separable lean only, trimmed to 0" fat, select, raw</t>
        </is>
      </c>
      <c r="C31" t="inlineStr"/>
      <c r="D31" t="inlineStr">
        <is>
          <t>Foundation</t>
        </is>
      </c>
      <c r="E31" s="8" t="n">
        <v>100</v>
      </c>
      <c r="F31" s="9">
        <f>E31/SUM($E$3:$E$58)</f>
        <v/>
      </c>
      <c r="G31" t="n">
        <v>73.3</v>
      </c>
      <c r="H31" t="n">
        <v>13</v>
      </c>
      <c r="I31" t="n">
        <v>0.886</v>
      </c>
      <c r="J31" t="n">
        <v>0.208</v>
      </c>
      <c r="L31" t="n">
        <v>0.059</v>
      </c>
      <c r="M31" t="n">
        <v>316</v>
      </c>
      <c r="N31" t="n">
        <v>0.005</v>
      </c>
      <c r="Q31" t="n">
        <v>0.001</v>
      </c>
      <c r="R31" t="n">
        <v>0.012</v>
      </c>
      <c r="S31" t="n">
        <v>0.038</v>
      </c>
      <c r="T31" t="n">
        <v>22.7</v>
      </c>
      <c r="U31" t="n">
        <v>0.004</v>
      </c>
      <c r="V31" t="n">
        <v>0.008999999999999999</v>
      </c>
      <c r="W31" t="n">
        <v>0.524</v>
      </c>
      <c r="X31" t="n">
        <v>0.307</v>
      </c>
      <c r="Y31" t="n">
        <v>0.001</v>
      </c>
      <c r="AB31" t="n">
        <v>0.112</v>
      </c>
      <c r="AC31" t="n">
        <v>0.008</v>
      </c>
      <c r="AE31" t="n">
        <v>3.54</v>
      </c>
      <c r="AF31" t="n">
        <v>0</v>
      </c>
      <c r="AG31" t="n">
        <v>6.16</v>
      </c>
      <c r="AH31" t="n">
        <v>0.37</v>
      </c>
      <c r="AI31" t="n">
        <v>0.064</v>
      </c>
      <c r="AJ31" t="n">
        <v>2.14</v>
      </c>
      <c r="AK31" t="n">
        <v>2.41</v>
      </c>
      <c r="AL31" t="n">
        <v>0.626</v>
      </c>
      <c r="AM31" t="n">
        <v>0.21</v>
      </c>
      <c r="AZ31" t="n">
        <v>0.011</v>
      </c>
      <c r="BA31" t="n">
        <v>0.002</v>
      </c>
      <c r="BL31" t="n">
        <v>0</v>
      </c>
      <c r="BM31" t="n">
        <v>0</v>
      </c>
      <c r="BN31" t="n">
        <v>0.04</v>
      </c>
      <c r="BO31" t="n">
        <v>0</v>
      </c>
      <c r="BP31" t="n">
        <v>0</v>
      </c>
      <c r="BQ31" t="n">
        <v>0</v>
      </c>
      <c r="BR31" t="n">
        <v>0</v>
      </c>
      <c r="BX31" t="n">
        <v>0.008</v>
      </c>
      <c r="BY31" t="n">
        <v>0.017</v>
      </c>
      <c r="BZ31" t="n">
        <v>0.141</v>
      </c>
      <c r="CA31" t="n">
        <v>0.003</v>
      </c>
      <c r="CB31" t="n">
        <v>0.001</v>
      </c>
      <c r="CC31" t="n">
        <v>0.012</v>
      </c>
      <c r="CD31" t="n">
        <v>0.038</v>
      </c>
      <c r="CE31" t="n">
        <v>0.002</v>
      </c>
      <c r="CF31" t="n">
        <v>0.008</v>
      </c>
      <c r="CG31" t="n">
        <v>0.002</v>
      </c>
      <c r="CJ31" t="n">
        <v>0</v>
      </c>
      <c r="CK31" t="n">
        <v>0</v>
      </c>
      <c r="CS31" t="n">
        <v>0</v>
      </c>
      <c r="CW31" t="n">
        <v>0.18</v>
      </c>
      <c r="CX31" t="n">
        <v>0</v>
      </c>
      <c r="DQ31" t="n">
        <v>0.3</v>
      </c>
      <c r="DR31" t="n">
        <v>9.199999999999999</v>
      </c>
      <c r="DS31" t="n">
        <v>48.7</v>
      </c>
      <c r="DT31" t="n">
        <v>0.5</v>
      </c>
      <c r="DU31" t="n">
        <v>5.3</v>
      </c>
      <c r="EB31" t="n">
        <v>0.002</v>
      </c>
      <c r="EQ31" t="n">
        <v>116.49</v>
      </c>
      <c r="ER31" t="n">
        <v>487.39416</v>
      </c>
      <c r="GE31" t="n">
        <v>63</v>
      </c>
      <c r="GF31" t="n">
        <v>0.924</v>
      </c>
      <c r="GG31" t="n">
        <v>0.125</v>
      </c>
      <c r="GH31" t="n">
        <v>0.117</v>
      </c>
      <c r="GK31" t="n">
        <v>0.017</v>
      </c>
      <c r="GL31" t="n">
        <v>0.797</v>
      </c>
      <c r="GO31" t="n">
        <v>0.136</v>
      </c>
      <c r="GP31" t="n">
        <v>0.003</v>
      </c>
      <c r="GR31" t="n">
        <v>0.002</v>
      </c>
      <c r="GT31" t="n">
        <v>0.008</v>
      </c>
      <c r="GU31" t="n">
        <v>0.002</v>
      </c>
      <c r="GV31" t="n">
        <v>0.25</v>
      </c>
      <c r="GW31" t="n">
        <v>0.002</v>
      </c>
      <c r="GX31" t="n">
        <v>0.049</v>
      </c>
      <c r="GY31" t="n">
        <v>0.027</v>
      </c>
      <c r="HA31" t="n">
        <v>0.002</v>
      </c>
      <c r="HC31" t="n">
        <v>0.005</v>
      </c>
      <c r="HD31" t="n">
        <v>1.62</v>
      </c>
      <c r="HE31" t="n">
        <v>1.11</v>
      </c>
      <c r="HF31" t="n">
        <v>0.047</v>
      </c>
      <c r="HH31" t="n">
        <v>2.34</v>
      </c>
      <c r="HI31" t="n">
        <v>11.9</v>
      </c>
      <c r="HJ31" t="n">
        <v>0.003</v>
      </c>
      <c r="HK31" t="n">
        <v>220</v>
      </c>
      <c r="HL31" t="n">
        <v>23.7</v>
      </c>
      <c r="HM31" t="n">
        <v>55</v>
      </c>
      <c r="HN31" t="n">
        <v>10.8</v>
      </c>
      <c r="HO31" t="n">
        <v>64.09999999999999</v>
      </c>
    </row>
    <row r="32">
      <c r="A32" t="n">
        <v>746760</v>
      </c>
      <c r="B32" t="inlineStr">
        <is>
          <t>Beef, round, eye of round roast, boneless, separable lean only, trimmed to 0" fat, select, raw</t>
        </is>
      </c>
      <c r="C32" t="inlineStr"/>
      <c r="D32" t="inlineStr">
        <is>
          <t>Foundation</t>
        </is>
      </c>
      <c r="E32" s="8" t="n">
        <v>100</v>
      </c>
      <c r="F32" s="9">
        <f>E32/SUM($E$3:$E$58)</f>
        <v/>
      </c>
      <c r="G32" t="n">
        <v>73.7</v>
      </c>
      <c r="H32" t="n">
        <v>13</v>
      </c>
      <c r="I32" t="n">
        <v>0.951</v>
      </c>
      <c r="J32" t="n">
        <v>0.192</v>
      </c>
      <c r="L32" t="n">
        <v>0.07199999999999999</v>
      </c>
      <c r="M32" t="n">
        <v>312</v>
      </c>
      <c r="N32" t="n">
        <v>0.011</v>
      </c>
      <c r="Q32" t="n">
        <v>0.001</v>
      </c>
      <c r="R32" t="n">
        <v>0.012</v>
      </c>
      <c r="S32" t="n">
        <v>0.032</v>
      </c>
      <c r="T32" t="n">
        <v>22.2</v>
      </c>
      <c r="U32" t="n">
        <v>0.003</v>
      </c>
      <c r="V32" t="n">
        <v>0.011</v>
      </c>
      <c r="W32" t="n">
        <v>0.546</v>
      </c>
      <c r="X32" t="n">
        <v>0.297</v>
      </c>
      <c r="Y32" t="n">
        <v>0.002</v>
      </c>
      <c r="AB32" t="n">
        <v>0.11</v>
      </c>
      <c r="AC32" t="n">
        <v>0.011</v>
      </c>
      <c r="AE32" t="n">
        <v>3.38</v>
      </c>
      <c r="AF32" t="n">
        <v>0</v>
      </c>
      <c r="AG32" t="n">
        <v>6.58</v>
      </c>
      <c r="AJ32" t="n">
        <v>2.23</v>
      </c>
      <c r="AK32" t="n">
        <v>2.48</v>
      </c>
      <c r="AL32" t="n">
        <v>0.638</v>
      </c>
      <c r="AZ32" t="n">
        <v>0.018</v>
      </c>
      <c r="BA32" t="n">
        <v>0.007</v>
      </c>
      <c r="BX32" t="n">
        <v>0.011</v>
      </c>
      <c r="BY32" t="n">
        <v>0.021</v>
      </c>
      <c r="BZ32" t="n">
        <v>0.124</v>
      </c>
      <c r="CA32" t="n">
        <v>0.005</v>
      </c>
      <c r="CB32" t="n">
        <v>0.001</v>
      </c>
      <c r="CC32" t="n">
        <v>0.012</v>
      </c>
      <c r="CD32" t="n">
        <v>0.032</v>
      </c>
      <c r="CE32" t="n">
        <v>0.004</v>
      </c>
      <c r="CF32" t="n">
        <v>0.011</v>
      </c>
      <c r="CG32" t="n">
        <v>0.002</v>
      </c>
      <c r="EB32" t="n">
        <v>0.007</v>
      </c>
      <c r="EQ32" t="n">
        <v>115.92</v>
      </c>
      <c r="ER32" t="n">
        <v>485.00928</v>
      </c>
      <c r="GE32" t="n">
        <v>62</v>
      </c>
      <c r="GF32" t="n">
        <v>0.953</v>
      </c>
      <c r="GG32" t="n">
        <v>0.129</v>
      </c>
      <c r="GH32" t="n">
        <v>0.118</v>
      </c>
      <c r="GK32" t="n">
        <v>0.021</v>
      </c>
      <c r="GL32" t="n">
        <v>0.833</v>
      </c>
      <c r="GO32" t="n">
        <v>0.113</v>
      </c>
      <c r="GP32" t="n">
        <v>0.005</v>
      </c>
      <c r="GR32" t="n">
        <v>0.004</v>
      </c>
      <c r="GT32" t="n">
        <v>0.011</v>
      </c>
      <c r="GU32" t="n">
        <v>0.002</v>
      </c>
      <c r="GV32" t="n">
        <v>0.185</v>
      </c>
      <c r="GW32" t="n">
        <v>0.002</v>
      </c>
      <c r="GX32" t="n">
        <v>0.062</v>
      </c>
      <c r="GY32" t="n">
        <v>0.027</v>
      </c>
      <c r="HA32" t="n">
        <v>0.003</v>
      </c>
      <c r="HC32" t="n">
        <v>0.008</v>
      </c>
      <c r="HD32" t="n">
        <v>2.06</v>
      </c>
      <c r="HE32" t="n">
        <v>1.08</v>
      </c>
      <c r="HF32" t="n">
        <v>0.035</v>
      </c>
      <c r="HH32" t="n">
        <v>1.37</v>
      </c>
      <c r="HI32" t="n">
        <v>11.4</v>
      </c>
      <c r="HJ32" t="n">
        <v>0.002</v>
      </c>
      <c r="HK32" t="n">
        <v>222</v>
      </c>
      <c r="HL32" t="n">
        <v>23.4</v>
      </c>
      <c r="HM32" t="n">
        <v>50</v>
      </c>
    </row>
    <row r="33">
      <c r="A33" t="n">
        <v>2646173</v>
      </c>
      <c r="B33" t="inlineStr">
        <is>
          <t>Beef, round, top round, boneless, choice, raw</t>
        </is>
      </c>
      <c r="C33" t="inlineStr"/>
      <c r="D33" t="inlineStr">
        <is>
          <t>Foundation</t>
        </is>
      </c>
      <c r="E33" s="8" t="n">
        <v>100</v>
      </c>
      <c r="F33" s="9">
        <f>E33/SUM($E$3:$E$58)</f>
        <v/>
      </c>
      <c r="G33" t="n">
        <v>70.88</v>
      </c>
      <c r="H33" t="n">
        <v>4.07</v>
      </c>
      <c r="I33" t="n">
        <v>1.7</v>
      </c>
      <c r="J33" t="n">
        <v>0.2383</v>
      </c>
      <c r="M33" t="n">
        <v>351.5</v>
      </c>
      <c r="AE33" t="n">
        <v>3.778</v>
      </c>
      <c r="AF33" t="n">
        <v>0.852</v>
      </c>
      <c r="AJ33" t="n">
        <v>5.703</v>
      </c>
      <c r="AK33" t="n">
        <v>5.703</v>
      </c>
      <c r="BC33" t="n">
        <v>3.436</v>
      </c>
      <c r="DX33" t="n">
        <v>140.635</v>
      </c>
      <c r="DY33" t="n">
        <v>146.43655</v>
      </c>
      <c r="EQ33" t="n">
        <v>140.635</v>
      </c>
      <c r="ER33" t="n">
        <v>588.4168400000001</v>
      </c>
      <c r="GE33" t="n">
        <v>59.26</v>
      </c>
      <c r="GF33" t="n">
        <v>1.695</v>
      </c>
      <c r="GG33" t="n">
        <v>0.2283</v>
      </c>
      <c r="HE33" t="n">
        <v>1.09</v>
      </c>
      <c r="HF33" t="n">
        <v>0.05515</v>
      </c>
      <c r="HH33" t="n">
        <v>1.901</v>
      </c>
      <c r="HI33" t="n">
        <v>22.08</v>
      </c>
      <c r="HJ33" t="n">
        <v>0.002875</v>
      </c>
      <c r="HK33" t="n">
        <v>192.3</v>
      </c>
      <c r="HL33" t="n">
        <v>21.475</v>
      </c>
      <c r="HM33" t="n">
        <v>45.54</v>
      </c>
    </row>
    <row r="34">
      <c r="A34" t="n">
        <v>2727572</v>
      </c>
      <c r="B34" t="inlineStr">
        <is>
          <t>Beef, short loin (NY strip steak), raw</t>
        </is>
      </c>
      <c r="C34" t="inlineStr"/>
      <c r="D34" t="inlineStr">
        <is>
          <t>Foundation</t>
        </is>
      </c>
      <c r="E34" s="8" t="n">
        <v>100</v>
      </c>
      <c r="F34" s="9">
        <f>E34/SUM($E$3:$E$58)</f>
        <v/>
      </c>
      <c r="G34" t="n">
        <v>66</v>
      </c>
      <c r="H34" t="n">
        <v>5.04</v>
      </c>
      <c r="M34" t="n">
        <v>323</v>
      </c>
      <c r="AE34" t="n">
        <v>3.28</v>
      </c>
      <c r="AF34" t="n">
        <v>0.221</v>
      </c>
      <c r="AJ34" t="n">
        <v>11.5</v>
      </c>
      <c r="AK34" t="n">
        <v>11.5</v>
      </c>
      <c r="BC34" t="n">
        <v>3.41</v>
      </c>
      <c r="DX34" t="n">
        <v>190</v>
      </c>
      <c r="DY34" t="n">
        <v>196</v>
      </c>
      <c r="EQ34" t="n">
        <v>189.584</v>
      </c>
      <c r="ER34" t="n">
        <v>793.219456</v>
      </c>
      <c r="GE34" t="n">
        <v>57.6</v>
      </c>
      <c r="HE34" t="n">
        <v>0.964</v>
      </c>
      <c r="HF34" t="n">
        <v>0.043</v>
      </c>
      <c r="HH34" t="n">
        <v>1.61</v>
      </c>
      <c r="HI34" t="n">
        <v>19.5</v>
      </c>
      <c r="HJ34" t="n">
        <v>0.00156</v>
      </c>
      <c r="HK34" t="n">
        <v>171</v>
      </c>
      <c r="HL34" t="n">
        <v>21.3</v>
      </c>
      <c r="HM34" t="n">
        <v>43.1</v>
      </c>
    </row>
    <row r="35">
      <c r="A35" t="n">
        <v>746762</v>
      </c>
      <c r="B35" t="inlineStr">
        <is>
          <t>Beef, short loin, porterhouse steak, separable lean only, trimmed to 1/8" fat, select, raw</t>
        </is>
      </c>
      <c r="C35" t="inlineStr"/>
      <c r="D35" t="inlineStr">
        <is>
          <t>Foundation</t>
        </is>
      </c>
      <c r="E35" s="8" t="n">
        <v>100</v>
      </c>
      <c r="F35" s="9">
        <f>E35/SUM($E$3:$E$58)</f>
        <v/>
      </c>
      <c r="G35" t="n">
        <v>71.40000000000001</v>
      </c>
      <c r="H35" t="n">
        <v>19</v>
      </c>
      <c r="I35" t="n">
        <v>1.9</v>
      </c>
      <c r="J35" t="n">
        <v>0.259</v>
      </c>
      <c r="L35" t="n">
        <v>0.145</v>
      </c>
      <c r="M35" t="n">
        <v>266</v>
      </c>
      <c r="N35" t="n">
        <v>0.014</v>
      </c>
      <c r="Q35" t="n">
        <v>0.001</v>
      </c>
      <c r="R35" t="n">
        <v>0.013</v>
      </c>
      <c r="S35" t="n">
        <v>0.034</v>
      </c>
      <c r="T35" t="n">
        <v>21.4</v>
      </c>
      <c r="U35" t="n">
        <v>0.005</v>
      </c>
      <c r="V35" t="n">
        <v>0.028</v>
      </c>
      <c r="W35" t="n">
        <v>1.18</v>
      </c>
      <c r="X35" t="n">
        <v>0.64</v>
      </c>
      <c r="Y35" t="n">
        <v>0.003</v>
      </c>
      <c r="AB35" t="n">
        <v>0.244</v>
      </c>
      <c r="AC35" t="n">
        <v>0.024</v>
      </c>
      <c r="AE35" t="n">
        <v>3.52</v>
      </c>
      <c r="AF35" t="n">
        <v>0</v>
      </c>
      <c r="AG35" t="n">
        <v>5.32</v>
      </c>
      <c r="AJ35" t="n">
        <v>4.5</v>
      </c>
      <c r="AK35" t="n">
        <v>5.32</v>
      </c>
      <c r="AL35" t="n">
        <v>0.751</v>
      </c>
      <c r="AZ35" t="n">
        <v>0.033</v>
      </c>
      <c r="BA35" t="n">
        <v>0.008</v>
      </c>
      <c r="BX35" t="n">
        <v>0.024</v>
      </c>
      <c r="BY35" t="n">
        <v>0.042</v>
      </c>
      <c r="BZ35" t="n">
        <v>0.192</v>
      </c>
      <c r="CA35" t="n">
        <v>0.008</v>
      </c>
      <c r="CB35" t="n">
        <v>0.001</v>
      </c>
      <c r="CC35" t="n">
        <v>0.013</v>
      </c>
      <c r="CD35" t="n">
        <v>0.034</v>
      </c>
      <c r="CE35" t="n">
        <v>0.002</v>
      </c>
      <c r="CF35" t="n">
        <v>0.008</v>
      </c>
      <c r="CG35" t="n">
        <v>0.001</v>
      </c>
      <c r="EB35" t="n">
        <v>0.008</v>
      </c>
      <c r="EQ35" t="n">
        <v>138.68</v>
      </c>
      <c r="ER35" t="n">
        <v>580.23712</v>
      </c>
      <c r="GE35" t="n">
        <v>57</v>
      </c>
      <c r="GF35" t="n">
        <v>2.07</v>
      </c>
      <c r="GG35" t="n">
        <v>0.28</v>
      </c>
      <c r="GH35" t="n">
        <v>0.256</v>
      </c>
      <c r="GK35" t="n">
        <v>0.042</v>
      </c>
      <c r="GL35" t="n">
        <v>1.67</v>
      </c>
      <c r="GO35" t="n">
        <v>0.178</v>
      </c>
      <c r="GP35" t="n">
        <v>0.008</v>
      </c>
      <c r="GR35" t="n">
        <v>0.002</v>
      </c>
      <c r="GT35" t="n">
        <v>0.008</v>
      </c>
      <c r="GU35" t="n">
        <v>0.001</v>
      </c>
      <c r="GV35" t="n">
        <v>0.23</v>
      </c>
      <c r="GW35" t="n">
        <v>0.005</v>
      </c>
      <c r="GX35" t="n">
        <v>0.144</v>
      </c>
      <c r="GY35" t="n">
        <v>0.062</v>
      </c>
      <c r="HA35" t="n">
        <v>0.002</v>
      </c>
      <c r="HC35" t="n">
        <v>0.012</v>
      </c>
      <c r="HD35" t="n">
        <v>1.98</v>
      </c>
      <c r="HE35" t="n">
        <v>1.02</v>
      </c>
      <c r="HF35" t="n">
        <v>0.075</v>
      </c>
      <c r="HH35" t="n">
        <v>2.26</v>
      </c>
      <c r="HI35" t="n">
        <v>10.7</v>
      </c>
      <c r="HJ35" t="n">
        <v>0.003</v>
      </c>
      <c r="HK35" t="n">
        <v>200</v>
      </c>
      <c r="HL35" t="n">
        <v>22.7</v>
      </c>
      <c r="HM35" t="n">
        <v>43</v>
      </c>
    </row>
    <row r="36">
      <c r="A36" t="n">
        <v>2727574</v>
      </c>
      <c r="B36" t="inlineStr">
        <is>
          <t>Beef, top sirloin steak, raw</t>
        </is>
      </c>
      <c r="C36" t="inlineStr"/>
      <c r="D36" t="inlineStr">
        <is>
          <t>Foundation</t>
        </is>
      </c>
      <c r="E36" s="8" t="n">
        <v>100</v>
      </c>
      <c r="F36" s="9">
        <f>E36/SUM($E$3:$E$58)</f>
        <v/>
      </c>
      <c r="G36" t="n">
        <v>71</v>
      </c>
      <c r="H36" t="n">
        <v>3.7</v>
      </c>
      <c r="M36" t="n">
        <v>349</v>
      </c>
      <c r="AE36" t="n">
        <v>3.45</v>
      </c>
      <c r="AF36" t="n">
        <v>0.218</v>
      </c>
      <c r="AJ36" t="n">
        <v>5.71</v>
      </c>
      <c r="AK36" t="n">
        <v>5.71</v>
      </c>
      <c r="BC36" t="n">
        <v>3.52</v>
      </c>
      <c r="DX36" t="n">
        <v>140</v>
      </c>
      <c r="DY36" t="n">
        <v>146</v>
      </c>
      <c r="EQ36" t="n">
        <v>140.262</v>
      </c>
      <c r="ER36" t="n">
        <v>586.856208</v>
      </c>
      <c r="GE36" t="n">
        <v>60.1</v>
      </c>
      <c r="HE36" t="n">
        <v>1.09</v>
      </c>
      <c r="HF36" t="n">
        <v>0.0702</v>
      </c>
      <c r="HH36" t="n">
        <v>2.22</v>
      </c>
      <c r="HI36" t="n">
        <v>22.1</v>
      </c>
      <c r="HJ36" t="n">
        <v>0.00156</v>
      </c>
      <c r="HK36" t="n">
        <v>193</v>
      </c>
      <c r="HL36" t="n">
        <v>22</v>
      </c>
      <c r="HM36" t="n">
        <v>42.8</v>
      </c>
    </row>
    <row r="37">
      <c r="A37" t="n">
        <v>2727573</v>
      </c>
      <c r="B37" t="inlineStr">
        <is>
          <t>Beef, tenderloin steak, raw</t>
        </is>
      </c>
      <c r="C37" t="inlineStr"/>
      <c r="D37" t="inlineStr">
        <is>
          <t>Foundation</t>
        </is>
      </c>
      <c r="E37" s="8" t="n">
        <v>100</v>
      </c>
      <c r="F37" s="9">
        <f>E37/SUM($E$3:$E$58)</f>
        <v/>
      </c>
      <c r="G37" t="n">
        <v>71.2</v>
      </c>
      <c r="H37" t="n">
        <v>4.09</v>
      </c>
      <c r="M37" t="n">
        <v>345</v>
      </c>
      <c r="AE37" t="n">
        <v>3.22</v>
      </c>
      <c r="AF37" t="n">
        <v>0.18</v>
      </c>
      <c r="AJ37" t="n">
        <v>6.46</v>
      </c>
      <c r="AK37" t="n">
        <v>6.46</v>
      </c>
      <c r="BC37" t="n">
        <v>3.38</v>
      </c>
      <c r="DX37" t="n">
        <v>143</v>
      </c>
      <c r="DY37" t="n">
        <v>149</v>
      </c>
      <c r="EQ37" t="n">
        <v>143.26</v>
      </c>
      <c r="ER37" t="n">
        <v>599.39984</v>
      </c>
      <c r="GE37" t="n">
        <v>64.40000000000001</v>
      </c>
      <c r="HE37" t="n">
        <v>1.06</v>
      </c>
      <c r="HF37" t="n">
        <v>0.105</v>
      </c>
      <c r="HH37" t="n">
        <v>2.53</v>
      </c>
      <c r="HI37" t="n">
        <v>22</v>
      </c>
      <c r="HJ37" t="n">
        <v>0.00478</v>
      </c>
      <c r="HK37" t="n">
        <v>190</v>
      </c>
      <c r="HL37" t="n">
        <v>21.1</v>
      </c>
      <c r="HM37" t="n">
        <v>44.8</v>
      </c>
    </row>
    <row r="38">
      <c r="A38" t="n">
        <v>323121</v>
      </c>
      <c r="B38" t="inlineStr">
        <is>
          <t>Frankfurter, beef, unheated</t>
        </is>
      </c>
      <c r="C38" t="inlineStr"/>
      <c r="D38" t="inlineStr">
        <is>
          <t>Foundation</t>
        </is>
      </c>
      <c r="E38" s="8" t="n">
        <v>100</v>
      </c>
      <c r="F38" s="9">
        <f>E38/SUM($E$3:$E$58)</f>
        <v/>
      </c>
      <c r="G38" t="n">
        <v>54.6</v>
      </c>
      <c r="H38" t="n">
        <v>15</v>
      </c>
      <c r="I38" t="n">
        <v>12.1</v>
      </c>
      <c r="J38" t="n">
        <v>0.954</v>
      </c>
      <c r="K38" t="n">
        <v>0.001</v>
      </c>
      <c r="L38" t="n">
        <v>0.985</v>
      </c>
      <c r="M38" t="n">
        <v>343</v>
      </c>
      <c r="N38" t="n">
        <v>0.169</v>
      </c>
      <c r="O38" t="n">
        <v>0.005</v>
      </c>
      <c r="P38" t="n">
        <v>0.003</v>
      </c>
      <c r="Q38" t="n">
        <v>0.008</v>
      </c>
      <c r="R38" t="n">
        <v>0.021</v>
      </c>
      <c r="S38" t="n">
        <v>0.029</v>
      </c>
      <c r="U38" t="n">
        <v>0.015</v>
      </c>
      <c r="V38" t="n">
        <v>0.138</v>
      </c>
      <c r="W38" t="n">
        <v>6.33</v>
      </c>
      <c r="X38" t="n">
        <v>3.66</v>
      </c>
      <c r="Y38" t="n">
        <v>0.029</v>
      </c>
      <c r="Z38" t="n">
        <v>0.004</v>
      </c>
      <c r="AA38" t="n">
        <v>0</v>
      </c>
      <c r="AB38" t="n">
        <v>1.38</v>
      </c>
      <c r="AC38" t="n">
        <v>0.131</v>
      </c>
      <c r="AD38" t="n">
        <v>0</v>
      </c>
      <c r="AE38" t="n">
        <v>2.06</v>
      </c>
      <c r="AF38" t="n">
        <v>2.89</v>
      </c>
      <c r="AG38" t="n">
        <v>2.25</v>
      </c>
      <c r="AH38" t="n">
        <v>0.263</v>
      </c>
      <c r="AI38" t="n">
        <v>0.033</v>
      </c>
      <c r="AJ38" t="n">
        <v>26</v>
      </c>
      <c r="AK38" t="n">
        <v>28</v>
      </c>
      <c r="AL38" t="n">
        <v>0.13</v>
      </c>
      <c r="AM38" t="n">
        <v>0.51</v>
      </c>
      <c r="AZ38" t="n">
        <v>0.267</v>
      </c>
      <c r="BA38" t="n">
        <v>0.117</v>
      </c>
      <c r="BB38" t="n">
        <v>0.064</v>
      </c>
      <c r="BC38" t="n">
        <v>1.87</v>
      </c>
      <c r="BF38" t="n">
        <v>0</v>
      </c>
      <c r="BG38" t="n">
        <v>0.001</v>
      </c>
      <c r="BI38" t="n">
        <v>0</v>
      </c>
      <c r="BJ38" t="n">
        <v>0.001</v>
      </c>
      <c r="BL38" t="n">
        <v>0</v>
      </c>
      <c r="BM38" t="n">
        <v>0</v>
      </c>
      <c r="BN38" t="n">
        <v>0.17</v>
      </c>
      <c r="BO38" t="n">
        <v>0</v>
      </c>
      <c r="BP38" t="n">
        <v>0</v>
      </c>
      <c r="BQ38" t="n">
        <v>0</v>
      </c>
      <c r="BR38" t="n">
        <v>0</v>
      </c>
      <c r="BX38" t="n">
        <v>0.131</v>
      </c>
      <c r="BY38" t="n">
        <v>0.257</v>
      </c>
      <c r="BZ38" t="n">
        <v>0.794</v>
      </c>
      <c r="CA38" t="n">
        <v>0.08400000000000001</v>
      </c>
      <c r="CB38" t="n">
        <v>0.008</v>
      </c>
      <c r="CC38" t="n">
        <v>0.022</v>
      </c>
      <c r="CD38" t="n">
        <v>0.029</v>
      </c>
      <c r="CE38" t="n">
        <v>0.003</v>
      </c>
      <c r="CF38" t="n">
        <v>0.013</v>
      </c>
      <c r="CG38" t="n">
        <v>0</v>
      </c>
      <c r="CH38" t="n">
        <v>3</v>
      </c>
      <c r="CI38" t="n">
        <v>3</v>
      </c>
      <c r="CM38" t="n">
        <v>0</v>
      </c>
      <c r="CN38" t="n">
        <v>0</v>
      </c>
      <c r="CO38" t="n">
        <v>1.17</v>
      </c>
      <c r="CP38" t="n">
        <v>0</v>
      </c>
      <c r="CQ38" t="n">
        <v>0.09</v>
      </c>
      <c r="CR38" t="n">
        <v>0</v>
      </c>
      <c r="DW38" t="n">
        <v>1.26</v>
      </c>
      <c r="EQ38" t="n">
        <v>310.36</v>
      </c>
      <c r="ER38" t="n">
        <v>1298.54624</v>
      </c>
      <c r="GF38" t="n">
        <v>11.4</v>
      </c>
      <c r="GG38" t="n">
        <v>1.59</v>
      </c>
      <c r="GH38" t="n">
        <v>1.46</v>
      </c>
      <c r="GI38" t="n">
        <v>0</v>
      </c>
      <c r="GJ38" t="n">
        <v>0</v>
      </c>
      <c r="GK38" t="n">
        <v>0.257</v>
      </c>
      <c r="GL38" t="n">
        <v>10.4</v>
      </c>
      <c r="GM38" t="n">
        <v>0.064</v>
      </c>
      <c r="GN38" t="n">
        <v>0.005</v>
      </c>
      <c r="GO38" t="n">
        <v>0.625</v>
      </c>
      <c r="GP38" t="n">
        <v>0.078</v>
      </c>
      <c r="GQ38" t="n">
        <v>0.001</v>
      </c>
      <c r="GR38" t="n">
        <v>0.003</v>
      </c>
      <c r="GS38" t="n">
        <v>0.008</v>
      </c>
      <c r="GT38" t="n">
        <v>0.013</v>
      </c>
      <c r="GU38" t="n">
        <v>0</v>
      </c>
      <c r="GV38" t="n">
        <v>0.154</v>
      </c>
      <c r="GW38" t="n">
        <v>0.019</v>
      </c>
      <c r="GX38" t="n">
        <v>0.84</v>
      </c>
      <c r="GY38" t="n">
        <v>0.355</v>
      </c>
      <c r="GZ38" t="n">
        <v>0.008</v>
      </c>
      <c r="HA38" t="n">
        <v>0.002</v>
      </c>
      <c r="HB38" t="n">
        <v>0.005</v>
      </c>
      <c r="HC38" t="n">
        <v>0.08699999999999999</v>
      </c>
      <c r="HD38" t="n">
        <v>0.97</v>
      </c>
      <c r="HE38" t="n">
        <v>2.74</v>
      </c>
      <c r="HF38" t="n">
        <v>0.046</v>
      </c>
      <c r="HH38" t="n">
        <v>1.14</v>
      </c>
      <c r="HI38" t="n">
        <v>11.5</v>
      </c>
      <c r="HJ38" t="n">
        <v>0.031</v>
      </c>
      <c r="HK38" t="n">
        <v>128</v>
      </c>
      <c r="HL38" t="n">
        <v>11.7</v>
      </c>
      <c r="HM38" t="n">
        <v>872</v>
      </c>
    </row>
    <row r="39">
      <c r="A39" t="n">
        <v>746779</v>
      </c>
      <c r="B39" t="inlineStr">
        <is>
          <t>Sausage, breakfast sausage, beef, pre-cooked, unprepared</t>
        </is>
      </c>
      <c r="C39" t="inlineStr"/>
      <c r="D39" t="inlineStr">
        <is>
          <t>Foundation</t>
        </is>
      </c>
      <c r="E39" s="8" t="n">
        <v>100</v>
      </c>
      <c r="F39" s="9">
        <f>E39/SUM($E$3:$E$58)</f>
        <v/>
      </c>
      <c r="G39" t="n">
        <v>51.7</v>
      </c>
      <c r="H39" t="n">
        <v>35</v>
      </c>
      <c r="I39" t="n">
        <v>12.7</v>
      </c>
      <c r="J39" t="n">
        <v>1.91</v>
      </c>
      <c r="K39" t="n">
        <v>0.002</v>
      </c>
      <c r="L39" t="n">
        <v>1.1</v>
      </c>
      <c r="M39" t="n">
        <v>263</v>
      </c>
      <c r="N39" t="n">
        <v>0.128</v>
      </c>
      <c r="O39" t="n">
        <v>0.002</v>
      </c>
      <c r="P39" t="n">
        <v>0.001</v>
      </c>
      <c r="Q39" t="n">
        <v>0.033</v>
      </c>
      <c r="R39" t="n">
        <v>0.028</v>
      </c>
      <c r="S39" t="n">
        <v>0.046</v>
      </c>
      <c r="T39" t="n">
        <v>11.6</v>
      </c>
      <c r="U39" t="n">
        <v>0.002</v>
      </c>
      <c r="V39" t="n">
        <v>0.105</v>
      </c>
      <c r="W39" t="n">
        <v>6.66</v>
      </c>
      <c r="X39" t="n">
        <v>3.47</v>
      </c>
      <c r="Y39" t="n">
        <v>0.027</v>
      </c>
      <c r="Z39" t="n">
        <v>0.004</v>
      </c>
      <c r="AA39" t="n">
        <v>0</v>
      </c>
      <c r="AB39" t="n">
        <v>1.02</v>
      </c>
      <c r="AC39" t="n">
        <v>0.093</v>
      </c>
      <c r="AD39" t="n">
        <v>0</v>
      </c>
      <c r="AE39" t="n">
        <v>2.14</v>
      </c>
      <c r="AF39" t="n">
        <v>3.37</v>
      </c>
      <c r="AG39" t="n">
        <v>2.43</v>
      </c>
      <c r="AH39" t="n">
        <v>0.322</v>
      </c>
      <c r="AI39" t="n">
        <v>0.054</v>
      </c>
      <c r="AJ39" t="n">
        <v>27.1</v>
      </c>
      <c r="AK39" t="n">
        <v>28.7</v>
      </c>
      <c r="AL39" t="n">
        <v>0.15</v>
      </c>
      <c r="AM39" t="n">
        <v>0.33</v>
      </c>
      <c r="AO39" t="n">
        <v>0.77</v>
      </c>
      <c r="AP39" t="n">
        <v>0.83</v>
      </c>
      <c r="AQ39" t="n">
        <v>1.19</v>
      </c>
      <c r="AR39" t="n">
        <v>0.17</v>
      </c>
      <c r="AS39" t="n">
        <v>1.89</v>
      </c>
      <c r="AT39" t="n">
        <v>0.9399999999999999</v>
      </c>
      <c r="AU39" t="n">
        <v>0.35</v>
      </c>
      <c r="AV39" t="n">
        <v>0.46</v>
      </c>
      <c r="AW39" t="n">
        <v>0.93</v>
      </c>
      <c r="AX39" t="n">
        <v>0.95</v>
      </c>
      <c r="AY39" t="n">
        <v>0.26</v>
      </c>
      <c r="AZ39" t="n">
        <v>0.253</v>
      </c>
      <c r="BA39" t="n">
        <v>0.112</v>
      </c>
      <c r="BB39" t="n">
        <v>0.016</v>
      </c>
      <c r="BC39" t="n">
        <v>2.13</v>
      </c>
      <c r="BD39" t="n">
        <v>0.6</v>
      </c>
      <c r="BE39" t="n">
        <v>0.84</v>
      </c>
      <c r="BF39" t="n">
        <v>0</v>
      </c>
      <c r="BG39" t="n">
        <v>0</v>
      </c>
      <c r="BH39" t="n">
        <v>0.55</v>
      </c>
      <c r="BI39" t="n">
        <v>0</v>
      </c>
      <c r="BJ39" t="n">
        <v>0.002</v>
      </c>
      <c r="BK39" t="n">
        <v>0.5</v>
      </c>
      <c r="BL39" t="n">
        <v>0</v>
      </c>
      <c r="BM39" t="n">
        <v>0</v>
      </c>
      <c r="BN39" t="n">
        <v>0.14</v>
      </c>
      <c r="BO39" t="n">
        <v>0</v>
      </c>
      <c r="BP39" t="n">
        <v>0</v>
      </c>
      <c r="BQ39" t="n">
        <v>0</v>
      </c>
      <c r="BR39" t="n">
        <v>0</v>
      </c>
      <c r="BS39" t="n">
        <v>0.12</v>
      </c>
      <c r="BT39" t="n">
        <v>0.39</v>
      </c>
      <c r="BU39" t="n">
        <v>0.53</v>
      </c>
      <c r="BX39" t="n">
        <v>0.093</v>
      </c>
      <c r="BY39" t="n">
        <v>0.202</v>
      </c>
      <c r="BZ39" t="n">
        <v>1.7</v>
      </c>
      <c r="CA39" t="n">
        <v>0.094</v>
      </c>
      <c r="CB39" t="n">
        <v>0.033</v>
      </c>
      <c r="CC39" t="n">
        <v>0.031</v>
      </c>
      <c r="CD39" t="n">
        <v>0.046</v>
      </c>
      <c r="CE39" t="n">
        <v>0</v>
      </c>
      <c r="CF39" t="n">
        <v>0.008999999999999999</v>
      </c>
      <c r="CG39" t="n">
        <v>0.002</v>
      </c>
      <c r="CH39" t="n">
        <v>18</v>
      </c>
      <c r="CI39" t="n">
        <v>18</v>
      </c>
      <c r="CM39" t="n">
        <v>0</v>
      </c>
      <c r="CN39" t="n">
        <v>0</v>
      </c>
      <c r="CO39" t="n">
        <v>1</v>
      </c>
      <c r="CP39" t="n">
        <v>0</v>
      </c>
      <c r="CQ39" t="n">
        <v>0</v>
      </c>
      <c r="CR39" t="n">
        <v>0</v>
      </c>
      <c r="DQ39" t="n">
        <v>2.3</v>
      </c>
      <c r="DR39" t="n">
        <v>1.9</v>
      </c>
      <c r="DS39" t="n">
        <v>27.7</v>
      </c>
      <c r="DT39" t="n">
        <v>0.4</v>
      </c>
      <c r="DU39" t="n">
        <v>6</v>
      </c>
      <c r="DW39" t="n">
        <v>1</v>
      </c>
      <c r="ED39" t="n">
        <v>19.2</v>
      </c>
      <c r="EQ39" t="n">
        <v>324.98</v>
      </c>
      <c r="ER39" t="n">
        <v>1359.71632</v>
      </c>
      <c r="GE39" t="n">
        <v>61</v>
      </c>
      <c r="GF39" t="n">
        <v>11.3</v>
      </c>
      <c r="GG39" t="n">
        <v>1.18</v>
      </c>
      <c r="GH39" t="n">
        <v>1.08</v>
      </c>
      <c r="GJ39" t="n">
        <v>0</v>
      </c>
      <c r="GK39" t="n">
        <v>0.202</v>
      </c>
      <c r="GL39" t="n">
        <v>11</v>
      </c>
      <c r="GM39" t="n">
        <v>0.016</v>
      </c>
      <c r="GN39" t="n">
        <v>0.002</v>
      </c>
      <c r="GO39" t="n">
        <v>1.57</v>
      </c>
      <c r="GP39" t="n">
        <v>0.092</v>
      </c>
      <c r="GQ39" t="n">
        <v>0.004</v>
      </c>
      <c r="GR39" t="n">
        <v>0</v>
      </c>
      <c r="GS39" t="n">
        <v>0.015</v>
      </c>
      <c r="GT39" t="n">
        <v>0.008999999999999999</v>
      </c>
      <c r="GU39" t="n">
        <v>0.002</v>
      </c>
      <c r="GV39" t="n">
        <v>0.132</v>
      </c>
      <c r="GW39" t="n">
        <v>0.018</v>
      </c>
      <c r="GX39" t="n">
        <v>0.784</v>
      </c>
      <c r="GY39" t="n">
        <v>0.256</v>
      </c>
      <c r="GZ39" t="n">
        <v>0.004</v>
      </c>
      <c r="HA39" t="n">
        <v>0.003</v>
      </c>
      <c r="HB39" t="n">
        <v>0</v>
      </c>
      <c r="HC39" t="n">
        <v>0.062</v>
      </c>
      <c r="HD39" t="n">
        <v>1.13</v>
      </c>
      <c r="HE39" t="n">
        <v>2.97</v>
      </c>
      <c r="HF39" t="n">
        <v>0.075</v>
      </c>
      <c r="HG39" t="n">
        <v>0.29</v>
      </c>
      <c r="HH39" t="n">
        <v>1.55</v>
      </c>
      <c r="HI39" t="n">
        <v>19.7</v>
      </c>
      <c r="HJ39" t="n">
        <v>0.174</v>
      </c>
      <c r="HK39" t="n">
        <v>124</v>
      </c>
      <c r="HL39" t="n">
        <v>13.3</v>
      </c>
      <c r="HM39" t="n">
        <v>866</v>
      </c>
      <c r="HN39" t="n">
        <v>2.8</v>
      </c>
      <c r="HO39" t="n">
        <v>38.3</v>
      </c>
    </row>
    <row r="40">
      <c r="A40" t="n">
        <v>170791</v>
      </c>
      <c r="B40" t="inlineStr">
        <is>
          <t>ARBY'S, roast beef sandwich, classic</t>
        </is>
      </c>
      <c r="C40" t="inlineStr"/>
      <c r="D40" t="inlineStr">
        <is>
          <t>SR Legacy</t>
        </is>
      </c>
      <c r="E40" s="8" t="n">
        <v>100</v>
      </c>
      <c r="F40" s="9">
        <f>E40/SUM($E$3:$E$58)</f>
        <v/>
      </c>
      <c r="G40" t="n">
        <v>49.9</v>
      </c>
      <c r="H40" t="n">
        <v>55</v>
      </c>
      <c r="I40" t="n">
        <v>3.99</v>
      </c>
      <c r="J40" t="n">
        <v>1.76</v>
      </c>
      <c r="K40" t="n">
        <v>0.043</v>
      </c>
      <c r="L40" t="n">
        <v>0.258</v>
      </c>
      <c r="M40" t="n">
        <v>224</v>
      </c>
      <c r="N40" t="n">
        <v>0.044</v>
      </c>
      <c r="O40" t="n">
        <v>0.007</v>
      </c>
      <c r="P40" t="n">
        <v>0</v>
      </c>
      <c r="Q40" t="n">
        <v>0.002</v>
      </c>
      <c r="R40" t="n">
        <v>0.01</v>
      </c>
      <c r="S40" t="n">
        <v>0.022</v>
      </c>
      <c r="T40" t="n">
        <v>18.2</v>
      </c>
      <c r="U40" t="n">
        <v>0</v>
      </c>
      <c r="V40" t="n">
        <v>0.032</v>
      </c>
      <c r="W40" t="n">
        <v>1.95</v>
      </c>
      <c r="X40" t="n">
        <v>1.11</v>
      </c>
      <c r="Y40" t="n">
        <v>0.015</v>
      </c>
      <c r="Z40" t="n">
        <v>0</v>
      </c>
      <c r="AA40" t="n">
        <v>0</v>
      </c>
      <c r="AB40" t="n">
        <v>0.326</v>
      </c>
      <c r="AC40" t="n">
        <v>0.043</v>
      </c>
      <c r="AD40" t="n">
        <v>0</v>
      </c>
      <c r="AE40" t="n">
        <v>2.27</v>
      </c>
      <c r="AF40" t="n">
        <v>22.2</v>
      </c>
      <c r="AG40" t="n">
        <v>4.34</v>
      </c>
      <c r="AI40" t="n">
        <v>0.217</v>
      </c>
      <c r="AJ40" t="n">
        <v>10.3</v>
      </c>
      <c r="AK40" t="n">
        <v>10.3</v>
      </c>
      <c r="AL40" t="n">
        <v>0.215</v>
      </c>
      <c r="CM40" t="n">
        <v>1.5</v>
      </c>
      <c r="CN40" t="n">
        <v>0</v>
      </c>
      <c r="CO40" t="n">
        <v>1.34</v>
      </c>
      <c r="CP40" t="n">
        <v>0</v>
      </c>
      <c r="CQ40" t="n">
        <v>1</v>
      </c>
      <c r="CR40" t="n">
        <v>0</v>
      </c>
      <c r="DW40" t="n">
        <v>3.84</v>
      </c>
      <c r="DZ40" t="n">
        <v>0.062</v>
      </c>
      <c r="EA40" t="n">
        <v>0.279</v>
      </c>
      <c r="EB40" t="n">
        <v>0.034</v>
      </c>
      <c r="EC40" t="n">
        <v>0</v>
      </c>
      <c r="EE40" t="n">
        <v>1.3</v>
      </c>
      <c r="EG40" t="n">
        <v>3.56</v>
      </c>
      <c r="EH40" t="n">
        <v>0</v>
      </c>
      <c r="EI40" t="n">
        <v>1.55</v>
      </c>
      <c r="EJ40" t="n">
        <v>0.159</v>
      </c>
      <c r="EK40" t="n">
        <v>0.01</v>
      </c>
      <c r="EQ40" t="n">
        <v>242.3</v>
      </c>
      <c r="ER40" t="n">
        <v>1013.7832</v>
      </c>
      <c r="GE40" t="n">
        <v>30</v>
      </c>
      <c r="GF40" t="n">
        <v>3.4</v>
      </c>
      <c r="GG40" t="n">
        <v>0.389</v>
      </c>
      <c r="GH40" t="n">
        <v>0.346</v>
      </c>
      <c r="GI40" t="n">
        <v>51</v>
      </c>
      <c r="GJ40" t="n">
        <v>0</v>
      </c>
      <c r="GK40" t="n">
        <v>0.052</v>
      </c>
      <c r="GL40" t="n">
        <v>3.24</v>
      </c>
      <c r="GM40" t="n">
        <v>0</v>
      </c>
      <c r="GN40" t="n">
        <v>0</v>
      </c>
      <c r="GO40" t="n">
        <v>1.46</v>
      </c>
      <c r="GP40" t="n">
        <v>0.152</v>
      </c>
      <c r="GQ40" t="n">
        <v>0</v>
      </c>
      <c r="GR40" t="n">
        <v>0.005</v>
      </c>
      <c r="GS40" t="n">
        <v>0.004</v>
      </c>
      <c r="GT40" t="n">
        <v>0.008</v>
      </c>
      <c r="GU40" t="n">
        <v>0</v>
      </c>
      <c r="GV40" t="n">
        <v>0.287</v>
      </c>
      <c r="GW40" t="n">
        <v>0</v>
      </c>
      <c r="GX40" t="n">
        <v>0.2</v>
      </c>
      <c r="GY40" t="n">
        <v>0.079</v>
      </c>
      <c r="GZ40" t="n">
        <v>0.008999999999999999</v>
      </c>
      <c r="HA40" t="n">
        <v>0.004</v>
      </c>
      <c r="HB40" t="n">
        <v>0</v>
      </c>
      <c r="HC40" t="n">
        <v>0.02</v>
      </c>
      <c r="HD40" t="n">
        <v>0.96</v>
      </c>
      <c r="HE40" t="n">
        <v>2.41</v>
      </c>
      <c r="HF40" t="n">
        <v>0.109</v>
      </c>
      <c r="HH40" t="n">
        <v>2.64</v>
      </c>
      <c r="HI40" t="n">
        <v>23</v>
      </c>
      <c r="HJ40" t="n">
        <v>0.234</v>
      </c>
      <c r="HK40" t="n">
        <v>200</v>
      </c>
      <c r="HL40" t="n">
        <v>15.2</v>
      </c>
      <c r="HM40" t="n">
        <v>653</v>
      </c>
      <c r="HN40" t="n">
        <v>21.3</v>
      </c>
      <c r="HO40" t="n">
        <v>40.1</v>
      </c>
      <c r="HP40" t="n">
        <v>17.6</v>
      </c>
    </row>
    <row r="41">
      <c r="A41" t="n">
        <v>2727576</v>
      </c>
      <c r="B41" t="inlineStr">
        <is>
          <t>Pork, belly, with skin, raw</t>
        </is>
      </c>
      <c r="C41" t="inlineStr"/>
      <c r="D41" t="inlineStr">
        <is>
          <t>Foundation</t>
        </is>
      </c>
      <c r="E41" s="8" t="n">
        <v>100</v>
      </c>
      <c r="F41" s="9">
        <f>E41/SUM($E$3:$E$58)</f>
        <v/>
      </c>
      <c r="G41" t="n">
        <v>49</v>
      </c>
      <c r="H41" t="n">
        <v>4.2</v>
      </c>
      <c r="M41" t="n">
        <v>208</v>
      </c>
      <c r="AE41" t="n">
        <v>1.07</v>
      </c>
      <c r="AF41" t="n">
        <v>-0.705</v>
      </c>
      <c r="AJ41" t="n">
        <v>35.8</v>
      </c>
      <c r="AK41" t="n">
        <v>35.8</v>
      </c>
      <c r="BC41" t="n">
        <v>2.43</v>
      </c>
      <c r="DX41" t="n">
        <v>380</v>
      </c>
      <c r="DY41" t="n">
        <v>385</v>
      </c>
      <c r="EQ41" t="n">
        <v>380.18</v>
      </c>
      <c r="ER41" t="n">
        <v>1590.67312</v>
      </c>
      <c r="GE41" t="n">
        <v>66.59999999999999</v>
      </c>
      <c r="HE41" t="n">
        <v>0.655</v>
      </c>
      <c r="HF41" t="n">
        <v>0.0331</v>
      </c>
      <c r="HH41" t="n">
        <v>0.382</v>
      </c>
      <c r="HI41" t="n">
        <v>12.2</v>
      </c>
      <c r="HJ41" t="n">
        <v>0.00208</v>
      </c>
      <c r="HK41" t="n">
        <v>114</v>
      </c>
      <c r="HL41" t="n">
        <v>15.2</v>
      </c>
      <c r="HM41" t="n">
        <v>49.7</v>
      </c>
    </row>
    <row r="42">
      <c r="A42" t="n">
        <v>2727575</v>
      </c>
      <c r="B42" t="inlineStr">
        <is>
          <t>Pork, chop, center cut, raw</t>
        </is>
      </c>
      <c r="C42" t="inlineStr"/>
      <c r="D42" t="inlineStr">
        <is>
          <t>Foundation</t>
        </is>
      </c>
      <c r="E42" s="8" t="n">
        <v>100</v>
      </c>
      <c r="F42" s="9">
        <f>E42/SUM($E$3:$E$58)</f>
        <v/>
      </c>
      <c r="G42" t="n">
        <v>71.2</v>
      </c>
      <c r="H42" t="n">
        <v>4.12</v>
      </c>
      <c r="M42" t="n">
        <v>366</v>
      </c>
      <c r="AE42" t="n">
        <v>1.32</v>
      </c>
      <c r="AF42" t="n">
        <v>-0.5620000000000001</v>
      </c>
      <c r="AJ42" t="n">
        <v>5.48</v>
      </c>
      <c r="AK42" t="n">
        <v>5.48</v>
      </c>
      <c r="BC42" t="n">
        <v>3.65</v>
      </c>
      <c r="DX42" t="n">
        <v>138</v>
      </c>
      <c r="DY42" t="n">
        <v>145</v>
      </c>
      <c r="EQ42" t="n">
        <v>138.272</v>
      </c>
      <c r="ER42" t="n">
        <v>578.530048</v>
      </c>
      <c r="GE42" t="n">
        <v>57.3</v>
      </c>
      <c r="HE42" t="n">
        <v>1.1</v>
      </c>
      <c r="HF42" t="n">
        <v>0.0335</v>
      </c>
      <c r="HH42" t="n">
        <v>0.421</v>
      </c>
      <c r="HI42" t="n">
        <v>23.4</v>
      </c>
      <c r="HJ42" t="n">
        <v>0.00158</v>
      </c>
      <c r="HK42" t="n">
        <v>202</v>
      </c>
      <c r="HL42" t="n">
        <v>22.8</v>
      </c>
      <c r="HM42" t="n">
        <v>39.3</v>
      </c>
    </row>
    <row r="43">
      <c r="A43" t="n">
        <v>749420</v>
      </c>
      <c r="B43" t="inlineStr">
        <is>
          <t>Pork, cured, bacon, cooked, restaurant</t>
        </is>
      </c>
      <c r="C43" t="inlineStr"/>
      <c r="D43" t="inlineStr">
        <is>
          <t>Foundation</t>
        </is>
      </c>
      <c r="E43" s="8" t="n">
        <v>100</v>
      </c>
      <c r="F43" s="9">
        <f>E43/SUM($E$3:$E$58)</f>
        <v/>
      </c>
      <c r="G43" t="n">
        <v>14.2</v>
      </c>
      <c r="H43" t="n">
        <v>13</v>
      </c>
      <c r="I43" t="n">
        <v>15.8</v>
      </c>
      <c r="J43" t="n">
        <v>6</v>
      </c>
      <c r="K43" t="n">
        <v>0</v>
      </c>
      <c r="L43" t="n">
        <v>0.839</v>
      </c>
      <c r="M43" t="n">
        <v>557</v>
      </c>
      <c r="N43" t="n">
        <v>0.042</v>
      </c>
      <c r="O43" t="n">
        <v>0.012</v>
      </c>
      <c r="P43" t="n">
        <v>0</v>
      </c>
      <c r="Q43" t="n">
        <v>0.214</v>
      </c>
      <c r="R43" t="n">
        <v>0.042</v>
      </c>
      <c r="S43" t="n">
        <v>0.16</v>
      </c>
      <c r="U43" t="n">
        <v>0.033</v>
      </c>
      <c r="V43" t="n">
        <v>0.018</v>
      </c>
      <c r="W43" t="n">
        <v>7.94</v>
      </c>
      <c r="X43" t="n">
        <v>3.9</v>
      </c>
      <c r="Y43" t="n">
        <v>0.07199999999999999</v>
      </c>
      <c r="Z43" t="n">
        <v>0.002</v>
      </c>
      <c r="AA43" t="n">
        <v>0.001</v>
      </c>
      <c r="AB43" t="n">
        <v>0.118</v>
      </c>
      <c r="AC43" t="n">
        <v>0.024</v>
      </c>
      <c r="AD43" t="n">
        <v>0</v>
      </c>
      <c r="AE43" t="n">
        <v>3.56</v>
      </c>
      <c r="AF43" t="n">
        <v>2.1</v>
      </c>
      <c r="AJ43" t="n">
        <v>34.6</v>
      </c>
      <c r="AK43" t="n">
        <v>36.5</v>
      </c>
      <c r="AZ43" t="n">
        <v>0.008999999999999999</v>
      </c>
      <c r="BA43" t="n">
        <v>0.285</v>
      </c>
      <c r="BB43" t="n">
        <v>0.005</v>
      </c>
      <c r="BC43" t="n">
        <v>6.54</v>
      </c>
      <c r="BF43" t="n">
        <v>0</v>
      </c>
      <c r="BG43" t="n">
        <v>0.003</v>
      </c>
      <c r="BI43" t="n">
        <v>0</v>
      </c>
      <c r="BJ43" t="n">
        <v>0</v>
      </c>
      <c r="BX43" t="n">
        <v>0.024</v>
      </c>
      <c r="BY43" t="n">
        <v>0.094</v>
      </c>
      <c r="BZ43" t="n">
        <v>5.27</v>
      </c>
      <c r="CA43" t="n">
        <v>0.239</v>
      </c>
      <c r="CB43" t="n">
        <v>0.214</v>
      </c>
      <c r="CC43" t="n">
        <v>0.074</v>
      </c>
      <c r="CD43" t="n">
        <v>0.16</v>
      </c>
      <c r="CE43" t="n">
        <v>0.003</v>
      </c>
      <c r="CF43" t="n">
        <v>0.024</v>
      </c>
      <c r="CG43" t="n">
        <v>0.006</v>
      </c>
      <c r="CM43" t="n">
        <v>0.01</v>
      </c>
      <c r="CN43" t="n">
        <v>0</v>
      </c>
      <c r="CO43" t="n">
        <v>0.04</v>
      </c>
      <c r="CP43" t="n">
        <v>0</v>
      </c>
      <c r="CQ43" t="n">
        <v>0</v>
      </c>
      <c r="CR43" t="n">
        <v>3.09</v>
      </c>
      <c r="CZ43" t="n">
        <v>0.001</v>
      </c>
      <c r="DA43" t="n">
        <v>0.003</v>
      </c>
      <c r="DB43" t="n">
        <v>0.001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0.001</v>
      </c>
      <c r="DI43" t="n">
        <v>0</v>
      </c>
      <c r="DW43" t="n">
        <v>3.14</v>
      </c>
      <c r="EQ43" t="n">
        <v>500.5</v>
      </c>
      <c r="ER43" t="n">
        <v>2094.092</v>
      </c>
      <c r="GF43" t="n">
        <v>12.6</v>
      </c>
      <c r="GG43" t="n">
        <v>0.15</v>
      </c>
      <c r="GH43" t="n">
        <v>0.126</v>
      </c>
      <c r="GJ43" t="n">
        <v>0</v>
      </c>
      <c r="GK43" t="n">
        <v>0.094</v>
      </c>
      <c r="GL43" t="n">
        <v>14.6</v>
      </c>
      <c r="GM43" t="n">
        <v>0.008999999999999999</v>
      </c>
      <c r="GN43" t="n">
        <v>0.001</v>
      </c>
      <c r="GO43" t="n">
        <v>5.23</v>
      </c>
      <c r="GP43" t="n">
        <v>0.227</v>
      </c>
      <c r="GQ43" t="n">
        <v>0.032</v>
      </c>
      <c r="GR43" t="n">
        <v>0.003</v>
      </c>
      <c r="GS43" t="n">
        <v>0.047</v>
      </c>
      <c r="GT43" t="n">
        <v>0.024</v>
      </c>
      <c r="GU43" t="n">
        <v>0.006</v>
      </c>
      <c r="GW43" t="n">
        <v>0.03</v>
      </c>
      <c r="GX43" t="n">
        <v>0.476</v>
      </c>
      <c r="GY43" t="n">
        <v>0.096</v>
      </c>
      <c r="GZ43" t="n">
        <v>0.014</v>
      </c>
      <c r="HA43" t="n">
        <v>0.002</v>
      </c>
      <c r="HB43" t="n">
        <v>0.006</v>
      </c>
      <c r="HC43" t="n">
        <v>0.007</v>
      </c>
      <c r="HE43" t="n">
        <v>6.33</v>
      </c>
      <c r="HF43" t="n">
        <v>0.13</v>
      </c>
      <c r="HH43" t="n">
        <v>1.28</v>
      </c>
      <c r="HI43" t="n">
        <v>36.5</v>
      </c>
      <c r="HJ43" t="n">
        <v>0.02</v>
      </c>
      <c r="HK43" t="n">
        <v>415</v>
      </c>
      <c r="HL43" t="n">
        <v>40.9</v>
      </c>
      <c r="HM43" t="n">
        <v>1830</v>
      </c>
    </row>
    <row r="44">
      <c r="A44" t="n">
        <v>2646168</v>
      </c>
      <c r="B44" t="inlineStr">
        <is>
          <t>Pork, loin, boneless, raw</t>
        </is>
      </c>
      <c r="C44" t="inlineStr"/>
      <c r="D44" t="inlineStr">
        <is>
          <t>Foundation</t>
        </is>
      </c>
      <c r="E44" s="8" t="n">
        <v>100</v>
      </c>
      <c r="F44" s="9">
        <f>E44/SUM($E$3:$E$58)</f>
        <v/>
      </c>
      <c r="G44" t="n">
        <v>68.8</v>
      </c>
      <c r="H44" t="n">
        <v>4.11</v>
      </c>
      <c r="I44" t="n">
        <v>3.95</v>
      </c>
      <c r="J44" t="n">
        <v>1.38</v>
      </c>
      <c r="M44" t="n">
        <v>361</v>
      </c>
      <c r="AE44" t="n">
        <v>1.57</v>
      </c>
      <c r="AF44" t="n">
        <v>0</v>
      </c>
      <c r="AJ44" t="n">
        <v>9.470000000000001</v>
      </c>
      <c r="AK44" t="n">
        <v>9.470000000000001</v>
      </c>
      <c r="BC44" t="n">
        <v>3.38</v>
      </c>
      <c r="DX44" t="n">
        <v>168</v>
      </c>
      <c r="DY44" t="n">
        <v>174</v>
      </c>
      <c r="EQ44" t="n">
        <v>169.63</v>
      </c>
      <c r="ER44" t="n">
        <v>709.7319200000001</v>
      </c>
      <c r="GE44" t="n">
        <v>55.9</v>
      </c>
      <c r="GF44" t="n">
        <v>3.28</v>
      </c>
      <c r="GG44" t="n">
        <v>0.0288</v>
      </c>
      <c r="HE44" t="n">
        <v>1.07</v>
      </c>
      <c r="HF44" t="n">
        <v>0.0382</v>
      </c>
      <c r="HH44" t="n">
        <v>0.452</v>
      </c>
      <c r="HI44" t="n">
        <v>22</v>
      </c>
      <c r="HJ44" t="n">
        <v>0</v>
      </c>
      <c r="HK44" t="n">
        <v>197</v>
      </c>
      <c r="HL44" t="n">
        <v>21.1</v>
      </c>
      <c r="HM44" t="n">
        <v>40.2</v>
      </c>
    </row>
    <row r="45">
      <c r="A45" t="n">
        <v>2514745</v>
      </c>
      <c r="B45" t="inlineStr">
        <is>
          <t>Pork, ground, raw</t>
        </is>
      </c>
      <c r="C45" t="inlineStr"/>
      <c r="D45" t="inlineStr">
        <is>
          <t>Foundation</t>
        </is>
      </c>
      <c r="E45" s="8" t="n">
        <v>100</v>
      </c>
      <c r="F45" s="9">
        <f>E45/SUM($E$3:$E$58)</f>
        <v/>
      </c>
      <c r="G45" t="n">
        <v>63.9</v>
      </c>
      <c r="H45" t="n">
        <v>5.86</v>
      </c>
      <c r="I45" t="n">
        <v>7.78</v>
      </c>
      <c r="J45" t="n">
        <v>2.55</v>
      </c>
      <c r="M45" t="n">
        <v>318</v>
      </c>
      <c r="AE45" t="n">
        <v>2.23</v>
      </c>
      <c r="AF45" t="n">
        <v>0</v>
      </c>
      <c r="AJ45" t="n">
        <v>17.5</v>
      </c>
      <c r="AK45" t="n">
        <v>17.5</v>
      </c>
      <c r="BC45" t="n">
        <v>2.85</v>
      </c>
      <c r="DX45" t="n">
        <v>228</v>
      </c>
      <c r="DY45" t="n">
        <v>233</v>
      </c>
      <c r="EQ45" t="n">
        <v>228.7</v>
      </c>
      <c r="ER45" t="n">
        <v>956.8808</v>
      </c>
      <c r="GE45" t="n">
        <v>71.2</v>
      </c>
      <c r="GF45" t="n">
        <v>6.28</v>
      </c>
      <c r="GG45" t="n">
        <v>0.066</v>
      </c>
      <c r="HE45" t="n">
        <v>0.924</v>
      </c>
      <c r="HF45" t="n">
        <v>0.06660000000000001</v>
      </c>
      <c r="HH45" t="n">
        <v>0.788</v>
      </c>
      <c r="HI45" t="n">
        <v>19</v>
      </c>
      <c r="HJ45" t="n">
        <v>0</v>
      </c>
      <c r="HK45" t="n">
        <v>173</v>
      </c>
      <c r="HL45" t="n">
        <v>17.8</v>
      </c>
      <c r="HM45" t="n">
        <v>53.6</v>
      </c>
    </row>
    <row r="46">
      <c r="A46" t="n">
        <v>2646169</v>
      </c>
      <c r="B46" t="inlineStr">
        <is>
          <t>Pork, loin, tenderloin, boneless, raw</t>
        </is>
      </c>
      <c r="C46" t="inlineStr"/>
      <c r="D46" t="inlineStr">
        <is>
          <t>Foundation</t>
        </is>
      </c>
      <c r="E46" s="8" t="n">
        <v>100</v>
      </c>
      <c r="F46" s="9">
        <f>E46/SUM($E$3:$E$58)</f>
        <v/>
      </c>
      <c r="G46" t="n">
        <v>73.90000000000001</v>
      </c>
      <c r="H46" t="n">
        <v>4.53</v>
      </c>
      <c r="I46" t="n">
        <v>0.862</v>
      </c>
      <c r="J46" t="n">
        <v>0.418</v>
      </c>
      <c r="M46" t="n">
        <v>397</v>
      </c>
      <c r="AE46" t="n">
        <v>1.77</v>
      </c>
      <c r="AF46" t="n">
        <v>0</v>
      </c>
      <c r="AJ46" t="n">
        <v>3.9</v>
      </c>
      <c r="AK46" t="n">
        <v>3.9</v>
      </c>
      <c r="BC46" t="n">
        <v>3.45</v>
      </c>
      <c r="DX46" t="n">
        <v>119</v>
      </c>
      <c r="DY46" t="n">
        <v>125</v>
      </c>
      <c r="EQ46" t="n">
        <v>121.5</v>
      </c>
      <c r="ER46" t="n">
        <v>508.356</v>
      </c>
      <c r="GE46" t="n">
        <v>59.6</v>
      </c>
      <c r="GF46" t="n">
        <v>0.866</v>
      </c>
      <c r="GG46" t="n">
        <v>0.01</v>
      </c>
      <c r="HE46" t="n">
        <v>1.18</v>
      </c>
      <c r="HF46" t="n">
        <v>0.0772</v>
      </c>
      <c r="HH46" t="n">
        <v>0.929</v>
      </c>
      <c r="HI46" t="n">
        <v>24.7</v>
      </c>
      <c r="HJ46" t="n">
        <v>0.00259</v>
      </c>
      <c r="HK46" t="n">
        <v>217</v>
      </c>
      <c r="HL46" t="n">
        <v>21.6</v>
      </c>
      <c r="HM46" t="n">
        <v>41.4</v>
      </c>
    </row>
    <row r="47">
      <c r="A47" t="n">
        <v>746774</v>
      </c>
      <c r="B47" t="inlineStr">
        <is>
          <t>Restaurant, Chinese, sweet and sour pork</t>
        </is>
      </c>
      <c r="C47" t="inlineStr"/>
      <c r="D47" t="inlineStr">
        <is>
          <t>Foundation</t>
        </is>
      </c>
      <c r="E47" s="8" t="n">
        <v>100</v>
      </c>
      <c r="F47" s="9">
        <f>E47/SUM($E$3:$E$58)</f>
        <v/>
      </c>
      <c r="G47" t="n">
        <v>50.8</v>
      </c>
      <c r="H47" t="n">
        <v>46</v>
      </c>
      <c r="I47" t="n">
        <v>3.49</v>
      </c>
      <c r="J47" t="n">
        <v>7.05</v>
      </c>
      <c r="L47" t="n">
        <v>0.074</v>
      </c>
      <c r="M47" t="n">
        <v>152</v>
      </c>
      <c r="N47" t="n">
        <v>0.014</v>
      </c>
      <c r="O47" t="n">
        <v>0.001</v>
      </c>
      <c r="P47" t="n">
        <v>0</v>
      </c>
      <c r="Q47" t="n">
        <v>0.013</v>
      </c>
      <c r="R47" t="n">
        <v>0.004</v>
      </c>
      <c r="S47" t="n">
        <v>0.025</v>
      </c>
      <c r="T47" t="n">
        <v>9.699999999999999</v>
      </c>
      <c r="U47" t="n">
        <v>0.005</v>
      </c>
      <c r="V47" t="n">
        <v>0.004</v>
      </c>
      <c r="W47" t="n">
        <v>1.79</v>
      </c>
      <c r="X47" t="n">
        <v>0.719</v>
      </c>
      <c r="Y47" t="n">
        <v>0.039</v>
      </c>
      <c r="Z47" t="n">
        <v>0.003</v>
      </c>
      <c r="AA47" t="n">
        <v>0</v>
      </c>
      <c r="AB47" t="n">
        <v>0.03</v>
      </c>
      <c r="AC47" t="n">
        <v>0.052</v>
      </c>
      <c r="AD47" t="n">
        <v>0.003</v>
      </c>
      <c r="AE47" t="n">
        <v>1.07</v>
      </c>
      <c r="AF47" t="n">
        <v>25.5</v>
      </c>
      <c r="AG47" t="n">
        <v>2.11</v>
      </c>
      <c r="AH47" t="n">
        <v>0.443</v>
      </c>
      <c r="AI47" t="n">
        <v>0.235</v>
      </c>
      <c r="AJ47" t="n">
        <v>13.3</v>
      </c>
      <c r="AK47" t="n">
        <v>13.6</v>
      </c>
      <c r="AL47" t="n">
        <v>0.17</v>
      </c>
      <c r="AM47" t="n">
        <v>0.89</v>
      </c>
      <c r="AN47" t="n">
        <v>27.8</v>
      </c>
      <c r="AO47" t="n">
        <v>0.473</v>
      </c>
      <c r="AP47" t="n">
        <v>0.54</v>
      </c>
      <c r="AQ47" t="n">
        <v>0.767</v>
      </c>
      <c r="AS47" t="n">
        <v>1.87</v>
      </c>
      <c r="AT47" t="n">
        <v>0.4</v>
      </c>
      <c r="AU47" t="n">
        <v>0.287</v>
      </c>
      <c r="AV47" t="n">
        <v>0.377</v>
      </c>
      <c r="AW47" t="n">
        <v>0.707</v>
      </c>
      <c r="AX47" t="n">
        <v>0.663</v>
      </c>
      <c r="AY47" t="n">
        <v>0.207</v>
      </c>
      <c r="AZ47" t="n">
        <v>0.002</v>
      </c>
      <c r="BA47" t="n">
        <v>0.07199999999999999</v>
      </c>
      <c r="BC47" t="n">
        <v>1.42</v>
      </c>
      <c r="BD47" t="n">
        <v>0.343</v>
      </c>
      <c r="BE47" t="n">
        <v>0.447</v>
      </c>
      <c r="BG47" t="n">
        <v>0</v>
      </c>
      <c r="BH47" t="n">
        <v>0.38</v>
      </c>
      <c r="BI47" t="n">
        <v>0</v>
      </c>
      <c r="BK47" t="n">
        <v>0.373</v>
      </c>
      <c r="BL47" t="n">
        <v>0.06</v>
      </c>
      <c r="BM47" t="n">
        <v>1.28</v>
      </c>
      <c r="BN47" t="n">
        <v>3.27</v>
      </c>
      <c r="BO47" t="n">
        <v>0</v>
      </c>
      <c r="BP47" t="n">
        <v>0</v>
      </c>
      <c r="BQ47" t="n">
        <v>0</v>
      </c>
      <c r="BR47" t="n">
        <v>0.01</v>
      </c>
      <c r="BS47" t="n">
        <v>0.102</v>
      </c>
      <c r="BT47" t="n">
        <v>0.253</v>
      </c>
      <c r="BU47" t="n">
        <v>0.41</v>
      </c>
      <c r="BW47" t="n">
        <v>2</v>
      </c>
      <c r="BX47" t="n">
        <v>0.052</v>
      </c>
      <c r="BY47" t="n">
        <v>0.015</v>
      </c>
      <c r="BZ47" t="n">
        <v>6.21</v>
      </c>
      <c r="CA47" t="n">
        <v>0.786</v>
      </c>
      <c r="CB47" t="n">
        <v>0.013</v>
      </c>
      <c r="CC47" t="n">
        <v>0.006</v>
      </c>
      <c r="CD47" t="n">
        <v>0.025</v>
      </c>
      <c r="CE47" t="n">
        <v>0.004</v>
      </c>
      <c r="CF47" t="n">
        <v>0.003</v>
      </c>
      <c r="CG47" t="n">
        <v>0.002</v>
      </c>
      <c r="CH47" t="n">
        <v>2</v>
      </c>
      <c r="CI47" t="n">
        <v>29</v>
      </c>
      <c r="CL47" t="n">
        <v>259</v>
      </c>
      <c r="CM47" t="n">
        <v>2.85</v>
      </c>
      <c r="CN47" t="n">
        <v>0</v>
      </c>
      <c r="CO47" t="n">
        <v>3.01</v>
      </c>
      <c r="CP47" t="n">
        <v>0</v>
      </c>
      <c r="CQ47" t="n">
        <v>0</v>
      </c>
      <c r="CR47" t="n">
        <v>4.47</v>
      </c>
      <c r="CT47" t="n">
        <v>139</v>
      </c>
      <c r="CU47" t="n">
        <v>0</v>
      </c>
      <c r="CV47" t="n">
        <v>199</v>
      </c>
      <c r="DQ47" t="n">
        <v>3.5</v>
      </c>
      <c r="DR47" t="n">
        <v>7.3</v>
      </c>
      <c r="DS47" t="n">
        <v>0.8</v>
      </c>
      <c r="DT47" t="n">
        <v>16.2</v>
      </c>
      <c r="DU47" t="n">
        <v>4.6</v>
      </c>
      <c r="DW47" t="n">
        <v>10.3</v>
      </c>
      <c r="EB47" t="n">
        <v>0.07199999999999999</v>
      </c>
      <c r="ED47" t="n">
        <v>2.3</v>
      </c>
      <c r="EE47" t="n">
        <v>1</v>
      </c>
      <c r="EF47" t="n">
        <v>22</v>
      </c>
      <c r="EL47" t="n">
        <v>0.11</v>
      </c>
      <c r="EQ47" t="n">
        <v>259.92</v>
      </c>
      <c r="ER47" t="n">
        <v>1087.50528</v>
      </c>
      <c r="GE47" t="n">
        <v>24</v>
      </c>
      <c r="GF47" t="n">
        <v>2.68</v>
      </c>
      <c r="GG47" t="n">
        <v>0.08699999999999999</v>
      </c>
      <c r="GH47" t="n">
        <v>0.034</v>
      </c>
      <c r="GJ47" t="n">
        <v>0</v>
      </c>
      <c r="GK47" t="n">
        <v>0.015</v>
      </c>
      <c r="GL47" t="n">
        <v>3.32</v>
      </c>
      <c r="GM47" t="n">
        <v>0.004</v>
      </c>
      <c r="GN47" t="n">
        <v>0.003</v>
      </c>
      <c r="GO47" t="n">
        <v>6.2</v>
      </c>
      <c r="GP47" t="n">
        <v>0.785</v>
      </c>
      <c r="GQ47" t="n">
        <v>0.002</v>
      </c>
      <c r="GR47" t="n">
        <v>0.004</v>
      </c>
      <c r="GS47" t="n">
        <v>0.005</v>
      </c>
      <c r="GT47" t="n">
        <v>0.003</v>
      </c>
      <c r="GU47" t="n">
        <v>0.002</v>
      </c>
      <c r="GV47" t="n">
        <v>0.103</v>
      </c>
      <c r="GW47" t="n">
        <v>0.003</v>
      </c>
      <c r="GX47" t="n">
        <v>0.042</v>
      </c>
      <c r="GY47" t="n">
        <v>0.018</v>
      </c>
      <c r="GZ47" t="n">
        <v>0.035</v>
      </c>
      <c r="HA47" t="n">
        <v>0.012</v>
      </c>
      <c r="HB47" t="n">
        <v>0.006</v>
      </c>
      <c r="HC47" t="n">
        <v>0.001</v>
      </c>
      <c r="HD47" t="n">
        <v>0.19</v>
      </c>
      <c r="HE47" t="n">
        <v>1.25</v>
      </c>
      <c r="HF47" t="n">
        <v>0.06</v>
      </c>
      <c r="HH47" t="n">
        <v>3.07</v>
      </c>
      <c r="HI47" t="n">
        <v>13</v>
      </c>
      <c r="HJ47" t="n">
        <v>0.173</v>
      </c>
      <c r="HK47" t="n">
        <v>133</v>
      </c>
      <c r="HL47" t="n">
        <v>8.880000000000001</v>
      </c>
      <c r="HM47" t="n">
        <v>304</v>
      </c>
      <c r="HN47" t="n">
        <v>7.4</v>
      </c>
      <c r="HO47" t="n">
        <v>32.4</v>
      </c>
      <c r="HP47" t="n">
        <v>11.7</v>
      </c>
    </row>
    <row r="48">
      <c r="A48" t="n">
        <v>334628</v>
      </c>
      <c r="B48" t="inlineStr">
        <is>
          <t>Restaurant, Latino, tamale, pork</t>
        </is>
      </c>
      <c r="C48" t="inlineStr"/>
      <c r="D48" t="inlineStr">
        <is>
          <t>Foundation</t>
        </is>
      </c>
      <c r="E48" s="8" t="n">
        <v>100</v>
      </c>
      <c r="F48" s="9">
        <f>E48/SUM($E$3:$E$58)</f>
        <v/>
      </c>
      <c r="G48" t="n">
        <v>66</v>
      </c>
      <c r="H48" t="n">
        <v>75</v>
      </c>
      <c r="I48" t="n">
        <v>3.2</v>
      </c>
      <c r="J48" t="n">
        <v>2.03</v>
      </c>
      <c r="L48" t="n">
        <v>0.148</v>
      </c>
      <c r="M48" t="n">
        <v>152</v>
      </c>
      <c r="N48" t="n">
        <v>0.012</v>
      </c>
      <c r="O48" t="n">
        <v>0.003</v>
      </c>
      <c r="P48" t="n">
        <v>0</v>
      </c>
      <c r="Q48" t="n">
        <v>0.038</v>
      </c>
      <c r="R48" t="n">
        <v>0.008</v>
      </c>
      <c r="S48" t="n">
        <v>0.034</v>
      </c>
      <c r="U48" t="n">
        <v>0.008999999999999999</v>
      </c>
      <c r="V48" t="n">
        <v>0.005</v>
      </c>
      <c r="W48" t="n">
        <v>1.69</v>
      </c>
      <c r="X48" t="n">
        <v>0.8169999999999999</v>
      </c>
      <c r="Y48" t="n">
        <v>0.018</v>
      </c>
      <c r="Z48" t="n">
        <v>0.003</v>
      </c>
      <c r="AA48" t="n">
        <v>0.001</v>
      </c>
      <c r="AB48" t="n">
        <v>0.039</v>
      </c>
      <c r="AC48" t="n">
        <v>0.015</v>
      </c>
      <c r="AD48" t="n">
        <v>0</v>
      </c>
      <c r="AE48" t="n">
        <v>1.2</v>
      </c>
      <c r="AF48" t="n">
        <v>15.8</v>
      </c>
      <c r="AG48" t="n">
        <v>1.29</v>
      </c>
      <c r="AH48" t="n">
        <v>0.365</v>
      </c>
      <c r="AI48" t="n">
        <v>0.04</v>
      </c>
      <c r="AJ48" t="n">
        <v>7.98</v>
      </c>
      <c r="AK48" t="n">
        <v>9.039999999999999</v>
      </c>
      <c r="AL48" t="n">
        <v>0.132</v>
      </c>
      <c r="AM48" t="n">
        <v>0.53</v>
      </c>
      <c r="AO48" t="n">
        <v>0.35</v>
      </c>
      <c r="AP48" t="n">
        <v>0.355</v>
      </c>
      <c r="AQ48" t="n">
        <v>0.555</v>
      </c>
      <c r="AS48" t="n">
        <v>1.03</v>
      </c>
      <c r="AT48" t="n">
        <v>0.275</v>
      </c>
      <c r="AU48" t="n">
        <v>0.175</v>
      </c>
      <c r="AV48" t="n">
        <v>0.245</v>
      </c>
      <c r="AW48" t="n">
        <v>0.5</v>
      </c>
      <c r="AX48" t="n">
        <v>0.44</v>
      </c>
      <c r="AY48" t="n">
        <v>0.165</v>
      </c>
      <c r="AZ48" t="n">
        <v>0.003</v>
      </c>
      <c r="BA48" t="n">
        <v>0.055</v>
      </c>
      <c r="BC48" t="n">
        <v>1.18</v>
      </c>
      <c r="BD48" t="n">
        <v>0.235</v>
      </c>
      <c r="BE48" t="n">
        <v>0.3</v>
      </c>
      <c r="BG48" t="n">
        <v>0.001</v>
      </c>
      <c r="BH48" t="n">
        <v>0.245</v>
      </c>
      <c r="BI48" t="n">
        <v>0</v>
      </c>
      <c r="BK48" t="n">
        <v>0.25</v>
      </c>
      <c r="BL48" t="n">
        <v>0.03</v>
      </c>
      <c r="BM48" t="n">
        <v>0.37</v>
      </c>
      <c r="BN48" t="n">
        <v>4.13</v>
      </c>
      <c r="BO48" t="n">
        <v>0.06</v>
      </c>
      <c r="BP48" t="n">
        <v>0</v>
      </c>
      <c r="BQ48" t="n">
        <v>0.07000000000000001</v>
      </c>
      <c r="BR48" t="n">
        <v>0.13</v>
      </c>
      <c r="BS48" t="n">
        <v>0.06</v>
      </c>
      <c r="BT48" t="n">
        <v>0.17</v>
      </c>
      <c r="BU48" t="n">
        <v>0.28</v>
      </c>
      <c r="BX48" t="n">
        <v>0.015</v>
      </c>
      <c r="BY48" t="n">
        <v>0.022</v>
      </c>
      <c r="BZ48" t="n">
        <v>1.83</v>
      </c>
      <c r="CA48" t="n">
        <v>0.102</v>
      </c>
      <c r="CB48" t="n">
        <v>0.038</v>
      </c>
      <c r="CC48" t="n">
        <v>0.014</v>
      </c>
      <c r="CD48" t="n">
        <v>0.034</v>
      </c>
      <c r="CE48" t="n">
        <v>0.002</v>
      </c>
      <c r="CF48" t="n">
        <v>0.005</v>
      </c>
      <c r="CG48" t="n">
        <v>0.002</v>
      </c>
      <c r="CM48" t="n">
        <v>0.21</v>
      </c>
      <c r="CN48" t="n">
        <v>0</v>
      </c>
      <c r="CO48" t="n">
        <v>0</v>
      </c>
      <c r="CP48" t="n">
        <v>0</v>
      </c>
      <c r="CQ48" t="n">
        <v>0</v>
      </c>
      <c r="CR48" t="n">
        <v>0.24</v>
      </c>
      <c r="DW48" t="n">
        <v>0.46</v>
      </c>
      <c r="EB48" t="n">
        <v>0.055</v>
      </c>
      <c r="EE48" t="n">
        <v>2.4</v>
      </c>
      <c r="EL48" t="n">
        <v>0.075</v>
      </c>
      <c r="EQ48" t="n">
        <v>174.08</v>
      </c>
      <c r="ER48" t="n">
        <v>728.3507199999999</v>
      </c>
      <c r="EV48" t="n">
        <v>9.800000000000001</v>
      </c>
      <c r="FD48" t="n">
        <v>0.12</v>
      </c>
      <c r="FF48" t="n">
        <v>12</v>
      </c>
      <c r="FG48" t="n">
        <v>1</v>
      </c>
      <c r="FH48" t="n">
        <v>113</v>
      </c>
      <c r="FK48" t="n">
        <v>0</v>
      </c>
      <c r="FM48" t="n">
        <v>58</v>
      </c>
      <c r="FO48" t="n">
        <v>85</v>
      </c>
      <c r="FR48" t="n">
        <v>110</v>
      </c>
      <c r="FZ48" t="n">
        <v>5.1</v>
      </c>
      <c r="GA48" t="n">
        <v>2.8</v>
      </c>
      <c r="GE48" t="n">
        <v>20</v>
      </c>
      <c r="GF48" t="n">
        <v>2.69</v>
      </c>
      <c r="GG48" t="n">
        <v>0.058</v>
      </c>
      <c r="GH48" t="n">
        <v>0.042</v>
      </c>
      <c r="GJ48" t="n">
        <v>0</v>
      </c>
      <c r="GK48" t="n">
        <v>0.022</v>
      </c>
      <c r="GL48" t="n">
        <v>2.97</v>
      </c>
      <c r="GM48" t="n">
        <v>0.001</v>
      </c>
      <c r="GN48" t="n">
        <v>0</v>
      </c>
      <c r="GO48" t="n">
        <v>1.82</v>
      </c>
      <c r="GP48" t="n">
        <v>0.099</v>
      </c>
      <c r="GQ48" t="n">
        <v>0.005</v>
      </c>
      <c r="GR48" t="n">
        <v>0.002</v>
      </c>
      <c r="GS48" t="n">
        <v>0.01</v>
      </c>
      <c r="GT48" t="n">
        <v>0.005</v>
      </c>
      <c r="GU48" t="n">
        <v>0.002</v>
      </c>
      <c r="GV48" t="n">
        <v>0.05</v>
      </c>
      <c r="GW48" t="n">
        <v>0.008999999999999999</v>
      </c>
      <c r="GX48" t="n">
        <v>0.098</v>
      </c>
      <c r="GY48" t="n">
        <v>0.025</v>
      </c>
      <c r="GZ48" t="n">
        <v>0.006</v>
      </c>
      <c r="HA48" t="n">
        <v>0.004</v>
      </c>
      <c r="HB48" t="n">
        <v>0.003</v>
      </c>
      <c r="HC48" t="n">
        <v>0.003</v>
      </c>
      <c r="HE48" t="n">
        <v>1.82</v>
      </c>
      <c r="HF48" t="n">
        <v>0.05</v>
      </c>
      <c r="HH48" t="n">
        <v>0.87</v>
      </c>
      <c r="HI48" t="n">
        <v>26.2</v>
      </c>
      <c r="HJ48" t="n">
        <v>0.186</v>
      </c>
      <c r="HK48" t="n">
        <v>120</v>
      </c>
      <c r="HL48" t="n">
        <v>7.38</v>
      </c>
      <c r="HM48" t="n">
        <v>473</v>
      </c>
      <c r="HP48" t="n">
        <v>12.5</v>
      </c>
    </row>
    <row r="49">
      <c r="A49" t="n">
        <v>172246</v>
      </c>
      <c r="B49" t="inlineStr">
        <is>
          <t>Babyfood, meat, pork, strained</t>
        </is>
      </c>
      <c r="C49" t="inlineStr"/>
      <c r="D49" t="inlineStr">
        <is>
          <t>SR Legacy</t>
        </is>
      </c>
      <c r="E49" s="8" t="n">
        <v>100</v>
      </c>
      <c r="F49" s="9">
        <f>E49/SUM($E$3:$E$58)</f>
        <v/>
      </c>
      <c r="G49" t="n">
        <v>78.40000000000001</v>
      </c>
      <c r="H49" t="n">
        <v>5</v>
      </c>
      <c r="I49" t="n">
        <v>3.58</v>
      </c>
      <c r="J49" t="n">
        <v>0.78</v>
      </c>
      <c r="M49" t="n">
        <v>223</v>
      </c>
      <c r="P49" t="n">
        <v>0</v>
      </c>
      <c r="S49" t="n">
        <v>0</v>
      </c>
      <c r="T49" t="n">
        <v>12.9</v>
      </c>
      <c r="U49" t="n">
        <v>0</v>
      </c>
      <c r="W49" t="n">
        <v>1.53</v>
      </c>
      <c r="X49" t="n">
        <v>0.72</v>
      </c>
      <c r="Z49" t="n">
        <v>0</v>
      </c>
      <c r="AA49" t="n">
        <v>0</v>
      </c>
      <c r="AE49" t="n">
        <v>2.27</v>
      </c>
      <c r="AF49" t="n">
        <v>0</v>
      </c>
      <c r="AG49" t="n">
        <v>2.27</v>
      </c>
      <c r="AH49" t="n">
        <v>0.272</v>
      </c>
      <c r="AI49" t="n">
        <v>0.146</v>
      </c>
      <c r="AJ49" t="n">
        <v>7.1</v>
      </c>
      <c r="AK49" t="n">
        <v>7.1</v>
      </c>
      <c r="AL49" t="n">
        <v>0.205</v>
      </c>
      <c r="AM49" t="n">
        <v>0.4</v>
      </c>
      <c r="AO49" t="n">
        <v>0.879</v>
      </c>
      <c r="AP49" t="n">
        <v>0.948</v>
      </c>
      <c r="AQ49" t="n">
        <v>1.31</v>
      </c>
      <c r="AS49" t="n">
        <v>2.13</v>
      </c>
      <c r="AT49" t="n">
        <v>0.76</v>
      </c>
      <c r="AU49" t="n">
        <v>0.447</v>
      </c>
      <c r="AV49" t="n">
        <v>0.68</v>
      </c>
      <c r="AW49" t="n">
        <v>1.13</v>
      </c>
      <c r="AX49" t="n">
        <v>1.16</v>
      </c>
      <c r="AY49" t="n">
        <v>0.398</v>
      </c>
      <c r="BD49" t="n">
        <v>0.57</v>
      </c>
      <c r="BE49" t="n">
        <v>0.747</v>
      </c>
      <c r="BH49" t="n">
        <v>0.541</v>
      </c>
      <c r="BK49" t="n">
        <v>0.617</v>
      </c>
      <c r="BS49" t="n">
        <v>0.136</v>
      </c>
      <c r="BT49" t="n">
        <v>0.51</v>
      </c>
      <c r="BU49" t="n">
        <v>0.702</v>
      </c>
      <c r="CH49" t="n">
        <v>11</v>
      </c>
      <c r="CI49" t="n">
        <v>11</v>
      </c>
      <c r="CL49" t="n">
        <v>0</v>
      </c>
      <c r="CT49" t="n">
        <v>0</v>
      </c>
      <c r="CU49" t="n">
        <v>0</v>
      </c>
      <c r="CV49" t="n">
        <v>0</v>
      </c>
      <c r="DW49" t="n">
        <v>0</v>
      </c>
      <c r="EA49" t="n">
        <v>0.23</v>
      </c>
      <c r="EB49" t="n">
        <v>0.07000000000000001</v>
      </c>
      <c r="ED49" t="n">
        <v>1.8</v>
      </c>
      <c r="EE49" t="n">
        <v>0</v>
      </c>
      <c r="EF49" t="n">
        <v>0</v>
      </c>
      <c r="EG49" t="n">
        <v>3.27</v>
      </c>
      <c r="EH49" t="n">
        <v>0</v>
      </c>
      <c r="EI49" t="n">
        <v>0.6899999999999999</v>
      </c>
      <c r="EJ49" t="n">
        <v>0.03</v>
      </c>
      <c r="EL49" t="n">
        <v>0.154</v>
      </c>
      <c r="EM49" t="n">
        <v>2</v>
      </c>
      <c r="EN49" t="n">
        <v>2</v>
      </c>
      <c r="EO49" t="n">
        <v>38</v>
      </c>
      <c r="EQ49" t="n">
        <v>119.9</v>
      </c>
      <c r="ER49" t="n">
        <v>501.6616</v>
      </c>
      <c r="GE49" t="n">
        <v>48</v>
      </c>
      <c r="GF49" t="n">
        <v>2.4</v>
      </c>
      <c r="GI49" t="n">
        <v>2</v>
      </c>
      <c r="GR49" t="n">
        <v>0</v>
      </c>
      <c r="GT49" t="n">
        <v>0</v>
      </c>
      <c r="GU49" t="n">
        <v>0</v>
      </c>
      <c r="GV49" t="n">
        <v>0.203</v>
      </c>
      <c r="GW49" t="n">
        <v>0</v>
      </c>
      <c r="GX49" t="n">
        <v>0.08</v>
      </c>
      <c r="HB49" t="n">
        <v>0</v>
      </c>
      <c r="HD49" t="n">
        <v>0.99</v>
      </c>
      <c r="HE49" t="n">
        <v>1</v>
      </c>
      <c r="HF49" t="n">
        <v>0.07199999999999999</v>
      </c>
      <c r="HH49" t="n">
        <v>1</v>
      </c>
      <c r="HI49" t="n">
        <v>10</v>
      </c>
      <c r="HK49" t="n">
        <v>94</v>
      </c>
      <c r="HL49" t="n">
        <v>14</v>
      </c>
      <c r="HM49" t="n">
        <v>42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</row>
    <row r="50">
      <c r="A50" t="n">
        <v>746780</v>
      </c>
      <c r="B50" t="inlineStr">
        <is>
          <t>Sausage, Italian, pork, mild, cooked, pan-fried</t>
        </is>
      </c>
      <c r="C50" t="inlineStr"/>
      <c r="D50" t="inlineStr">
        <is>
          <t>Foundation</t>
        </is>
      </c>
      <c r="E50" s="8" t="n">
        <v>100</v>
      </c>
      <c r="F50" s="9">
        <f>E50/SUM($E$3:$E$58)</f>
        <v/>
      </c>
      <c r="G50" t="n">
        <v>50.9</v>
      </c>
      <c r="H50" t="n">
        <v>12</v>
      </c>
      <c r="I50" t="n">
        <v>11.6</v>
      </c>
      <c r="J50" t="n">
        <v>4.96</v>
      </c>
      <c r="K50" t="n">
        <v>0</v>
      </c>
      <c r="L50" t="n">
        <v>0.576</v>
      </c>
      <c r="M50" t="n">
        <v>310</v>
      </c>
      <c r="N50" t="n">
        <v>0.029</v>
      </c>
      <c r="O50" t="n">
        <v>0.005</v>
      </c>
      <c r="P50" t="n">
        <v>0</v>
      </c>
      <c r="Q50" t="n">
        <v>0.217</v>
      </c>
      <c r="R50" t="n">
        <v>0.036</v>
      </c>
      <c r="S50" t="n">
        <v>0.125</v>
      </c>
      <c r="T50" t="n">
        <v>20.2</v>
      </c>
      <c r="U50" t="n">
        <v>0.016</v>
      </c>
      <c r="V50" t="n">
        <v>0.012</v>
      </c>
      <c r="W50" t="n">
        <v>5.71</v>
      </c>
      <c r="X50" t="n">
        <v>2.9</v>
      </c>
      <c r="Y50" t="n">
        <v>0.065</v>
      </c>
      <c r="Z50" t="n">
        <v>0.006</v>
      </c>
      <c r="AA50" t="n">
        <v>0</v>
      </c>
      <c r="AB50" t="n">
        <v>0.073</v>
      </c>
      <c r="AC50" t="n">
        <v>0.02</v>
      </c>
      <c r="AD50" t="n">
        <v>0</v>
      </c>
      <c r="AE50" t="n">
        <v>2.41</v>
      </c>
      <c r="AF50" t="n">
        <v>2.15</v>
      </c>
      <c r="AG50" t="n">
        <v>5.73</v>
      </c>
      <c r="AH50" t="n">
        <v>0.783</v>
      </c>
      <c r="AI50" t="n">
        <v>0.31</v>
      </c>
      <c r="AJ50" t="n">
        <v>25.8</v>
      </c>
      <c r="AK50" t="n">
        <v>26.2</v>
      </c>
      <c r="AL50" t="n">
        <v>0.343</v>
      </c>
      <c r="AM50" t="n">
        <v>0.8</v>
      </c>
      <c r="AN50" t="n">
        <v>0</v>
      </c>
      <c r="AZ50" t="n">
        <v>0.005</v>
      </c>
      <c r="BA50" t="n">
        <v>0.297</v>
      </c>
      <c r="BB50" t="n">
        <v>0.008999999999999999</v>
      </c>
      <c r="BC50" t="n">
        <v>2.91</v>
      </c>
      <c r="BF50" t="n">
        <v>0</v>
      </c>
      <c r="BG50" t="n">
        <v>0.003</v>
      </c>
      <c r="BI50" t="n">
        <v>0</v>
      </c>
      <c r="BJ50" t="n">
        <v>0</v>
      </c>
      <c r="BL50" t="n">
        <v>0</v>
      </c>
      <c r="BM50" t="n">
        <v>0</v>
      </c>
      <c r="BN50" t="n">
        <v>0.15</v>
      </c>
      <c r="BO50" t="n">
        <v>0</v>
      </c>
      <c r="BP50" t="n">
        <v>0</v>
      </c>
      <c r="BQ50" t="n">
        <v>0</v>
      </c>
      <c r="BR50" t="n">
        <v>0</v>
      </c>
      <c r="BV50" t="n">
        <v>0</v>
      </c>
      <c r="BW50" t="n">
        <v>18.8</v>
      </c>
      <c r="BX50" t="n">
        <v>0.02</v>
      </c>
      <c r="BY50" t="n">
        <v>0.056</v>
      </c>
      <c r="BZ50" t="n">
        <v>4.34</v>
      </c>
      <c r="CA50" t="n">
        <v>0.18</v>
      </c>
      <c r="CB50" t="n">
        <v>0.217</v>
      </c>
      <c r="CC50" t="n">
        <v>0.063</v>
      </c>
      <c r="CD50" t="n">
        <v>0.125</v>
      </c>
      <c r="CE50" t="n">
        <v>0.005</v>
      </c>
      <c r="CF50" t="n">
        <v>0.024</v>
      </c>
      <c r="CG50" t="n">
        <v>0.003</v>
      </c>
      <c r="CH50" t="n">
        <v>22</v>
      </c>
      <c r="CI50" t="n">
        <v>22</v>
      </c>
      <c r="CM50" t="n">
        <v>0</v>
      </c>
      <c r="CN50" t="n">
        <v>0</v>
      </c>
      <c r="CO50" t="n">
        <v>1.46</v>
      </c>
      <c r="CP50" t="n">
        <v>0</v>
      </c>
      <c r="CQ50" t="n">
        <v>0</v>
      </c>
      <c r="CR50" t="n">
        <v>0</v>
      </c>
      <c r="DQ50" t="n">
        <v>5.9</v>
      </c>
      <c r="DR50" t="n">
        <v>10.5</v>
      </c>
      <c r="DS50" t="n">
        <v>46.1</v>
      </c>
      <c r="DT50" t="n">
        <v>0.3</v>
      </c>
      <c r="DU50" t="n">
        <v>7.6</v>
      </c>
      <c r="DW50" t="n">
        <v>1.46</v>
      </c>
      <c r="EQ50" t="n">
        <v>317.2</v>
      </c>
      <c r="ER50" t="n">
        <v>1327.1648</v>
      </c>
      <c r="GE50" t="n">
        <v>80</v>
      </c>
      <c r="GF50" t="n">
        <v>9.15</v>
      </c>
      <c r="GG50" t="n">
        <v>0.1</v>
      </c>
      <c r="GH50" t="n">
        <v>0.079</v>
      </c>
      <c r="GI50" t="n">
        <v>0</v>
      </c>
      <c r="GJ50" t="n">
        <v>0</v>
      </c>
      <c r="GK50" t="n">
        <v>0.056</v>
      </c>
      <c r="GL50" t="n">
        <v>10.7</v>
      </c>
      <c r="GM50" t="n">
        <v>0.008999999999999999</v>
      </c>
      <c r="GN50" t="n">
        <v>0</v>
      </c>
      <c r="GO50" t="n">
        <v>4.31</v>
      </c>
      <c r="GP50" t="n">
        <v>0.175</v>
      </c>
      <c r="GQ50" t="n">
        <v>0.027</v>
      </c>
      <c r="GR50" t="n">
        <v>0.005</v>
      </c>
      <c r="GS50" t="n">
        <v>0.046</v>
      </c>
      <c r="GT50" t="n">
        <v>0.024</v>
      </c>
      <c r="GU50" t="n">
        <v>0.003</v>
      </c>
      <c r="GV50" t="n">
        <v>0.242</v>
      </c>
      <c r="GW50" t="n">
        <v>0.017</v>
      </c>
      <c r="GX50" t="n">
        <v>0.335</v>
      </c>
      <c r="GY50" t="n">
        <v>0.06900000000000001</v>
      </c>
      <c r="GZ50" t="n">
        <v>0.01</v>
      </c>
      <c r="HA50" t="n">
        <v>0</v>
      </c>
      <c r="HB50" t="n">
        <v>0.002</v>
      </c>
      <c r="HC50" t="n">
        <v>0.007</v>
      </c>
      <c r="HD50" t="n">
        <v>1.06</v>
      </c>
      <c r="HE50" t="n">
        <v>2.63</v>
      </c>
      <c r="HF50" t="n">
        <v>0.074</v>
      </c>
      <c r="HH50" t="n">
        <v>1.29</v>
      </c>
      <c r="HI50" t="n">
        <v>18.6</v>
      </c>
      <c r="HJ50" t="n">
        <v>0.033</v>
      </c>
      <c r="HK50" t="n">
        <v>145</v>
      </c>
      <c r="HL50" t="n">
        <v>18.2</v>
      </c>
      <c r="HM50" t="n">
        <v>766</v>
      </c>
      <c r="HN50" t="n">
        <v>3.9</v>
      </c>
      <c r="HO50" t="n">
        <v>70.40000000000001</v>
      </c>
    </row>
    <row r="51">
      <c r="A51" t="n">
        <v>171601</v>
      </c>
      <c r="B51" t="inlineStr">
        <is>
          <t>Barbecue loaf, pork, beef</t>
        </is>
      </c>
      <c r="C51" t="inlineStr"/>
      <c r="D51" t="inlineStr">
        <is>
          <t>SR Legacy</t>
        </is>
      </c>
      <c r="E51" s="8" t="n">
        <v>100</v>
      </c>
      <c r="F51" s="9">
        <f>E51/SUM($E$3:$E$58)</f>
        <v/>
      </c>
      <c r="G51" t="n">
        <v>64.8</v>
      </c>
      <c r="H51" t="n">
        <v>55</v>
      </c>
      <c r="I51" t="n">
        <v>4.14</v>
      </c>
      <c r="J51" t="n">
        <v>0.8100000000000001</v>
      </c>
      <c r="M51" t="n">
        <v>329</v>
      </c>
      <c r="P51" t="n">
        <v>0</v>
      </c>
      <c r="S51" t="n">
        <v>0</v>
      </c>
      <c r="T51" t="n">
        <v>21.3</v>
      </c>
      <c r="U51" t="n">
        <v>0.04</v>
      </c>
      <c r="W51" t="n">
        <v>1.89</v>
      </c>
      <c r="X51" t="n">
        <v>1.09</v>
      </c>
      <c r="Z51" t="n">
        <v>0</v>
      </c>
      <c r="AA51" t="n">
        <v>0</v>
      </c>
      <c r="AE51" t="n">
        <v>2.46</v>
      </c>
      <c r="AF51" t="n">
        <v>6.4</v>
      </c>
      <c r="AG51" t="n">
        <v>2.27</v>
      </c>
      <c r="AH51" t="n">
        <v>1.57</v>
      </c>
      <c r="AI51" t="n">
        <v>0.36</v>
      </c>
      <c r="AJ51" t="n">
        <v>8.9</v>
      </c>
      <c r="AK51" t="n">
        <v>8.9</v>
      </c>
      <c r="AL51" t="n">
        <v>0.26</v>
      </c>
      <c r="AO51" t="n">
        <v>0.886</v>
      </c>
      <c r="AP51" t="n">
        <v>0.972</v>
      </c>
      <c r="AQ51" t="n">
        <v>1.4</v>
      </c>
      <c r="AS51" t="n">
        <v>2.52</v>
      </c>
      <c r="AT51" t="n">
        <v>0.837</v>
      </c>
      <c r="AU51" t="n">
        <v>0.517</v>
      </c>
      <c r="AV51" t="n">
        <v>0.732</v>
      </c>
      <c r="AW51" t="n">
        <v>1.28</v>
      </c>
      <c r="AX51" t="n">
        <v>1.32</v>
      </c>
      <c r="AY51" t="n">
        <v>0.395</v>
      </c>
      <c r="BD51" t="n">
        <v>0.64</v>
      </c>
      <c r="BE51" t="n">
        <v>0.914</v>
      </c>
      <c r="BH51" t="n">
        <v>0.677</v>
      </c>
      <c r="BK51" t="n">
        <v>0.6840000000000001</v>
      </c>
      <c r="BS51" t="n">
        <v>0.171</v>
      </c>
      <c r="BT51" t="n">
        <v>0.539</v>
      </c>
      <c r="BU51" t="n">
        <v>0.795</v>
      </c>
      <c r="CH51" t="n">
        <v>0</v>
      </c>
      <c r="CI51" t="n">
        <v>3</v>
      </c>
      <c r="CK51" t="n">
        <v>0.9</v>
      </c>
      <c r="CS51" t="n">
        <v>36</v>
      </c>
      <c r="EA51" t="n">
        <v>0.35</v>
      </c>
      <c r="EB51" t="n">
        <v>0</v>
      </c>
      <c r="ED51" t="n">
        <v>0</v>
      </c>
      <c r="EE51" t="n">
        <v>0</v>
      </c>
      <c r="EG51" t="n">
        <v>3.8</v>
      </c>
      <c r="EH51" t="n">
        <v>0</v>
      </c>
      <c r="EI51" t="n">
        <v>0.72</v>
      </c>
      <c r="EJ51" t="n">
        <v>0.09</v>
      </c>
      <c r="EL51" t="n">
        <v>0.196</v>
      </c>
      <c r="EM51" t="n">
        <v>9</v>
      </c>
      <c r="EN51" t="n">
        <v>9</v>
      </c>
      <c r="EO51" t="n">
        <v>68</v>
      </c>
      <c r="EP51" t="n">
        <v>0</v>
      </c>
      <c r="EQ51" t="n">
        <v>168.9</v>
      </c>
      <c r="ER51" t="n">
        <v>706.6776000000002</v>
      </c>
      <c r="GE51" t="n">
        <v>37</v>
      </c>
      <c r="GF51" t="n">
        <v>3.17</v>
      </c>
      <c r="GI51" t="n">
        <v>9</v>
      </c>
      <c r="GR51" t="n">
        <v>0</v>
      </c>
      <c r="GT51" t="n">
        <v>0</v>
      </c>
      <c r="GU51" t="n">
        <v>0</v>
      </c>
      <c r="GV51" t="n">
        <v>0.248</v>
      </c>
      <c r="GW51" t="n">
        <v>0.02</v>
      </c>
      <c r="GX51" t="n">
        <v>0.14</v>
      </c>
      <c r="HB51" t="n">
        <v>0</v>
      </c>
      <c r="HD51" t="n">
        <v>1.68</v>
      </c>
      <c r="HE51" t="n">
        <v>4.04</v>
      </c>
      <c r="HF51" t="n">
        <v>0.07000000000000001</v>
      </c>
      <c r="HH51" t="n">
        <v>1.16</v>
      </c>
      <c r="HI51" t="n">
        <v>17</v>
      </c>
      <c r="HJ51" t="n">
        <v>0.04</v>
      </c>
      <c r="HK51" t="n">
        <v>132</v>
      </c>
      <c r="HL51" t="n">
        <v>15.8</v>
      </c>
      <c r="HM51" t="n">
        <v>1330</v>
      </c>
      <c r="HQ51" t="n">
        <v>0</v>
      </c>
    </row>
    <row r="52">
      <c r="A52" t="n">
        <v>172013</v>
      </c>
      <c r="B52" t="inlineStr">
        <is>
          <t>Bologna, beef and pork</t>
        </is>
      </c>
      <c r="C52" t="inlineStr"/>
      <c r="D52" t="inlineStr">
        <is>
          <t>SR Legacy</t>
        </is>
      </c>
      <c r="E52" s="8" t="n">
        <v>100</v>
      </c>
      <c r="F52" s="9">
        <f>E52/SUM($E$3:$E$58)</f>
        <v/>
      </c>
      <c r="G52" t="n">
        <v>51.9</v>
      </c>
      <c r="H52" t="n">
        <v>85</v>
      </c>
      <c r="I52" t="n">
        <v>10.5</v>
      </c>
      <c r="J52" t="n">
        <v>1.12</v>
      </c>
      <c r="M52" t="n">
        <v>315</v>
      </c>
      <c r="P52" t="n">
        <v>0</v>
      </c>
      <c r="S52" t="n">
        <v>0.05</v>
      </c>
      <c r="T52" t="n">
        <v>24.6</v>
      </c>
      <c r="U52" t="n">
        <v>0.012</v>
      </c>
      <c r="W52" t="n">
        <v>5.99</v>
      </c>
      <c r="X52" t="n">
        <v>2.96</v>
      </c>
      <c r="Z52" t="n">
        <v>0.001</v>
      </c>
      <c r="AA52" t="n">
        <v>0</v>
      </c>
      <c r="AE52" t="n">
        <v>2.3</v>
      </c>
      <c r="AF52" t="n">
        <v>5.49</v>
      </c>
      <c r="AG52" t="n">
        <v>2.52</v>
      </c>
      <c r="AH52" t="n">
        <v>0.415</v>
      </c>
      <c r="AI52" t="n">
        <v>0.217</v>
      </c>
      <c r="AJ52" t="n">
        <v>24.6</v>
      </c>
      <c r="AK52" t="n">
        <v>24.6</v>
      </c>
      <c r="AL52" t="n">
        <v>0.297</v>
      </c>
      <c r="AM52" t="n">
        <v>0</v>
      </c>
      <c r="AN52" t="n">
        <v>0.3</v>
      </c>
      <c r="AO52" t="n">
        <v>0.966</v>
      </c>
      <c r="AP52" t="n">
        <v>1.03</v>
      </c>
      <c r="AQ52" t="n">
        <v>1.55</v>
      </c>
      <c r="AS52" t="n">
        <v>2.72</v>
      </c>
      <c r="AT52" t="n">
        <v>0.805</v>
      </c>
      <c r="AU52" t="n">
        <v>0.646</v>
      </c>
      <c r="AV52" t="n">
        <v>0.8090000000000001</v>
      </c>
      <c r="AW52" t="n">
        <v>1.38</v>
      </c>
      <c r="AX52" t="n">
        <v>1.5</v>
      </c>
      <c r="AY52" t="n">
        <v>0.445</v>
      </c>
      <c r="BD52" t="n">
        <v>0.6889999999999999</v>
      </c>
      <c r="BE52" t="n">
        <v>0.782</v>
      </c>
      <c r="BH52" t="n">
        <v>0.714</v>
      </c>
      <c r="BK52" t="n">
        <v>0.77</v>
      </c>
      <c r="BL52" t="n">
        <v>0</v>
      </c>
      <c r="BM52" t="n">
        <v>0</v>
      </c>
      <c r="BN52" t="n">
        <v>0</v>
      </c>
      <c r="BS52" t="n">
        <v>0.214</v>
      </c>
      <c r="BT52" t="n">
        <v>0.606</v>
      </c>
      <c r="BU52" t="n">
        <v>0.927</v>
      </c>
      <c r="CH52" t="n">
        <v>25</v>
      </c>
      <c r="CI52" t="n">
        <v>25</v>
      </c>
      <c r="CK52" t="n">
        <v>0.8</v>
      </c>
      <c r="CL52" t="n">
        <v>0</v>
      </c>
      <c r="CS52" t="n">
        <v>32</v>
      </c>
      <c r="CT52" t="n">
        <v>0</v>
      </c>
      <c r="CU52" t="n">
        <v>0</v>
      </c>
      <c r="CV52" t="n">
        <v>0</v>
      </c>
      <c r="DW52" t="n">
        <v>4.42</v>
      </c>
      <c r="EA52" t="n">
        <v>0.598</v>
      </c>
      <c r="EB52" t="n">
        <v>0.186</v>
      </c>
      <c r="ED52" t="n">
        <v>0.8</v>
      </c>
      <c r="EE52" t="n">
        <v>0</v>
      </c>
      <c r="EF52" t="n">
        <v>0</v>
      </c>
      <c r="EG52" t="n">
        <v>9.710000000000001</v>
      </c>
      <c r="EH52" t="n">
        <v>0.031</v>
      </c>
      <c r="EI52" t="n">
        <v>1.02</v>
      </c>
      <c r="EJ52" t="n">
        <v>0.055</v>
      </c>
      <c r="EL52" t="n">
        <v>0.209</v>
      </c>
      <c r="EM52" t="n">
        <v>6</v>
      </c>
      <c r="EN52" t="n">
        <v>6</v>
      </c>
      <c r="EO52" t="n">
        <v>84</v>
      </c>
      <c r="EP52" t="n">
        <v>0</v>
      </c>
      <c r="EQ52" t="n">
        <v>304.16</v>
      </c>
      <c r="ER52" t="n">
        <v>1272.60544</v>
      </c>
      <c r="GE52" t="n">
        <v>60</v>
      </c>
      <c r="GF52" t="n">
        <v>9.300000000000001</v>
      </c>
      <c r="GG52" t="n">
        <v>0</v>
      </c>
      <c r="GI52" t="n">
        <v>6</v>
      </c>
      <c r="GR52" t="n">
        <v>0</v>
      </c>
      <c r="GT52" t="n">
        <v>0</v>
      </c>
      <c r="GU52" t="n">
        <v>0</v>
      </c>
      <c r="GV52" t="n">
        <v>0.185</v>
      </c>
      <c r="GW52" t="n">
        <v>0.013</v>
      </c>
      <c r="GX52" t="n">
        <v>0.323</v>
      </c>
      <c r="HB52" t="n">
        <v>0</v>
      </c>
      <c r="HD52" t="n">
        <v>1.82</v>
      </c>
      <c r="HE52" t="n">
        <v>2.85</v>
      </c>
      <c r="HF52" t="n">
        <v>0.052</v>
      </c>
      <c r="HH52" t="n">
        <v>1.21</v>
      </c>
      <c r="HI52" t="n">
        <v>17</v>
      </c>
      <c r="HJ52" t="n">
        <v>0.018</v>
      </c>
      <c r="HK52" t="n">
        <v>163</v>
      </c>
      <c r="HL52" t="n">
        <v>15.2</v>
      </c>
      <c r="HM52" t="n">
        <v>960</v>
      </c>
      <c r="HN52" t="n">
        <v>5.8</v>
      </c>
      <c r="HO52" t="n">
        <v>65.59999999999999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36</v>
      </c>
    </row>
    <row r="53">
      <c r="A53" t="n">
        <v>172970</v>
      </c>
      <c r="B53" t="inlineStr">
        <is>
          <t>Bologna, chicken, turkey, pork</t>
        </is>
      </c>
      <c r="C53" t="inlineStr"/>
      <c r="D53" t="inlineStr">
        <is>
          <t>SR Legacy</t>
        </is>
      </c>
      <c r="E53" s="8" t="n">
        <v>100</v>
      </c>
      <c r="F53" s="9">
        <f>E53/SUM($E$3:$E$58)</f>
        <v/>
      </c>
      <c r="G53" t="n">
        <v>55.25</v>
      </c>
      <c r="H53" t="n">
        <v>82</v>
      </c>
      <c r="I53" t="n">
        <v>10.555</v>
      </c>
      <c r="J53" t="n">
        <v>4.672</v>
      </c>
      <c r="M53" t="n">
        <v>152</v>
      </c>
      <c r="O53" t="n">
        <v>0.032</v>
      </c>
      <c r="P53" t="n">
        <v>0</v>
      </c>
      <c r="Q53" t="n">
        <v>0.101</v>
      </c>
      <c r="S53" t="n">
        <v>0.102</v>
      </c>
      <c r="U53" t="n">
        <v>0</v>
      </c>
      <c r="V53" t="n">
        <v>0</v>
      </c>
      <c r="W53" t="n">
        <v>5.335</v>
      </c>
      <c r="X53" t="n">
        <v>2.292</v>
      </c>
      <c r="Y53" t="n">
        <v>0.041</v>
      </c>
      <c r="Z53" t="n">
        <v>0</v>
      </c>
      <c r="AA53" t="n">
        <v>0</v>
      </c>
      <c r="AE53" t="n">
        <v>1.28</v>
      </c>
      <c r="AF53" t="n">
        <v>5.65</v>
      </c>
      <c r="AG53" t="n">
        <v>3.32</v>
      </c>
      <c r="AH53" t="n">
        <v>0.696</v>
      </c>
      <c r="AI53" t="n">
        <v>0.042</v>
      </c>
      <c r="AJ53" t="n">
        <v>26.18</v>
      </c>
      <c r="AK53" t="n">
        <v>26.18</v>
      </c>
      <c r="AL53" t="n">
        <v>0.18</v>
      </c>
      <c r="AM53" t="n">
        <v>0.41</v>
      </c>
      <c r="BL53" t="n">
        <v>0</v>
      </c>
      <c r="BM53" t="n">
        <v>0</v>
      </c>
      <c r="BN53" t="n">
        <v>0.31</v>
      </c>
      <c r="BO53" t="n">
        <v>0.06</v>
      </c>
      <c r="BP53" t="n">
        <v>0</v>
      </c>
      <c r="BQ53" t="n">
        <v>0</v>
      </c>
      <c r="BR53" t="n">
        <v>0</v>
      </c>
      <c r="DW53" t="n">
        <v>0</v>
      </c>
      <c r="DZ53" t="n">
        <v>0</v>
      </c>
      <c r="EA53" t="n">
        <v>0.921</v>
      </c>
      <c r="EB53" t="n">
        <v>0.19</v>
      </c>
      <c r="ED53" t="n">
        <v>19.7</v>
      </c>
      <c r="EE53" t="n">
        <v>0</v>
      </c>
      <c r="EG53" t="n">
        <v>9.444000000000001</v>
      </c>
      <c r="EH53" t="n">
        <v>0</v>
      </c>
      <c r="EI53" t="n">
        <v>4.186</v>
      </c>
      <c r="EK53" t="n">
        <v>0</v>
      </c>
      <c r="EO53" t="n">
        <v>75</v>
      </c>
      <c r="EQ53" t="n">
        <v>297.74</v>
      </c>
      <c r="ER53" t="n">
        <v>1245.74416</v>
      </c>
      <c r="EV53" t="n">
        <v>0</v>
      </c>
      <c r="EW53" t="n">
        <v>36</v>
      </c>
      <c r="EZ53" t="n">
        <v>9</v>
      </c>
      <c r="FA53" t="n">
        <v>0</v>
      </c>
      <c r="FB53" t="n">
        <v>9</v>
      </c>
      <c r="FC53" t="n">
        <v>9</v>
      </c>
      <c r="FD53" t="n">
        <v>0.79</v>
      </c>
      <c r="FE53" t="n">
        <v>0</v>
      </c>
      <c r="FF53" t="n">
        <v>13</v>
      </c>
      <c r="FG53" t="n">
        <v>11</v>
      </c>
      <c r="FH53" t="n">
        <v>11</v>
      </c>
      <c r="FK53" t="n">
        <v>11</v>
      </c>
      <c r="FM53" t="n">
        <v>11</v>
      </c>
      <c r="FO53" t="n">
        <v>11</v>
      </c>
      <c r="FR53" t="n">
        <v>0</v>
      </c>
      <c r="FZ53" t="n">
        <v>0</v>
      </c>
      <c r="GE53" t="n">
        <v>80</v>
      </c>
      <c r="GF53" t="n">
        <v>7.99</v>
      </c>
      <c r="GG53" t="n">
        <v>0.43</v>
      </c>
      <c r="GJ53" t="n">
        <v>0</v>
      </c>
      <c r="GP53" t="n">
        <v>0.252</v>
      </c>
      <c r="GR53" t="n">
        <v>0</v>
      </c>
      <c r="GT53" t="n">
        <v>0</v>
      </c>
      <c r="GU53" t="n">
        <v>0</v>
      </c>
      <c r="GV53" t="n">
        <v>0.132</v>
      </c>
      <c r="GW53" t="n">
        <v>0</v>
      </c>
      <c r="GX53" t="n">
        <v>0.251</v>
      </c>
      <c r="GY53" t="n">
        <v>0.07199999999999999</v>
      </c>
      <c r="GZ53" t="n">
        <v>0</v>
      </c>
      <c r="HB53" t="n">
        <v>0</v>
      </c>
      <c r="HE53" t="n">
        <v>3.03</v>
      </c>
      <c r="HF53" t="n">
        <v>0.06</v>
      </c>
      <c r="HH53" t="n">
        <v>1.16</v>
      </c>
      <c r="HI53" t="n">
        <v>15</v>
      </c>
      <c r="HJ53" t="n">
        <v>0.044</v>
      </c>
      <c r="HK53" t="n">
        <v>185</v>
      </c>
      <c r="HL53" t="n">
        <v>9.880000000000001</v>
      </c>
      <c r="HM53" t="n">
        <v>922</v>
      </c>
      <c r="HN53" t="n">
        <v>4.8</v>
      </c>
      <c r="HO53" t="n">
        <v>53.3</v>
      </c>
      <c r="HS53" t="n">
        <v>0</v>
      </c>
      <c r="HT53" t="n">
        <v>0</v>
      </c>
      <c r="HU53" t="n">
        <v>0</v>
      </c>
      <c r="HV53" t="n">
        <v>0</v>
      </c>
    </row>
    <row r="54">
      <c r="A54" t="n">
        <v>168272</v>
      </c>
      <c r="B54" t="inlineStr">
        <is>
          <t>Pork, fresh, variety meats and by-products, mechanically separated, raw</t>
        </is>
      </c>
      <c r="C54" t="inlineStr"/>
      <c r="D54" t="inlineStr">
        <is>
          <t>SR Legacy</t>
        </is>
      </c>
      <c r="E54" s="8" t="n">
        <v>100</v>
      </c>
      <c r="F54" s="9">
        <f>E54/SUM($E$3:$E$58)</f>
        <v/>
      </c>
      <c r="G54" t="n">
        <v>56.87</v>
      </c>
      <c r="H54" t="n">
        <v>315</v>
      </c>
      <c r="I54" t="n">
        <v>12.26</v>
      </c>
      <c r="J54" t="n">
        <v>2.44</v>
      </c>
      <c r="M54" t="n">
        <v>298</v>
      </c>
      <c r="P54" t="n">
        <v>0</v>
      </c>
      <c r="S54" t="n">
        <v>0.05</v>
      </c>
      <c r="U54" t="n">
        <v>0</v>
      </c>
      <c r="W54" t="n">
        <v>6.13</v>
      </c>
      <c r="X54" t="n">
        <v>3.37</v>
      </c>
      <c r="Z54" t="n">
        <v>0</v>
      </c>
      <c r="AA54" t="n">
        <v>0</v>
      </c>
      <c r="AE54" t="n">
        <v>2.44</v>
      </c>
      <c r="AF54" t="n">
        <v>0</v>
      </c>
      <c r="AG54" t="n">
        <v>3.171</v>
      </c>
      <c r="AH54" t="n">
        <v>0.59</v>
      </c>
      <c r="AI54" t="n">
        <v>0.697</v>
      </c>
      <c r="AJ54" t="n">
        <v>26.54</v>
      </c>
      <c r="AK54" t="n">
        <v>26.54</v>
      </c>
      <c r="AL54" t="n">
        <v>0.37</v>
      </c>
      <c r="AO54" t="n">
        <v>0.874</v>
      </c>
      <c r="AP54" t="n">
        <v>1.074</v>
      </c>
      <c r="AQ54" t="n">
        <v>1.152</v>
      </c>
      <c r="AS54" t="n">
        <v>1.983</v>
      </c>
      <c r="AT54" t="n">
        <v>0.862</v>
      </c>
      <c r="AU54" t="n">
        <v>0.54</v>
      </c>
      <c r="AV54" t="n">
        <v>0.6889999999999999</v>
      </c>
      <c r="AW54" t="n">
        <v>1.099</v>
      </c>
      <c r="AX54" t="n">
        <v>1.18</v>
      </c>
      <c r="AY54" t="n">
        <v>0.313</v>
      </c>
      <c r="BD54" t="n">
        <v>0.648</v>
      </c>
      <c r="BE54" t="n">
        <v>0.718</v>
      </c>
      <c r="BH54" t="n">
        <v>0.6</v>
      </c>
      <c r="BK54" t="n">
        <v>0.617</v>
      </c>
      <c r="BS54" t="n">
        <v>0.202</v>
      </c>
      <c r="BT54" t="n">
        <v>0.518</v>
      </c>
      <c r="BU54" t="n">
        <v>0.913</v>
      </c>
      <c r="EA54" t="n">
        <v>0.44</v>
      </c>
      <c r="EB54" t="n">
        <v>0.32</v>
      </c>
      <c r="ED54" t="n">
        <v>0.7</v>
      </c>
      <c r="EE54" t="n">
        <v>0</v>
      </c>
      <c r="EG54" t="n">
        <v>11.41</v>
      </c>
      <c r="EH54" t="n">
        <v>0</v>
      </c>
      <c r="EI54" t="n">
        <v>2.14</v>
      </c>
      <c r="EJ54" t="n">
        <v>0.16</v>
      </c>
      <c r="EL54" t="n">
        <v>0.169</v>
      </c>
      <c r="EO54" t="n">
        <v>10</v>
      </c>
      <c r="EP54" t="n">
        <v>0</v>
      </c>
      <c r="EQ54" t="n">
        <v>298.98</v>
      </c>
      <c r="ER54" t="n">
        <v>1250.93232</v>
      </c>
      <c r="EV54" t="n">
        <v>32.9</v>
      </c>
      <c r="EZ54" t="n">
        <v>3</v>
      </c>
      <c r="FA54" t="n">
        <v>0</v>
      </c>
      <c r="FB54" t="n">
        <v>3</v>
      </c>
      <c r="FC54" t="n">
        <v>3</v>
      </c>
      <c r="FD54" t="n">
        <v>0.58</v>
      </c>
      <c r="FF54" t="n">
        <v>3</v>
      </c>
      <c r="FG54" t="n">
        <v>3</v>
      </c>
      <c r="GE54" t="n">
        <v>77</v>
      </c>
      <c r="GF54" t="n">
        <v>9.82</v>
      </c>
      <c r="GR54" t="n">
        <v>0</v>
      </c>
      <c r="GT54" t="n">
        <v>0</v>
      </c>
      <c r="GU54" t="n">
        <v>0</v>
      </c>
      <c r="GV54" t="n">
        <v>0.201</v>
      </c>
      <c r="GW54" t="n">
        <v>0</v>
      </c>
      <c r="GX54" t="n">
        <v>0.22</v>
      </c>
      <c r="HB54" t="n">
        <v>0</v>
      </c>
      <c r="HE54" t="n">
        <v>1.56</v>
      </c>
      <c r="HF54" t="n">
        <v>0.082</v>
      </c>
      <c r="HH54" t="n">
        <v>4.25</v>
      </c>
      <c r="HI54" t="n">
        <v>16</v>
      </c>
      <c r="HJ54" t="n">
        <v>0.011</v>
      </c>
      <c r="HK54" t="n">
        <v>200</v>
      </c>
      <c r="HL54" t="n">
        <v>15.03</v>
      </c>
      <c r="HM54" t="n">
        <v>50</v>
      </c>
    </row>
    <row r="55">
      <c r="A55" t="n">
        <v>167866</v>
      </c>
      <c r="B55" t="inlineStr">
        <is>
          <t>Pork, fresh, variety meats and by-products, spleen, cooked, braised</t>
        </is>
      </c>
      <c r="C55" t="inlineStr"/>
      <c r="D55" t="inlineStr">
        <is>
          <t>SR Legacy</t>
        </is>
      </c>
      <c r="E55" s="8" t="n">
        <v>100</v>
      </c>
      <c r="F55" s="9">
        <f>E55/SUM($E$3:$E$58)</f>
        <v/>
      </c>
      <c r="G55" t="n">
        <v>66.7</v>
      </c>
      <c r="H55" t="n">
        <v>13</v>
      </c>
      <c r="I55" t="n">
        <v>0.86</v>
      </c>
      <c r="J55" t="n">
        <v>0.23</v>
      </c>
      <c r="M55" t="n">
        <v>227</v>
      </c>
      <c r="P55" t="n">
        <v>0</v>
      </c>
      <c r="S55" t="n">
        <v>0</v>
      </c>
      <c r="T55" t="n">
        <v>49.6</v>
      </c>
      <c r="U55" t="n">
        <v>0</v>
      </c>
      <c r="W55" t="n">
        <v>0.57</v>
      </c>
      <c r="X55" t="n">
        <v>0.4</v>
      </c>
      <c r="Z55" t="n">
        <v>0</v>
      </c>
      <c r="AA55" t="n">
        <v>0</v>
      </c>
      <c r="AE55" t="n">
        <v>3.54</v>
      </c>
      <c r="AF55" t="n">
        <v>0</v>
      </c>
      <c r="AG55" t="n">
        <v>5.94</v>
      </c>
      <c r="AH55" t="n">
        <v>0.892</v>
      </c>
      <c r="AI55" t="n">
        <v>0.139</v>
      </c>
      <c r="AJ55" t="n">
        <v>3.2</v>
      </c>
      <c r="AK55" t="n">
        <v>3.2</v>
      </c>
      <c r="AL55" t="n">
        <v>0.06</v>
      </c>
      <c r="AO55" t="n">
        <v>1.82</v>
      </c>
      <c r="AP55" t="n">
        <v>1.54</v>
      </c>
      <c r="AQ55" t="n">
        <v>2.48</v>
      </c>
      <c r="AS55" t="n">
        <v>3.24</v>
      </c>
      <c r="AT55" t="n">
        <v>1.8</v>
      </c>
      <c r="AU55" t="n">
        <v>0.672</v>
      </c>
      <c r="AV55" t="n">
        <v>1.26</v>
      </c>
      <c r="AW55" t="n">
        <v>2.31</v>
      </c>
      <c r="AX55" t="n">
        <v>2.11</v>
      </c>
      <c r="AY55" t="n">
        <v>0.523</v>
      </c>
      <c r="BD55" t="n">
        <v>1.2</v>
      </c>
      <c r="BE55" t="n">
        <v>1.57</v>
      </c>
      <c r="BH55" t="n">
        <v>1.23</v>
      </c>
      <c r="BK55" t="n">
        <v>1.13</v>
      </c>
      <c r="BS55" t="n">
        <v>0.289</v>
      </c>
      <c r="BT55" t="n">
        <v>0.79</v>
      </c>
      <c r="BU55" t="n">
        <v>1.53</v>
      </c>
      <c r="CH55" t="n">
        <v>0</v>
      </c>
      <c r="CI55" t="n">
        <v>0</v>
      </c>
      <c r="EA55" t="n">
        <v>0.12</v>
      </c>
      <c r="EB55" t="n">
        <v>0</v>
      </c>
      <c r="ED55" t="n">
        <v>11.6</v>
      </c>
      <c r="EE55" t="n">
        <v>0</v>
      </c>
      <c r="EG55" t="n">
        <v>0.73</v>
      </c>
      <c r="EH55" t="n">
        <v>0</v>
      </c>
      <c r="EI55" t="n">
        <v>0.23</v>
      </c>
      <c r="EJ55" t="n">
        <v>0</v>
      </c>
      <c r="EL55" t="n">
        <v>0.361</v>
      </c>
      <c r="EM55" t="n">
        <v>4</v>
      </c>
      <c r="EN55" t="n">
        <v>4</v>
      </c>
      <c r="EO55" t="n">
        <v>0</v>
      </c>
      <c r="EP55" t="n">
        <v>0</v>
      </c>
      <c r="EQ55" t="n">
        <v>141.6</v>
      </c>
      <c r="ER55" t="n">
        <v>592.4544</v>
      </c>
      <c r="GE55" t="n">
        <v>504</v>
      </c>
      <c r="GF55" t="n">
        <v>1.06</v>
      </c>
      <c r="GI55" t="n">
        <v>4</v>
      </c>
      <c r="GR55" t="n">
        <v>0</v>
      </c>
      <c r="GT55" t="n">
        <v>0</v>
      </c>
      <c r="GU55" t="n">
        <v>0</v>
      </c>
      <c r="GV55" t="n">
        <v>0.258</v>
      </c>
      <c r="GW55" t="n">
        <v>0.01</v>
      </c>
      <c r="GX55" t="n">
        <v>0.07000000000000001</v>
      </c>
      <c r="HB55" t="n">
        <v>0</v>
      </c>
      <c r="HD55" t="n">
        <v>2.76</v>
      </c>
      <c r="HE55" t="n">
        <v>1.7</v>
      </c>
      <c r="HF55" t="n">
        <v>0.133</v>
      </c>
      <c r="HH55" t="n">
        <v>22.2</v>
      </c>
      <c r="HI55" t="n">
        <v>15</v>
      </c>
      <c r="HJ55" t="n">
        <v>0.045</v>
      </c>
      <c r="HK55" t="n">
        <v>283</v>
      </c>
      <c r="HL55" t="n">
        <v>28.2</v>
      </c>
      <c r="HM55" t="n">
        <v>107</v>
      </c>
      <c r="HQ55" t="n">
        <v>0</v>
      </c>
    </row>
    <row r="56">
      <c r="A56" t="n">
        <v>168272</v>
      </c>
      <c r="B56" t="inlineStr">
        <is>
          <t>Pork, fresh, variety meats and by-products, mechanically separated, raw</t>
        </is>
      </c>
      <c r="C56" t="inlineStr"/>
      <c r="D56" t="inlineStr">
        <is>
          <t>SR Legacy</t>
        </is>
      </c>
      <c r="E56" s="8" t="n">
        <v>100</v>
      </c>
      <c r="F56" s="9">
        <f>E56/SUM($E$3:$E$58)</f>
        <v/>
      </c>
      <c r="G56" t="n">
        <v>56.9</v>
      </c>
      <c r="H56" t="n">
        <v>315</v>
      </c>
      <c r="I56" t="n">
        <v>12.3</v>
      </c>
      <c r="J56" t="n">
        <v>2.44</v>
      </c>
      <c r="M56" t="n">
        <v>298</v>
      </c>
      <c r="P56" t="n">
        <v>0</v>
      </c>
      <c r="S56" t="n">
        <v>0.05</v>
      </c>
      <c r="T56" t="n">
        <v>32.9</v>
      </c>
      <c r="U56" t="n">
        <v>0</v>
      </c>
      <c r="W56" t="n">
        <v>6.13</v>
      </c>
      <c r="X56" t="n">
        <v>3.37</v>
      </c>
      <c r="Z56" t="n">
        <v>0</v>
      </c>
      <c r="AA56" t="n">
        <v>0</v>
      </c>
      <c r="AE56" t="n">
        <v>2.44</v>
      </c>
      <c r="AF56" t="n">
        <v>0</v>
      </c>
      <c r="AG56" t="n">
        <v>3.17</v>
      </c>
      <c r="AH56" t="n">
        <v>0.59</v>
      </c>
      <c r="AI56" t="n">
        <v>0.697</v>
      </c>
      <c r="AJ56" t="n">
        <v>26.5</v>
      </c>
      <c r="AK56" t="n">
        <v>26.5</v>
      </c>
      <c r="AL56" t="n">
        <v>0.37</v>
      </c>
      <c r="AO56" t="n">
        <v>0.874</v>
      </c>
      <c r="AP56" t="n">
        <v>1.07</v>
      </c>
      <c r="AQ56" t="n">
        <v>1.15</v>
      </c>
      <c r="AS56" t="n">
        <v>1.98</v>
      </c>
      <c r="AT56" t="n">
        <v>0.862</v>
      </c>
      <c r="AU56" t="n">
        <v>0.54</v>
      </c>
      <c r="AV56" t="n">
        <v>0.6889999999999999</v>
      </c>
      <c r="AW56" t="n">
        <v>1.1</v>
      </c>
      <c r="AX56" t="n">
        <v>1.18</v>
      </c>
      <c r="AY56" t="n">
        <v>0.313</v>
      </c>
      <c r="BD56" t="n">
        <v>0.648</v>
      </c>
      <c r="BE56" t="n">
        <v>0.718</v>
      </c>
      <c r="BH56" t="n">
        <v>0.6</v>
      </c>
      <c r="BK56" t="n">
        <v>0.617</v>
      </c>
      <c r="BS56" t="n">
        <v>0.202</v>
      </c>
      <c r="BT56" t="n">
        <v>0.518</v>
      </c>
      <c r="BU56" t="n">
        <v>0.913</v>
      </c>
      <c r="CH56" t="n">
        <v>3</v>
      </c>
      <c r="CI56" t="n">
        <v>3</v>
      </c>
      <c r="EA56" t="n">
        <v>0.44</v>
      </c>
      <c r="EB56" t="n">
        <v>0.32</v>
      </c>
      <c r="ED56" t="n">
        <v>0.7</v>
      </c>
      <c r="EE56" t="n">
        <v>0</v>
      </c>
      <c r="EG56" t="n">
        <v>11.4</v>
      </c>
      <c r="EH56" t="n">
        <v>0</v>
      </c>
      <c r="EI56" t="n">
        <v>2.14</v>
      </c>
      <c r="EJ56" t="n">
        <v>0.16</v>
      </c>
      <c r="EL56" t="n">
        <v>0.169</v>
      </c>
      <c r="EM56" t="n">
        <v>3</v>
      </c>
      <c r="EN56" t="n">
        <v>3</v>
      </c>
      <c r="EO56" t="n">
        <v>10</v>
      </c>
      <c r="EP56" t="n">
        <v>0</v>
      </c>
      <c r="EQ56" t="n">
        <v>298.5</v>
      </c>
      <c r="ER56" t="n">
        <v>1248.924</v>
      </c>
      <c r="GE56" t="n">
        <v>77</v>
      </c>
      <c r="GF56" t="n">
        <v>9.82</v>
      </c>
      <c r="GI56" t="n">
        <v>3</v>
      </c>
      <c r="GR56" t="n">
        <v>0</v>
      </c>
      <c r="GT56" t="n">
        <v>0</v>
      </c>
      <c r="GU56" t="n">
        <v>0</v>
      </c>
      <c r="GV56" t="n">
        <v>0.201</v>
      </c>
      <c r="GW56" t="n">
        <v>0</v>
      </c>
      <c r="GX56" t="n">
        <v>0.22</v>
      </c>
      <c r="HB56" t="n">
        <v>0</v>
      </c>
      <c r="HD56" t="n">
        <v>0.58</v>
      </c>
      <c r="HE56" t="n">
        <v>1.56</v>
      </c>
      <c r="HF56" t="n">
        <v>0.082</v>
      </c>
      <c r="HH56" t="n">
        <v>4.25</v>
      </c>
      <c r="HI56" t="n">
        <v>16</v>
      </c>
      <c r="HJ56" t="n">
        <v>0.011</v>
      </c>
      <c r="HK56" t="n">
        <v>200</v>
      </c>
      <c r="HL56" t="n">
        <v>15</v>
      </c>
      <c r="HM56" t="n">
        <v>50</v>
      </c>
      <c r="HQ56" t="n">
        <v>0</v>
      </c>
    </row>
    <row r="57">
      <c r="A57" t="n">
        <v>174276</v>
      </c>
      <c r="B57" t="inlineStr">
        <is>
          <t>Soy protein isolate</t>
        </is>
      </c>
      <c r="C57" t="inlineStr"/>
      <c r="D57" t="inlineStr">
        <is>
          <t>SR Legacy</t>
        </is>
      </c>
      <c r="E57" s="8" t="n">
        <v>100</v>
      </c>
      <c r="F57" s="9">
        <f>E57/SUM($E$3:$E$58)</f>
        <v/>
      </c>
      <c r="G57" t="n">
        <v>4.98</v>
      </c>
      <c r="H57" t="n">
        <v>178</v>
      </c>
      <c r="I57" t="n">
        <v>0.645</v>
      </c>
      <c r="J57" t="n">
        <v>1.648</v>
      </c>
      <c r="M57" t="n">
        <v>81</v>
      </c>
      <c r="P57" t="n">
        <v>0</v>
      </c>
      <c r="S57" t="n">
        <v>0</v>
      </c>
      <c r="U57" t="n">
        <v>0</v>
      </c>
      <c r="W57" t="n">
        <v>0.31</v>
      </c>
      <c r="X57" t="n">
        <v>0.104</v>
      </c>
      <c r="Z57" t="n">
        <v>0</v>
      </c>
      <c r="AA57" t="n">
        <v>0</v>
      </c>
      <c r="AE57" t="n">
        <v>4.03</v>
      </c>
      <c r="AF57" t="n">
        <v>0</v>
      </c>
      <c r="AG57" t="n">
        <v>1.438</v>
      </c>
      <c r="AH57" t="n">
        <v>0.06</v>
      </c>
      <c r="AI57" t="n">
        <v>0.176</v>
      </c>
      <c r="AJ57" t="n">
        <v>3.39</v>
      </c>
      <c r="AK57" t="n">
        <v>3.39</v>
      </c>
      <c r="AL57" t="n">
        <v>0.1</v>
      </c>
      <c r="AM57" t="n">
        <v>0</v>
      </c>
      <c r="AO57" t="n">
        <v>3.589</v>
      </c>
      <c r="AP57" t="n">
        <v>6.67</v>
      </c>
      <c r="AQ57" t="n">
        <v>10.203</v>
      </c>
      <c r="AS57" t="n">
        <v>17.452</v>
      </c>
      <c r="AT57" t="n">
        <v>3.603</v>
      </c>
      <c r="AU57" t="n">
        <v>2.303</v>
      </c>
      <c r="AV57" t="n">
        <v>4.253</v>
      </c>
      <c r="AW57" t="n">
        <v>6.783</v>
      </c>
      <c r="AX57" t="n">
        <v>5.327</v>
      </c>
      <c r="AY57" t="n">
        <v>1.13</v>
      </c>
      <c r="BD57" t="n">
        <v>4.593</v>
      </c>
      <c r="BE57" t="n">
        <v>4.96</v>
      </c>
      <c r="BH57" t="n">
        <v>4.593</v>
      </c>
      <c r="BK57" t="n">
        <v>3.137</v>
      </c>
      <c r="BS57" t="n">
        <v>1.116</v>
      </c>
      <c r="BT57" t="n">
        <v>3.222</v>
      </c>
      <c r="BU57" t="n">
        <v>4.098</v>
      </c>
      <c r="CS57" t="n">
        <v>0</v>
      </c>
      <c r="DW57" t="n">
        <v>0</v>
      </c>
      <c r="EA57" t="n">
        <v>0.008</v>
      </c>
      <c r="EB57" t="n">
        <v>0</v>
      </c>
      <c r="ED57" t="n">
        <v>0</v>
      </c>
      <c r="EE57" t="n">
        <v>0</v>
      </c>
      <c r="EG57" t="n">
        <v>0.637</v>
      </c>
      <c r="EH57" t="n">
        <v>0</v>
      </c>
      <c r="EI57" t="n">
        <v>1.453</v>
      </c>
      <c r="EJ57" t="n">
        <v>0.195</v>
      </c>
      <c r="EL57" t="n">
        <v>1.046</v>
      </c>
      <c r="EO57" t="n">
        <v>0</v>
      </c>
      <c r="EQ57" t="n">
        <v>383.79</v>
      </c>
      <c r="ER57" t="n">
        <v>1605.77736</v>
      </c>
      <c r="EV57" t="n">
        <v>0.8</v>
      </c>
      <c r="EZ57" t="n">
        <v>176</v>
      </c>
      <c r="FA57" t="n">
        <v>0</v>
      </c>
      <c r="FB57" t="n">
        <v>176</v>
      </c>
      <c r="FC57" t="n">
        <v>176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K57" t="n">
        <v>0</v>
      </c>
      <c r="FM57" t="n">
        <v>0</v>
      </c>
      <c r="FO57" t="n">
        <v>0</v>
      </c>
      <c r="FR57" t="n">
        <v>0</v>
      </c>
      <c r="FV57" t="n">
        <v>0</v>
      </c>
      <c r="FZ57" t="n">
        <v>0</v>
      </c>
      <c r="GE57" t="n">
        <v>0</v>
      </c>
      <c r="GF57" t="n">
        <v>0.422</v>
      </c>
      <c r="GG57" t="n">
        <v>0</v>
      </c>
      <c r="GR57" t="n">
        <v>0</v>
      </c>
      <c r="GT57" t="n">
        <v>0</v>
      </c>
      <c r="GU57" t="n">
        <v>0</v>
      </c>
      <c r="GV57" t="n">
        <v>0.1</v>
      </c>
      <c r="GW57" t="n">
        <v>0</v>
      </c>
      <c r="GX57" t="n">
        <v>0.008</v>
      </c>
      <c r="HB57" t="n">
        <v>0</v>
      </c>
      <c r="HE57" t="n">
        <v>3.58</v>
      </c>
      <c r="HF57" t="n">
        <v>1.599</v>
      </c>
      <c r="HH57" t="n">
        <v>14.5</v>
      </c>
      <c r="HI57" t="n">
        <v>39</v>
      </c>
      <c r="HJ57" t="n">
        <v>1.493</v>
      </c>
      <c r="HK57" t="n">
        <v>776</v>
      </c>
      <c r="HL57" t="n">
        <v>88.31999999999999</v>
      </c>
      <c r="HM57" t="n">
        <v>1005</v>
      </c>
      <c r="HO57" t="n">
        <v>190.9</v>
      </c>
      <c r="HS57" t="n">
        <v>0</v>
      </c>
      <c r="HT57" t="n">
        <v>0</v>
      </c>
      <c r="HU57" t="n">
        <v>0</v>
      </c>
      <c r="HV57" t="n">
        <v>0</v>
      </c>
    </row>
    <row r="58">
      <c r="A58" t="n">
        <v>174301</v>
      </c>
      <c r="B58" t="inlineStr">
        <is>
          <t>Soy protein concentrate, produced by acid wash</t>
        </is>
      </c>
      <c r="C58" t="inlineStr"/>
      <c r="D58" t="inlineStr">
        <is>
          <t>SR Legacy</t>
        </is>
      </c>
      <c r="E58" s="8" t="n">
        <v>100</v>
      </c>
      <c r="F58" s="9">
        <f>E58/SUM($E$3:$E$58)</f>
        <v/>
      </c>
      <c r="G58" t="n">
        <v>5.8</v>
      </c>
      <c r="H58" t="n">
        <v>363</v>
      </c>
      <c r="I58" t="n">
        <v>0.079</v>
      </c>
      <c r="J58" t="n">
        <v>0.201</v>
      </c>
      <c r="M58" t="n">
        <v>450</v>
      </c>
      <c r="W58" t="n">
        <v>0.038</v>
      </c>
      <c r="X58" t="n">
        <v>0.013</v>
      </c>
      <c r="AE58" t="n">
        <v>4.4</v>
      </c>
      <c r="AF58" t="n">
        <v>25.41</v>
      </c>
      <c r="AG58" t="n">
        <v>0.716</v>
      </c>
      <c r="AH58" t="n">
        <v>0.057</v>
      </c>
      <c r="AI58" t="n">
        <v>0.316</v>
      </c>
      <c r="AJ58" t="n">
        <v>0.46</v>
      </c>
      <c r="AK58" t="n">
        <v>0.46</v>
      </c>
      <c r="AL58" t="n">
        <v>0.134</v>
      </c>
      <c r="AO58" t="n">
        <v>2.677</v>
      </c>
      <c r="AP58" t="n">
        <v>4.642</v>
      </c>
      <c r="AQ58" t="n">
        <v>7.249</v>
      </c>
      <c r="AS58" t="n">
        <v>12.013</v>
      </c>
      <c r="AT58" t="n">
        <v>2.688</v>
      </c>
      <c r="AU58" t="n">
        <v>1.578</v>
      </c>
      <c r="AV58" t="n">
        <v>2.942</v>
      </c>
      <c r="AW58" t="n">
        <v>4.917</v>
      </c>
      <c r="AX58" t="n">
        <v>3.929</v>
      </c>
      <c r="AY58" t="n">
        <v>0.8139999999999999</v>
      </c>
      <c r="BD58" t="n">
        <v>3.278</v>
      </c>
      <c r="BE58" t="n">
        <v>3.298</v>
      </c>
      <c r="BH58" t="n">
        <v>3.369</v>
      </c>
      <c r="BK58" t="n">
        <v>2.474</v>
      </c>
      <c r="BS58" t="n">
        <v>0.835</v>
      </c>
      <c r="BT58" t="n">
        <v>2.301</v>
      </c>
      <c r="BU58" t="n">
        <v>3.064</v>
      </c>
      <c r="CS58" t="n">
        <v>0</v>
      </c>
      <c r="DW58" t="n">
        <v>20</v>
      </c>
      <c r="EA58" t="n">
        <v>0.001</v>
      </c>
      <c r="ED58" t="n">
        <v>0</v>
      </c>
      <c r="EE58" t="n">
        <v>5.5</v>
      </c>
      <c r="EG58" t="n">
        <v>0.078</v>
      </c>
      <c r="EI58" t="n">
        <v>0.177</v>
      </c>
      <c r="EJ58" t="n">
        <v>0.024</v>
      </c>
      <c r="EL58" t="n">
        <v>0.886</v>
      </c>
      <c r="EO58" t="n">
        <v>0</v>
      </c>
      <c r="EQ58" t="n">
        <v>360.3</v>
      </c>
      <c r="ER58" t="n">
        <v>1507.4952</v>
      </c>
      <c r="EV58" t="n">
        <v>0.8</v>
      </c>
      <c r="EZ58" t="n">
        <v>340</v>
      </c>
      <c r="FA58" t="n">
        <v>0</v>
      </c>
      <c r="FB58" t="n">
        <v>340</v>
      </c>
      <c r="FC58" t="n">
        <v>340</v>
      </c>
      <c r="FD58" t="n">
        <v>0</v>
      </c>
      <c r="FF58" t="n">
        <v>0</v>
      </c>
      <c r="FG58" t="n">
        <v>0</v>
      </c>
      <c r="FH58" t="n">
        <v>0</v>
      </c>
      <c r="FK58" t="n">
        <v>0</v>
      </c>
      <c r="FM58" t="n">
        <v>0</v>
      </c>
      <c r="FO58" t="n">
        <v>0</v>
      </c>
      <c r="FR58" t="n">
        <v>0</v>
      </c>
      <c r="FV58" t="n">
        <v>0</v>
      </c>
      <c r="FZ58" t="n">
        <v>0</v>
      </c>
      <c r="GE58" t="n">
        <v>0</v>
      </c>
      <c r="GF58" t="n">
        <v>0.052</v>
      </c>
      <c r="GG58" t="n">
        <v>0</v>
      </c>
      <c r="GV58" t="n">
        <v>0.142</v>
      </c>
      <c r="GX58" t="n">
        <v>0.001</v>
      </c>
      <c r="HE58" t="n">
        <v>4.7</v>
      </c>
      <c r="HF58" t="n">
        <v>0.976</v>
      </c>
      <c r="HH58" t="n">
        <v>10.78</v>
      </c>
      <c r="HI58" t="n">
        <v>140</v>
      </c>
      <c r="HJ58" t="n">
        <v>4.19</v>
      </c>
      <c r="HK58" t="n">
        <v>839</v>
      </c>
      <c r="HL58" t="n">
        <v>63.63</v>
      </c>
      <c r="HM58" t="n">
        <v>900</v>
      </c>
      <c r="HT58" t="n">
        <v>0</v>
      </c>
      <c r="HU58" t="n">
        <v>0</v>
      </c>
    </row>
    <row r="59">
      <c r="A59" t="inlineStr">
        <is>
          <t>Total</t>
        </is>
      </c>
      <c r="B59" t="inlineStr">
        <is>
          <t>Formulado</t>
        </is>
      </c>
      <c r="C59" t="inlineStr">
        <is>
          <t>Formulado</t>
        </is>
      </c>
      <c r="D59" t="inlineStr">
        <is>
          <t>Formulado</t>
        </is>
      </c>
      <c r="E59" s="10">
        <f>SUBTOTAL(9,E3:E58)</f>
        <v/>
      </c>
      <c r="F59" s="11" t="inlineStr">
        <is>
          <t>100%</t>
        </is>
      </c>
      <c r="G59" s="12">
        <f>SUMPRODUCT($F$3:$F$58,$G$3:$G$58)</f>
        <v/>
      </c>
      <c r="H59" s="12">
        <f>SUMPRODUCT($F$3:$F$58,$H$3:$H$58)</f>
        <v/>
      </c>
      <c r="I59" s="12">
        <f>SUMPRODUCT($F$3:$F$58,$I$3:$I$58)</f>
        <v/>
      </c>
      <c r="J59" s="12">
        <f>SUMPRODUCT($F$3:$F$58,$J$3:$J$58)</f>
        <v/>
      </c>
      <c r="K59" s="12">
        <f>SUMPRODUCT($F$3:$F$58,$K$3:$K$58)</f>
        <v/>
      </c>
      <c r="L59" s="12">
        <f>SUMPRODUCT($F$3:$F$58,$L$3:$L$58)</f>
        <v/>
      </c>
      <c r="M59" s="12">
        <f>SUMPRODUCT($F$3:$F$58,$M$3:$M$58)</f>
        <v/>
      </c>
      <c r="N59" s="12">
        <f>SUMPRODUCT($F$3:$F$58,$N$3:$N$58)</f>
        <v/>
      </c>
      <c r="O59" s="12">
        <f>SUMPRODUCT($F$3:$F$58,$O$3:$O$58)</f>
        <v/>
      </c>
      <c r="P59" s="12">
        <f>SUMPRODUCT($F$3:$F$58,$P$3:$P$58)</f>
        <v/>
      </c>
      <c r="Q59" s="12">
        <f>SUMPRODUCT($F$3:$F$58,$Q$3:$Q$58)</f>
        <v/>
      </c>
      <c r="R59" s="12">
        <f>SUMPRODUCT($F$3:$F$58,$R$3:$R$58)</f>
        <v/>
      </c>
      <c r="S59" s="12">
        <f>SUMPRODUCT($F$3:$F$58,$S$3:$S$58)</f>
        <v/>
      </c>
      <c r="T59" s="12">
        <f>SUMPRODUCT($F$3:$F$58,$T$3:$T$58)</f>
        <v/>
      </c>
      <c r="U59" s="12">
        <f>SUMPRODUCT($F$3:$F$58,$U$3:$U$58)</f>
        <v/>
      </c>
      <c r="V59" s="12">
        <f>SUMPRODUCT($F$3:$F$58,$V$3:$V$58)</f>
        <v/>
      </c>
      <c r="W59" s="12">
        <f>SUMPRODUCT($F$3:$F$58,$W$3:$W$58)</f>
        <v/>
      </c>
      <c r="X59" s="12">
        <f>SUMPRODUCT($F$3:$F$58,$X$3:$X$58)</f>
        <v/>
      </c>
      <c r="Y59" s="12">
        <f>SUMPRODUCT($F$3:$F$58,$Y$3:$Y$58)</f>
        <v/>
      </c>
      <c r="Z59" s="12">
        <f>SUMPRODUCT($F$3:$F$58,$Z$3:$Z$58)</f>
        <v/>
      </c>
      <c r="AA59" s="12">
        <f>SUMPRODUCT($F$3:$F$58,$AA$3:$AA$58)</f>
        <v/>
      </c>
      <c r="AB59" s="12">
        <f>SUMPRODUCT($F$3:$F$58,$AB$3:$AB$58)</f>
        <v/>
      </c>
      <c r="AC59" s="12">
        <f>SUMPRODUCT($F$3:$F$58,$AC$3:$AC$58)</f>
        <v/>
      </c>
      <c r="AD59" s="12">
        <f>SUMPRODUCT($F$3:$F$58,$AD$3:$AD$58)</f>
        <v/>
      </c>
      <c r="AE59" s="12">
        <f>SUMPRODUCT($F$3:$F$58,$AE$3:$AE$58)</f>
        <v/>
      </c>
      <c r="AF59" s="12">
        <f>SUMPRODUCT($F$3:$F$58,$AF$3:$AF$58)</f>
        <v/>
      </c>
      <c r="AG59" s="12">
        <f>SUMPRODUCT($F$3:$F$58,$AG$3:$AG$58)</f>
        <v/>
      </c>
      <c r="AH59" s="12">
        <f>SUMPRODUCT($F$3:$F$58,$AH$3:$AH$58)</f>
        <v/>
      </c>
      <c r="AI59" s="12">
        <f>SUMPRODUCT($F$3:$F$58,$AI$3:$AI$58)</f>
        <v/>
      </c>
      <c r="AJ59" s="12">
        <f>SUMPRODUCT($F$3:$F$58,$AJ$3:$AJ$58)</f>
        <v/>
      </c>
      <c r="AK59" s="12">
        <f>SUMPRODUCT($F$3:$F$58,$AK$3:$AK$58)</f>
        <v/>
      </c>
      <c r="AL59" s="12">
        <f>SUMPRODUCT($F$3:$F$58,$AL$3:$AL$58)</f>
        <v/>
      </c>
      <c r="AM59" s="12">
        <f>SUMPRODUCT($F$3:$F$58,$AM$3:$AM$58)</f>
        <v/>
      </c>
      <c r="AN59" s="12">
        <f>SUMPRODUCT($F$3:$F$58,$AN$3:$AN$58)</f>
        <v/>
      </c>
      <c r="AO59" s="12">
        <f>SUMPRODUCT($F$3:$F$58,$AO$3:$AO$58)</f>
        <v/>
      </c>
      <c r="AP59" s="12">
        <f>SUMPRODUCT($F$3:$F$58,$AP$3:$AP$58)</f>
        <v/>
      </c>
      <c r="AQ59" s="12">
        <f>SUMPRODUCT($F$3:$F$58,$AQ$3:$AQ$58)</f>
        <v/>
      </c>
      <c r="AR59" s="12">
        <f>SUMPRODUCT($F$3:$F$58,$AR$3:$AR$58)</f>
        <v/>
      </c>
      <c r="AS59" s="12">
        <f>SUMPRODUCT($F$3:$F$58,$AS$3:$AS$58)</f>
        <v/>
      </c>
      <c r="AT59" s="12">
        <f>SUMPRODUCT($F$3:$F$58,$AT$3:$AT$58)</f>
        <v/>
      </c>
      <c r="AU59" s="12">
        <f>SUMPRODUCT($F$3:$F$58,$AU$3:$AU$58)</f>
        <v/>
      </c>
      <c r="AV59" s="12">
        <f>SUMPRODUCT($F$3:$F$58,$AV$3:$AV$58)</f>
        <v/>
      </c>
      <c r="AW59" s="12">
        <f>SUMPRODUCT($F$3:$F$58,$AW$3:$AW$58)</f>
        <v/>
      </c>
      <c r="AX59" s="12">
        <f>SUMPRODUCT($F$3:$F$58,$AX$3:$AX$58)</f>
        <v/>
      </c>
      <c r="AY59" s="12">
        <f>SUMPRODUCT($F$3:$F$58,$AY$3:$AY$58)</f>
        <v/>
      </c>
      <c r="AZ59" s="12">
        <f>SUMPRODUCT($F$3:$F$58,$AZ$3:$AZ$58)</f>
        <v/>
      </c>
      <c r="BA59" s="12">
        <f>SUMPRODUCT($F$3:$F$58,$BA$3:$BA$58)</f>
        <v/>
      </c>
      <c r="BB59" s="12">
        <f>SUMPRODUCT($F$3:$F$58,$BB$3:$BB$58)</f>
        <v/>
      </c>
      <c r="BC59" s="12">
        <f>SUMPRODUCT($F$3:$F$58,$BC$3:$BC$58)</f>
        <v/>
      </c>
      <c r="BD59" s="12">
        <f>SUMPRODUCT($F$3:$F$58,$BD$3:$BD$58)</f>
        <v/>
      </c>
      <c r="BE59" s="12">
        <f>SUMPRODUCT($F$3:$F$58,$BE$3:$BE$58)</f>
        <v/>
      </c>
      <c r="BF59" s="12">
        <f>SUMPRODUCT($F$3:$F$58,$BF$3:$BF$58)</f>
        <v/>
      </c>
      <c r="BG59" s="12">
        <f>SUMPRODUCT($F$3:$F$58,$BG$3:$BG$58)</f>
        <v/>
      </c>
      <c r="BH59" s="12">
        <f>SUMPRODUCT($F$3:$F$58,$BH$3:$BH$58)</f>
        <v/>
      </c>
      <c r="BI59" s="12">
        <f>SUMPRODUCT($F$3:$F$58,$BI$3:$BI$58)</f>
        <v/>
      </c>
      <c r="BJ59" s="12">
        <f>SUMPRODUCT($F$3:$F$58,$BJ$3:$BJ$58)</f>
        <v/>
      </c>
      <c r="BK59" s="12">
        <f>SUMPRODUCT($F$3:$F$58,$BK$3:$BK$58)</f>
        <v/>
      </c>
      <c r="BL59" s="12">
        <f>SUMPRODUCT($F$3:$F$58,$BL$3:$BL$58)</f>
        <v/>
      </c>
      <c r="BM59" s="12">
        <f>SUMPRODUCT($F$3:$F$58,$BM$3:$BM$58)</f>
        <v/>
      </c>
      <c r="BN59" s="12">
        <f>SUMPRODUCT($F$3:$F$58,$BN$3:$BN$58)</f>
        <v/>
      </c>
      <c r="BO59" s="12">
        <f>SUMPRODUCT($F$3:$F$58,$BO$3:$BO$58)</f>
        <v/>
      </c>
      <c r="BP59" s="12">
        <f>SUMPRODUCT($F$3:$F$58,$BP$3:$BP$58)</f>
        <v/>
      </c>
      <c r="BQ59" s="12">
        <f>SUMPRODUCT($F$3:$F$58,$BQ$3:$BQ$58)</f>
        <v/>
      </c>
      <c r="BR59" s="12">
        <f>SUMPRODUCT($F$3:$F$58,$BR$3:$BR$58)</f>
        <v/>
      </c>
      <c r="BS59" s="12">
        <f>SUMPRODUCT($F$3:$F$58,$BS$3:$BS$58)</f>
        <v/>
      </c>
      <c r="BT59" s="12">
        <f>SUMPRODUCT($F$3:$F$58,$BT$3:$BT$58)</f>
        <v/>
      </c>
      <c r="BU59" s="12">
        <f>SUMPRODUCT($F$3:$F$58,$BU$3:$BU$58)</f>
        <v/>
      </c>
      <c r="BV59" s="12">
        <f>SUMPRODUCT($F$3:$F$58,$BV$3:$BV$58)</f>
        <v/>
      </c>
      <c r="BW59" s="12">
        <f>SUMPRODUCT($F$3:$F$58,$BW$3:$BW$58)</f>
        <v/>
      </c>
      <c r="BX59" s="12">
        <f>SUMPRODUCT($F$3:$F$58,$BX$3:$BX$58)</f>
        <v/>
      </c>
      <c r="BY59" s="12">
        <f>SUMPRODUCT($F$3:$F$58,$BY$3:$BY$58)</f>
        <v/>
      </c>
      <c r="BZ59" s="12">
        <f>SUMPRODUCT($F$3:$F$58,$BZ$3:$BZ$58)</f>
        <v/>
      </c>
      <c r="CA59" s="12">
        <f>SUMPRODUCT($F$3:$F$58,$CA$3:$CA$58)</f>
        <v/>
      </c>
      <c r="CB59" s="12">
        <f>SUMPRODUCT($F$3:$F$58,$CB$3:$CB$58)</f>
        <v/>
      </c>
      <c r="CC59" s="12">
        <f>SUMPRODUCT($F$3:$F$58,$CC$3:$CC$58)</f>
        <v/>
      </c>
      <c r="CD59" s="12">
        <f>SUMPRODUCT($F$3:$F$58,$CD$3:$CD$58)</f>
        <v/>
      </c>
      <c r="CE59" s="12">
        <f>SUMPRODUCT($F$3:$F$58,$CE$3:$CE$58)</f>
        <v/>
      </c>
      <c r="CF59" s="12">
        <f>SUMPRODUCT($F$3:$F$58,$CF$3:$CF$58)</f>
        <v/>
      </c>
      <c r="CG59" s="12">
        <f>SUMPRODUCT($F$3:$F$58,$CG$3:$CG$58)</f>
        <v/>
      </c>
      <c r="CH59" s="12">
        <f>SUMPRODUCT($F$3:$F$58,$CH$3:$CH$58)</f>
        <v/>
      </c>
      <c r="CI59" s="12">
        <f>SUMPRODUCT($F$3:$F$58,$CI$3:$CI$58)</f>
        <v/>
      </c>
      <c r="CJ59" s="12">
        <f>SUMPRODUCT($F$3:$F$58,$CJ$3:$CJ$58)</f>
        <v/>
      </c>
      <c r="CK59" s="12">
        <f>SUMPRODUCT($F$3:$F$58,$CK$3:$CK$58)</f>
        <v/>
      </c>
      <c r="CL59" s="12">
        <f>SUMPRODUCT($F$3:$F$58,$CL$3:$CL$58)</f>
        <v/>
      </c>
      <c r="CM59" s="12">
        <f>SUMPRODUCT($F$3:$F$58,$CM$3:$CM$58)</f>
        <v/>
      </c>
      <c r="CN59" s="12">
        <f>SUMPRODUCT($F$3:$F$58,$CN$3:$CN$58)</f>
        <v/>
      </c>
      <c r="CO59" s="12">
        <f>SUMPRODUCT($F$3:$F$58,$CO$3:$CO$58)</f>
        <v/>
      </c>
      <c r="CP59" s="12">
        <f>SUMPRODUCT($F$3:$F$58,$CP$3:$CP$58)</f>
        <v/>
      </c>
      <c r="CQ59" s="12">
        <f>SUMPRODUCT($F$3:$F$58,$CQ$3:$CQ$58)</f>
        <v/>
      </c>
      <c r="CR59" s="12">
        <f>SUMPRODUCT($F$3:$F$58,$CR$3:$CR$58)</f>
        <v/>
      </c>
      <c r="CS59" s="12">
        <f>SUMPRODUCT($F$3:$F$58,$CS$3:$CS$58)</f>
        <v/>
      </c>
      <c r="CT59" s="12">
        <f>SUMPRODUCT($F$3:$F$58,$CT$3:$CT$58)</f>
        <v/>
      </c>
      <c r="CU59" s="12">
        <f>SUMPRODUCT($F$3:$F$58,$CU$3:$CU$58)</f>
        <v/>
      </c>
      <c r="CV59" s="12">
        <f>SUMPRODUCT($F$3:$F$58,$CV$3:$CV$58)</f>
        <v/>
      </c>
      <c r="CW59" s="12">
        <f>SUMPRODUCT($F$3:$F$58,$CW$3:$CW$58)</f>
        <v/>
      </c>
      <c r="CX59" s="12">
        <f>SUMPRODUCT($F$3:$F$58,$CX$3:$CX$58)</f>
        <v/>
      </c>
      <c r="CY59" s="12">
        <f>SUMPRODUCT($F$3:$F$58,$CY$3:$CY$58)</f>
        <v/>
      </c>
      <c r="CZ59" s="12">
        <f>SUMPRODUCT($F$3:$F$58,$CZ$3:$CZ$58)</f>
        <v/>
      </c>
      <c r="DA59" s="12">
        <f>SUMPRODUCT($F$3:$F$58,$DA$3:$DA$58)</f>
        <v/>
      </c>
      <c r="DB59" s="12">
        <f>SUMPRODUCT($F$3:$F$58,$DB$3:$DB$58)</f>
        <v/>
      </c>
      <c r="DC59" s="12">
        <f>SUMPRODUCT($F$3:$F$58,$DC$3:$DC$58)</f>
        <v/>
      </c>
      <c r="DD59" s="12">
        <f>SUMPRODUCT($F$3:$F$58,$DD$3:$DD$58)</f>
        <v/>
      </c>
      <c r="DE59" s="12">
        <f>SUMPRODUCT($F$3:$F$58,$DE$3:$DE$58)</f>
        <v/>
      </c>
      <c r="DF59" s="12">
        <f>SUMPRODUCT($F$3:$F$58,$DF$3:$DF$58)</f>
        <v/>
      </c>
      <c r="DG59" s="12">
        <f>SUMPRODUCT($F$3:$F$58,$DG$3:$DG$58)</f>
        <v/>
      </c>
      <c r="DH59" s="12">
        <f>SUMPRODUCT($F$3:$F$58,$DH$3:$DH$58)</f>
        <v/>
      </c>
      <c r="DI59" s="12">
        <f>SUMPRODUCT($F$3:$F$58,$DI$3:$DI$58)</f>
        <v/>
      </c>
      <c r="DJ59" s="12">
        <f>SUMPRODUCT($F$3:$F$58,$DJ$3:$DJ$58)</f>
        <v/>
      </c>
      <c r="DK59" s="12">
        <f>SUMPRODUCT($F$3:$F$58,$DK$3:$DK$58)</f>
        <v/>
      </c>
      <c r="DL59" s="12">
        <f>SUMPRODUCT($F$3:$F$58,$DL$3:$DL$58)</f>
        <v/>
      </c>
      <c r="DM59" s="12">
        <f>SUMPRODUCT($F$3:$F$58,$DM$3:$DM$58)</f>
        <v/>
      </c>
      <c r="DN59" s="12">
        <f>SUMPRODUCT($F$3:$F$58,$DN$3:$DN$58)</f>
        <v/>
      </c>
      <c r="DO59" s="12">
        <f>SUMPRODUCT($F$3:$F$58,$DO$3:$DO$58)</f>
        <v/>
      </c>
      <c r="DP59" s="12">
        <f>SUMPRODUCT($F$3:$F$58,$DP$3:$DP$58)</f>
        <v/>
      </c>
      <c r="DQ59" s="12">
        <f>SUMPRODUCT($F$3:$F$58,$DQ$3:$DQ$58)</f>
        <v/>
      </c>
      <c r="DR59" s="12">
        <f>SUMPRODUCT($F$3:$F$58,$DR$3:$DR$58)</f>
        <v/>
      </c>
      <c r="DS59" s="12">
        <f>SUMPRODUCT($F$3:$F$58,$DS$3:$DS$58)</f>
        <v/>
      </c>
      <c r="DT59" s="12">
        <f>SUMPRODUCT($F$3:$F$58,$DT$3:$DT$58)</f>
        <v/>
      </c>
      <c r="DU59" s="12">
        <f>SUMPRODUCT($F$3:$F$58,$DU$3:$DU$58)</f>
        <v/>
      </c>
      <c r="DV59" s="12">
        <f>SUMPRODUCT($F$3:$F$58,$DV$3:$DV$58)</f>
        <v/>
      </c>
      <c r="DW59" s="12">
        <f>SUMPRODUCT($F$3:$F$58,$DW$3:$DW$58)</f>
        <v/>
      </c>
      <c r="DX59" s="12">
        <f>SUMPRODUCT($F$3:$F$58,$DX$3:$DX$58)</f>
        <v/>
      </c>
      <c r="DY59" s="12">
        <f>SUMPRODUCT($F$3:$F$58,$DY$3:$DY$58)</f>
        <v/>
      </c>
      <c r="DZ59" s="12">
        <f>SUMPRODUCT($F$3:$F$58,$DZ$3:$DZ$58)</f>
        <v/>
      </c>
      <c r="EA59" s="12">
        <f>SUMPRODUCT($F$3:$F$58,$EA$3:$EA$58)</f>
        <v/>
      </c>
      <c r="EB59" s="12">
        <f>SUMPRODUCT($F$3:$F$58,$EB$3:$EB$58)</f>
        <v/>
      </c>
      <c r="EC59" s="12">
        <f>SUMPRODUCT($F$3:$F$58,$EC$3:$EC$58)</f>
        <v/>
      </c>
      <c r="ED59" s="12">
        <f>SUMPRODUCT($F$3:$F$58,$ED$3:$ED$58)</f>
        <v/>
      </c>
      <c r="EE59" s="12">
        <f>SUMPRODUCT($F$3:$F$58,$EE$3:$EE$58)</f>
        <v/>
      </c>
      <c r="EF59" s="12">
        <f>SUMPRODUCT($F$3:$F$58,$EF$3:$EF$58)</f>
        <v/>
      </c>
      <c r="EG59" s="12">
        <f>SUMPRODUCT($F$3:$F$58,$EG$3:$EG$58)</f>
        <v/>
      </c>
      <c r="EH59" s="12">
        <f>SUMPRODUCT($F$3:$F$58,$EH$3:$EH$58)</f>
        <v/>
      </c>
      <c r="EI59" s="12">
        <f>SUMPRODUCT($F$3:$F$58,$EI$3:$EI$58)</f>
        <v/>
      </c>
      <c r="EJ59" s="12">
        <f>SUMPRODUCT($F$3:$F$58,$EJ$3:$EJ$58)</f>
        <v/>
      </c>
      <c r="EK59" s="12">
        <f>SUMPRODUCT($F$3:$F$58,$EK$3:$EK$58)</f>
        <v/>
      </c>
      <c r="EL59" s="12">
        <f>SUMPRODUCT($F$3:$F$58,$EL$3:$EL$58)</f>
        <v/>
      </c>
      <c r="EM59" s="12">
        <f>SUMPRODUCT($F$3:$F$58,$EM$3:$EM$58)</f>
        <v/>
      </c>
      <c r="EN59" s="12">
        <f>SUMPRODUCT($F$3:$F$58,$EN$3:$EN$58)</f>
        <v/>
      </c>
      <c r="EO59" s="12">
        <f>SUMPRODUCT($F$3:$F$58,$EO$3:$EO$58)</f>
        <v/>
      </c>
      <c r="EP59" s="12">
        <f>SUMPRODUCT($F$3:$F$58,$EP$3:$EP$58)</f>
        <v/>
      </c>
      <c r="EQ59" s="12">
        <f>SUMPRODUCT($F$3:$F$58,$EQ$3:$EQ$58)</f>
        <v/>
      </c>
      <c r="ER59" s="12">
        <f>SUMPRODUCT($F$3:$F$58,$ER$3:$ER$58)</f>
        <v/>
      </c>
      <c r="ES59" s="12">
        <f>SUMPRODUCT($F$3:$F$58,$ES$3:$ES$58)</f>
        <v/>
      </c>
      <c r="ET59" s="12">
        <f>SUMPRODUCT($F$3:$F$58,$ET$3:$ET$58)</f>
        <v/>
      </c>
      <c r="EU59" s="12">
        <f>SUMPRODUCT($F$3:$F$58,$EU$3:$EU$58)</f>
        <v/>
      </c>
      <c r="EV59" s="12">
        <f>SUMPRODUCT($F$3:$F$58,$EV$3:$EV$58)</f>
        <v/>
      </c>
      <c r="EW59" s="12">
        <f>SUMPRODUCT($F$3:$F$58,$EW$3:$EW$58)</f>
        <v/>
      </c>
      <c r="EX59" s="12">
        <f>SUMPRODUCT($F$3:$F$58,$EX$3:$EX$58)</f>
        <v/>
      </c>
      <c r="EY59" s="12">
        <f>SUMPRODUCT($F$3:$F$58,$EY$3:$EY$58)</f>
        <v/>
      </c>
      <c r="EZ59" s="12">
        <f>SUMPRODUCT($F$3:$F$58,$EZ$3:$EZ$58)</f>
        <v/>
      </c>
      <c r="FA59" s="12">
        <f>SUMPRODUCT($F$3:$F$58,$FA$3:$FA$58)</f>
        <v/>
      </c>
      <c r="FB59" s="12">
        <f>SUMPRODUCT($F$3:$F$58,$FB$3:$FB$58)</f>
        <v/>
      </c>
      <c r="FC59" s="12">
        <f>SUMPRODUCT($F$3:$F$58,$FC$3:$FC$58)</f>
        <v/>
      </c>
      <c r="FD59" s="12">
        <f>SUMPRODUCT($F$3:$F$58,$FD$3:$FD$58)</f>
        <v/>
      </c>
      <c r="FE59" s="12">
        <f>SUMPRODUCT($F$3:$F$58,$FE$3:$FE$58)</f>
        <v/>
      </c>
      <c r="FF59" s="12">
        <f>SUMPRODUCT($F$3:$F$58,$FF$3:$FF$58)</f>
        <v/>
      </c>
      <c r="FG59" s="12">
        <f>SUMPRODUCT($F$3:$F$58,$FG$3:$FG$58)</f>
        <v/>
      </c>
      <c r="FH59" s="12">
        <f>SUMPRODUCT($F$3:$F$58,$FH$3:$FH$58)</f>
        <v/>
      </c>
      <c r="FI59" s="12">
        <f>SUMPRODUCT($F$3:$F$58,$FI$3:$FI$58)</f>
        <v/>
      </c>
      <c r="FJ59" s="12">
        <f>SUMPRODUCT($F$3:$F$58,$FJ$3:$FJ$58)</f>
        <v/>
      </c>
      <c r="FK59" s="12">
        <f>SUMPRODUCT($F$3:$F$58,$FK$3:$FK$58)</f>
        <v/>
      </c>
      <c r="FL59" s="12">
        <f>SUMPRODUCT($F$3:$F$58,$FL$3:$FL$58)</f>
        <v/>
      </c>
      <c r="FM59" s="12">
        <f>SUMPRODUCT($F$3:$F$58,$FM$3:$FM$58)</f>
        <v/>
      </c>
      <c r="FN59" s="12">
        <f>SUMPRODUCT($F$3:$F$58,$FN$3:$FN$58)</f>
        <v/>
      </c>
      <c r="FO59" s="12">
        <f>SUMPRODUCT($F$3:$F$58,$FO$3:$FO$58)</f>
        <v/>
      </c>
      <c r="FP59" s="12">
        <f>SUMPRODUCT($F$3:$F$58,$FP$3:$FP$58)</f>
        <v/>
      </c>
      <c r="FQ59" s="12">
        <f>SUMPRODUCT($F$3:$F$58,$FQ$3:$FQ$58)</f>
        <v/>
      </c>
      <c r="FR59" s="12">
        <f>SUMPRODUCT($F$3:$F$58,$FR$3:$FR$58)</f>
        <v/>
      </c>
      <c r="FS59" s="12">
        <f>SUMPRODUCT($F$3:$F$58,$FS$3:$FS$58)</f>
        <v/>
      </c>
      <c r="FT59" s="12">
        <f>SUMPRODUCT($F$3:$F$58,$FT$3:$FT$58)</f>
        <v/>
      </c>
      <c r="FU59" s="12">
        <f>SUMPRODUCT($F$3:$F$58,$FU$3:$FU$58)</f>
        <v/>
      </c>
      <c r="FV59" s="12">
        <f>SUMPRODUCT($F$3:$F$58,$FV$3:$FV$58)</f>
        <v/>
      </c>
      <c r="FW59" s="12">
        <f>SUMPRODUCT($F$3:$F$58,$FW$3:$FW$58)</f>
        <v/>
      </c>
      <c r="FX59" s="12">
        <f>SUMPRODUCT($F$3:$F$58,$FX$3:$FX$58)</f>
        <v/>
      </c>
      <c r="FY59" s="12">
        <f>SUMPRODUCT($F$3:$F$58,$FY$3:$FY$58)</f>
        <v/>
      </c>
      <c r="FZ59" s="12">
        <f>SUMPRODUCT($F$3:$F$58,$FZ$3:$FZ$58)</f>
        <v/>
      </c>
      <c r="GA59" s="12">
        <f>SUMPRODUCT($F$3:$F$58,$GA$3:$GA$58)</f>
        <v/>
      </c>
      <c r="GB59" s="12">
        <f>SUMPRODUCT($F$3:$F$58,$GB$3:$GB$58)</f>
        <v/>
      </c>
      <c r="GC59" s="12">
        <f>SUMPRODUCT($F$3:$F$58,$GC$3:$GC$58)</f>
        <v/>
      </c>
      <c r="GD59" s="12">
        <f>SUMPRODUCT($F$3:$F$58,$GD$3:$GD$58)</f>
        <v/>
      </c>
      <c r="GE59" s="12">
        <f>SUMPRODUCT($F$3:$F$58,$GE$3:$GE$58)</f>
        <v/>
      </c>
      <c r="GF59" s="12">
        <f>SUMPRODUCT($F$3:$F$58,$GF$3:$GF$58)</f>
        <v/>
      </c>
      <c r="GG59" s="12">
        <f>SUMPRODUCT($F$3:$F$58,$GG$3:$GG$58)</f>
        <v/>
      </c>
      <c r="GH59" s="12">
        <f>SUMPRODUCT($F$3:$F$58,$GH$3:$GH$58)</f>
        <v/>
      </c>
      <c r="GI59" s="12">
        <f>SUMPRODUCT($F$3:$F$58,$GI$3:$GI$58)</f>
        <v/>
      </c>
      <c r="GJ59" s="12">
        <f>SUMPRODUCT($F$3:$F$58,$GJ$3:$GJ$58)</f>
        <v/>
      </c>
      <c r="GK59" s="12">
        <f>SUMPRODUCT($F$3:$F$58,$GK$3:$GK$58)</f>
        <v/>
      </c>
      <c r="GL59" s="12">
        <f>SUMPRODUCT($F$3:$F$58,$GL$3:$GL$58)</f>
        <v/>
      </c>
      <c r="GM59" s="12">
        <f>SUMPRODUCT($F$3:$F$58,$GM$3:$GM$58)</f>
        <v/>
      </c>
      <c r="GN59" s="12">
        <f>SUMPRODUCT($F$3:$F$58,$GN$3:$GN$58)</f>
        <v/>
      </c>
      <c r="GO59" s="12">
        <f>SUMPRODUCT($F$3:$F$58,$GO$3:$GO$58)</f>
        <v/>
      </c>
      <c r="GP59" s="12">
        <f>SUMPRODUCT($F$3:$F$58,$GP$3:$GP$58)</f>
        <v/>
      </c>
      <c r="GQ59" s="12">
        <f>SUMPRODUCT($F$3:$F$58,$GQ$3:$GQ$58)</f>
        <v/>
      </c>
      <c r="GR59" s="12">
        <f>SUMPRODUCT($F$3:$F$58,$GR$3:$GR$58)</f>
        <v/>
      </c>
      <c r="GS59" s="12">
        <f>SUMPRODUCT($F$3:$F$58,$GS$3:$GS$58)</f>
        <v/>
      </c>
      <c r="GT59" s="12">
        <f>SUMPRODUCT($F$3:$F$58,$GT$3:$GT$58)</f>
        <v/>
      </c>
      <c r="GU59" s="12">
        <f>SUMPRODUCT($F$3:$F$58,$GU$3:$GU$58)</f>
        <v/>
      </c>
      <c r="GV59" s="12">
        <f>SUMPRODUCT($F$3:$F$58,$GV$3:$GV$58)</f>
        <v/>
      </c>
      <c r="GW59" s="12">
        <f>SUMPRODUCT($F$3:$F$58,$GW$3:$GW$58)</f>
        <v/>
      </c>
      <c r="GX59" s="12">
        <f>SUMPRODUCT($F$3:$F$58,$GX$3:$GX$58)</f>
        <v/>
      </c>
      <c r="GY59" s="12">
        <f>SUMPRODUCT($F$3:$F$58,$GY$3:$GY$58)</f>
        <v/>
      </c>
      <c r="GZ59" s="12">
        <f>SUMPRODUCT($F$3:$F$58,$GZ$3:$GZ$58)</f>
        <v/>
      </c>
      <c r="HA59" s="12">
        <f>SUMPRODUCT($F$3:$F$58,$HA$3:$HA$58)</f>
        <v/>
      </c>
      <c r="HB59" s="12">
        <f>SUMPRODUCT($F$3:$F$58,$HB$3:$HB$58)</f>
        <v/>
      </c>
      <c r="HC59" s="12">
        <f>SUMPRODUCT($F$3:$F$58,$HC$3:$HC$58)</f>
        <v/>
      </c>
      <c r="HD59" s="12">
        <f>SUMPRODUCT($F$3:$F$58,$HD$3:$HD$58)</f>
        <v/>
      </c>
      <c r="HE59" s="12">
        <f>SUMPRODUCT($F$3:$F$58,$HE$3:$HE$58)</f>
        <v/>
      </c>
      <c r="HF59" s="12">
        <f>SUMPRODUCT($F$3:$F$58,$HF$3:$HF$58)</f>
        <v/>
      </c>
      <c r="HG59" s="12">
        <f>SUMPRODUCT($F$3:$F$58,$HG$3:$HG$58)</f>
        <v/>
      </c>
      <c r="HH59" s="12">
        <f>SUMPRODUCT($F$3:$F$58,$HH$3:$HH$58)</f>
        <v/>
      </c>
      <c r="HI59" s="12">
        <f>SUMPRODUCT($F$3:$F$58,$HI$3:$HI$58)</f>
        <v/>
      </c>
      <c r="HJ59" s="12">
        <f>SUMPRODUCT($F$3:$F$58,$HJ$3:$HJ$58)</f>
        <v/>
      </c>
      <c r="HK59" s="12">
        <f>SUMPRODUCT($F$3:$F$58,$HK$3:$HK$58)</f>
        <v/>
      </c>
      <c r="HL59" s="12">
        <f>SUMPRODUCT($F$3:$F$58,$HL$3:$HL$58)</f>
        <v/>
      </c>
      <c r="HM59" s="12">
        <f>SUMPRODUCT($F$3:$F$58,$HM$3:$HM$58)</f>
        <v/>
      </c>
      <c r="HN59" s="12">
        <f>SUMPRODUCT($F$3:$F$58,$HN$3:$HN$58)</f>
        <v/>
      </c>
      <c r="HO59" s="12">
        <f>SUMPRODUCT($F$3:$F$58,$HO$3:$HO$58)</f>
        <v/>
      </c>
      <c r="HP59" s="12">
        <f>SUMPRODUCT($F$3:$F$58,$HP$3:$HP$58)</f>
        <v/>
      </c>
      <c r="HQ59" s="12">
        <f>SUMPRODUCT($F$3:$F$58,$HQ$3:$HQ$58)</f>
        <v/>
      </c>
      <c r="HR59" s="12">
        <f>SUMPRODUCT($F$3:$F$58,$HR$3:$HR$58)</f>
        <v/>
      </c>
      <c r="HS59" s="12">
        <f>SUMPRODUCT($F$3:$F$58,$HS$3:$HS$58)</f>
        <v/>
      </c>
      <c r="HT59" s="12">
        <f>SUMPRODUCT($F$3:$F$58,$HT$3:$HT$58)</f>
        <v/>
      </c>
      <c r="HU59" s="12">
        <f>SUMPRODUCT($F$3:$F$58,$HU$3:$HU$58)</f>
        <v/>
      </c>
      <c r="HV59" s="12">
        <f>SUMPRODUCT($F$3:$F$58,$HV$3:$HV$58)</f>
        <v/>
      </c>
      <c r="HW59" s="12">
        <f>SUMPRODUCT($F$3:$F$58,$HW$3:$HW$58)</f>
        <v/>
      </c>
      <c r="HX59" s="12">
        <f>SUMPRODUCT($F$3:$F$58,$HX$3:$HX$58)</f>
        <v/>
      </c>
      <c r="HY59" s="12">
        <f>SUMPRODUCT($F$3:$F$58,$HY$3:$HY$58)</f>
        <v/>
      </c>
      <c r="HZ59" s="12">
        <f>SUMPRODUCT($F$3:$F$58,$HZ$3:$HZ$58)</f>
        <v/>
      </c>
      <c r="IA59" s="12">
        <f>SUMPRODUCT($F$3:$F$58,$IA$3:$IA$58)</f>
        <v/>
      </c>
      <c r="IB59" s="12">
        <f>SUMPRODUCT($F$3:$F$58,$IB$3:$IB$58)</f>
        <v/>
      </c>
      <c r="IC59" s="12">
        <f>SUMPRODUCT($F$3:$F$58,$IC$3:$IC$58)</f>
        <v/>
      </c>
      <c r="ID59" s="12">
        <f>SUMPRODUCT($F$3:$F$58,$ID$3:$ID$58)</f>
        <v/>
      </c>
      <c r="IE59" s="12">
        <f>SUMPRODUCT($F$3:$F$58,$IE$3:$IE$58)</f>
        <v/>
      </c>
      <c r="IF59" s="12">
        <f>SUMPRODUCT($F$3:$F$58,$IF$3:$IF$58)</f>
        <v/>
      </c>
      <c r="IG59" s="12">
        <f>SUMPRODUCT($F$3:$F$58,$IG$3:$IG$58)</f>
        <v/>
      </c>
      <c r="IH59" s="12">
        <f>SUMPRODUCT($F$3:$F$58,$IH$3:$IH$58)</f>
        <v/>
      </c>
      <c r="II59" s="12">
        <f>SUMPRODUCT($F$3:$F$58,$II$3:$II$58)</f>
        <v/>
      </c>
      <c r="IJ59" s="12">
        <f>SUMPRODUCT($F$3:$F$58,$IJ$3:$IJ$58)</f>
        <v/>
      </c>
      <c r="IK59" s="12">
        <f>SUMPRODUCT($F$3:$F$58,$IK$3:$IK$58)</f>
        <v/>
      </c>
      <c r="IL59" s="12">
        <f>SUMPRODUCT($F$3:$F$58,$IL$3:$IL$58)</f>
        <v/>
      </c>
      <c r="IM59" s="12">
        <f>SUMPRODUCT($F$3:$F$58,$IM$3:$IM$58)</f>
        <v/>
      </c>
      <c r="IN59" s="12">
        <f>SUMPRODUCT($F$3:$F$58,$IN$3:$IN$58)</f>
        <v/>
      </c>
    </row>
  </sheetData>
  <mergeCells count="11">
    <mergeCell ref="GE1:HW1"/>
    <mergeCell ref="IJ1:IN1"/>
    <mergeCell ref="ET1:EX1"/>
    <mergeCell ref="IG1:II1"/>
    <mergeCell ref="HY1:IF1"/>
    <mergeCell ref="ES1"/>
    <mergeCell ref="A1:F1"/>
    <mergeCell ref="HX1"/>
    <mergeCell ref="EY1:GA1"/>
    <mergeCell ref="G1:ER1"/>
    <mergeCell ref="GB1:G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Nutriente</t>
        </is>
      </c>
      <c r="B1" s="7" t="inlineStr">
        <is>
          <t>Total</t>
        </is>
      </c>
      <c r="C1" s="7" t="inlineStr">
        <is>
          <t>Unidad</t>
        </is>
      </c>
    </row>
    <row r="2">
      <c r="A2" t="inlineStr">
        <is>
          <t>Water</t>
        </is>
      </c>
      <c r="B2">
        <f>Ingredientes!G59</f>
        <v/>
      </c>
      <c r="C2" t="inlineStr">
        <is>
          <t>g</t>
        </is>
      </c>
    </row>
    <row r="3">
      <c r="A3" t="inlineStr">
        <is>
          <t>Calcium, Ca</t>
        </is>
      </c>
      <c r="B3">
        <f>Ingredientes!H59</f>
        <v/>
      </c>
      <c r="C3" t="inlineStr">
        <is>
          <t>mg</t>
        </is>
      </c>
    </row>
    <row r="4">
      <c r="A4" t="inlineStr">
        <is>
          <t>Fatty acids, total monounsaturated</t>
        </is>
      </c>
      <c r="B4">
        <f>Ingredientes!I59</f>
        <v/>
      </c>
      <c r="C4" t="inlineStr">
        <is>
          <t>g</t>
        </is>
      </c>
    </row>
    <row r="5">
      <c r="A5" t="inlineStr">
        <is>
          <t>Fatty acids, total polyunsaturated</t>
        </is>
      </c>
      <c r="B5">
        <f>Ingredientes!J59</f>
        <v/>
      </c>
      <c r="C5" t="inlineStr">
        <is>
          <t>g</t>
        </is>
      </c>
    </row>
    <row r="6">
      <c r="A6" t="inlineStr">
        <is>
          <t>Fatty acids, total trans-polyenoic</t>
        </is>
      </c>
      <c r="B6">
        <f>Ingredientes!K59</f>
        <v/>
      </c>
      <c r="C6" t="inlineStr">
        <is>
          <t>g</t>
        </is>
      </c>
    </row>
    <row r="7">
      <c r="A7" t="inlineStr">
        <is>
          <t>MUFA 16:1 c</t>
        </is>
      </c>
      <c r="B7">
        <f>Ingredientes!L59</f>
        <v/>
      </c>
      <c r="C7" t="inlineStr">
        <is>
          <t>g</t>
        </is>
      </c>
    </row>
    <row r="8">
      <c r="A8" t="inlineStr">
        <is>
          <t>Potassium, K</t>
        </is>
      </c>
      <c r="B8">
        <f>Ingredientes!M59</f>
        <v/>
      </c>
      <c r="C8" t="inlineStr">
        <is>
          <t>mg</t>
        </is>
      </c>
    </row>
    <row r="9">
      <c r="A9" t="inlineStr">
        <is>
          <t>PUFA 18:2 CLAs</t>
        </is>
      </c>
      <c r="B9">
        <f>Ingredientes!N59</f>
        <v/>
      </c>
      <c r="C9" t="inlineStr">
        <is>
          <t>g</t>
        </is>
      </c>
    </row>
    <row r="10">
      <c r="A10" t="inlineStr">
        <is>
          <t>PUFA 18:3 n-6 c,c,c</t>
        </is>
      </c>
      <c r="B10">
        <f>Ingredientes!O59</f>
        <v/>
      </c>
      <c r="C10" t="inlineStr">
        <is>
          <t>g</t>
        </is>
      </c>
    </row>
    <row r="11">
      <c r="A11" t="inlineStr">
        <is>
          <t>PUFA 18:4</t>
        </is>
      </c>
      <c r="B11">
        <f>Ingredientes!P59</f>
        <v/>
      </c>
      <c r="C11" t="inlineStr">
        <is>
          <t>g</t>
        </is>
      </c>
    </row>
    <row r="12">
      <c r="A12" t="inlineStr">
        <is>
          <t>PUFA 20:2 n-6 c,c</t>
        </is>
      </c>
      <c r="B12">
        <f>Ingredientes!Q59</f>
        <v/>
      </c>
      <c r="C12" t="inlineStr">
        <is>
          <t>g</t>
        </is>
      </c>
    </row>
    <row r="13">
      <c r="A13" t="inlineStr">
        <is>
          <t>PUFA 20:3 n-6</t>
        </is>
      </c>
      <c r="B13">
        <f>Ingredientes!R59</f>
        <v/>
      </c>
      <c r="C13" t="inlineStr">
        <is>
          <t>g</t>
        </is>
      </c>
    </row>
    <row r="14">
      <c r="A14" t="inlineStr">
        <is>
          <t>PUFA 20:4</t>
        </is>
      </c>
      <c r="B14">
        <f>Ingredientes!S59</f>
        <v/>
      </c>
      <c r="C14" t="inlineStr">
        <is>
          <t>g</t>
        </is>
      </c>
    </row>
    <row r="15">
      <c r="A15" t="inlineStr">
        <is>
          <t>Selenium, Se</t>
        </is>
      </c>
      <c r="B15">
        <f>Ingredientes!T59</f>
        <v/>
      </c>
      <c r="C15" t="inlineStr">
        <is>
          <t>ug</t>
        </is>
      </c>
    </row>
    <row r="16">
      <c r="A16" t="inlineStr">
        <is>
          <t>SFA 10:0</t>
        </is>
      </c>
      <c r="B16">
        <f>Ingredientes!U59</f>
        <v/>
      </c>
      <c r="C16" t="inlineStr">
        <is>
          <t>g</t>
        </is>
      </c>
    </row>
    <row r="17">
      <c r="A17" t="inlineStr">
        <is>
          <t>SFA 15:0</t>
        </is>
      </c>
      <c r="B17">
        <f>Ingredientes!V59</f>
        <v/>
      </c>
      <c r="C17" t="inlineStr">
        <is>
          <t>g</t>
        </is>
      </c>
    </row>
    <row r="18">
      <c r="A18" t="inlineStr">
        <is>
          <t>SFA 16:0</t>
        </is>
      </c>
      <c r="B18">
        <f>Ingredientes!W59</f>
        <v/>
      </c>
      <c r="C18" t="inlineStr">
        <is>
          <t>g</t>
        </is>
      </c>
    </row>
    <row r="19">
      <c r="A19" t="inlineStr">
        <is>
          <t>SFA 18:0</t>
        </is>
      </c>
      <c r="B19">
        <f>Ingredientes!X59</f>
        <v/>
      </c>
      <c r="C19" t="inlineStr">
        <is>
          <t>g</t>
        </is>
      </c>
    </row>
    <row r="20">
      <c r="A20" t="inlineStr">
        <is>
          <t>SFA 20:0</t>
        </is>
      </c>
      <c r="B20">
        <f>Ingredientes!Y59</f>
        <v/>
      </c>
      <c r="C20" t="inlineStr">
        <is>
          <t>g</t>
        </is>
      </c>
    </row>
    <row r="21">
      <c r="A21" t="inlineStr">
        <is>
          <t>SFA 4:0</t>
        </is>
      </c>
      <c r="B21">
        <f>Ingredientes!Z59</f>
        <v/>
      </c>
      <c r="C21" t="inlineStr">
        <is>
          <t>g</t>
        </is>
      </c>
    </row>
    <row r="22">
      <c r="A22" t="inlineStr">
        <is>
          <t>SFA 6:0</t>
        </is>
      </c>
      <c r="B22">
        <f>Ingredientes!AA59</f>
        <v/>
      </c>
      <c r="C22" t="inlineStr">
        <is>
          <t>g</t>
        </is>
      </c>
    </row>
    <row r="23">
      <c r="A23" t="inlineStr">
        <is>
          <t>TFA 18:1 t</t>
        </is>
      </c>
      <c r="B23">
        <f>Ingredientes!AB59</f>
        <v/>
      </c>
      <c r="C23" t="inlineStr">
        <is>
          <t>g</t>
        </is>
      </c>
    </row>
    <row r="24">
      <c r="A24" t="inlineStr">
        <is>
          <t>TFA 18:2 t not further defined</t>
        </is>
      </c>
      <c r="B24">
        <f>Ingredientes!AC59</f>
        <v/>
      </c>
      <c r="C24" t="inlineStr">
        <is>
          <t>g</t>
        </is>
      </c>
    </row>
    <row r="25">
      <c r="A25" t="inlineStr">
        <is>
          <t>TFA 22:1 t</t>
        </is>
      </c>
      <c r="B25">
        <f>Ingredientes!AD59</f>
        <v/>
      </c>
      <c r="C25" t="inlineStr">
        <is>
          <t>g</t>
        </is>
      </c>
    </row>
    <row r="26">
      <c r="A26" t="inlineStr">
        <is>
          <t>Zinc, Zn</t>
        </is>
      </c>
      <c r="B26">
        <f>Ingredientes!AE59</f>
        <v/>
      </c>
      <c r="C26" t="inlineStr">
        <is>
          <t>mg</t>
        </is>
      </c>
    </row>
    <row r="27">
      <c r="A27" t="inlineStr">
        <is>
          <t>Carbohydrate, by difference</t>
        </is>
      </c>
      <c r="B27">
        <f>Ingredientes!AF59</f>
        <v/>
      </c>
      <c r="C27" t="inlineStr">
        <is>
          <t>g</t>
        </is>
      </c>
    </row>
    <row r="28">
      <c r="A28" t="inlineStr">
        <is>
          <t>Niacin</t>
        </is>
      </c>
      <c r="B28">
        <f>Ingredientes!AG59</f>
        <v/>
      </c>
      <c r="C28" t="inlineStr">
        <is>
          <t>mg</t>
        </is>
      </c>
    </row>
    <row r="29">
      <c r="A29" t="inlineStr">
        <is>
          <t>Pantothenic acid</t>
        </is>
      </c>
      <c r="B29">
        <f>Ingredientes!AH59</f>
        <v/>
      </c>
      <c r="C29" t="inlineStr">
        <is>
          <t>mg</t>
        </is>
      </c>
    </row>
    <row r="30">
      <c r="A30" t="inlineStr">
        <is>
          <t>Thiamin</t>
        </is>
      </c>
      <c r="B30">
        <f>Ingredientes!AI59</f>
        <v/>
      </c>
      <c r="C30" t="inlineStr">
        <is>
          <t>mg</t>
        </is>
      </c>
    </row>
    <row r="31">
      <c r="A31" t="inlineStr">
        <is>
          <t>Total fat (NLEA)</t>
        </is>
      </c>
      <c r="B31">
        <f>Ingredientes!AJ59</f>
        <v/>
      </c>
      <c r="C31" t="inlineStr">
        <is>
          <t>g</t>
        </is>
      </c>
    </row>
    <row r="32">
      <c r="A32" t="inlineStr">
        <is>
          <t>Total lipid (fat)</t>
        </is>
      </c>
      <c r="B32">
        <f>Ingredientes!AK59</f>
        <v/>
      </c>
      <c r="C32" t="inlineStr">
        <is>
          <t>g</t>
        </is>
      </c>
    </row>
    <row r="33">
      <c r="A33" t="inlineStr">
        <is>
          <t>Vitamin B-6</t>
        </is>
      </c>
      <c r="B33">
        <f>Ingredientes!AL59</f>
        <v/>
      </c>
      <c r="C33" t="inlineStr">
        <is>
          <t>mg</t>
        </is>
      </c>
    </row>
    <row r="34">
      <c r="A34" t="inlineStr">
        <is>
          <t>Vitamin E (alpha-tocopherol)</t>
        </is>
      </c>
      <c r="B34">
        <f>Ingredientes!AM59</f>
        <v/>
      </c>
      <c r="C34" t="inlineStr">
        <is>
          <t>mg</t>
        </is>
      </c>
    </row>
    <row r="35">
      <c r="A35" t="inlineStr">
        <is>
          <t>Vitamin K (phylloquinone)</t>
        </is>
      </c>
      <c r="B35">
        <f>Ingredientes!AN59</f>
        <v/>
      </c>
      <c r="C35" t="inlineStr">
        <is>
          <t>ug</t>
        </is>
      </c>
    </row>
    <row r="36">
      <c r="A36" t="inlineStr">
        <is>
          <t>Alanine</t>
        </is>
      </c>
      <c r="B36">
        <f>Ingredientes!AO59</f>
        <v/>
      </c>
      <c r="C36" t="inlineStr">
        <is>
          <t>g</t>
        </is>
      </c>
    </row>
    <row r="37">
      <c r="A37" t="inlineStr">
        <is>
          <t>Arginine</t>
        </is>
      </c>
      <c r="B37">
        <f>Ingredientes!AP59</f>
        <v/>
      </c>
      <c r="C37" t="inlineStr">
        <is>
          <t>g</t>
        </is>
      </c>
    </row>
    <row r="38">
      <c r="A38" t="inlineStr">
        <is>
          <t>Aspartic acid</t>
        </is>
      </c>
      <c r="B38">
        <f>Ingredientes!AQ59</f>
        <v/>
      </c>
      <c r="C38" t="inlineStr">
        <is>
          <t>g</t>
        </is>
      </c>
    </row>
    <row r="39">
      <c r="A39" t="inlineStr">
        <is>
          <t>Cysteine</t>
        </is>
      </c>
      <c r="B39">
        <f>Ingredientes!AR59</f>
        <v/>
      </c>
      <c r="C39" t="inlineStr">
        <is>
          <t>g</t>
        </is>
      </c>
    </row>
    <row r="40">
      <c r="A40" t="inlineStr">
        <is>
          <t>Glutamic acid</t>
        </is>
      </c>
      <c r="B40">
        <f>Ingredientes!AS59</f>
        <v/>
      </c>
      <c r="C40" t="inlineStr">
        <is>
          <t>g</t>
        </is>
      </c>
    </row>
    <row r="41">
      <c r="A41" t="inlineStr">
        <is>
          <t>Glycine</t>
        </is>
      </c>
      <c r="B41">
        <f>Ingredientes!AT59</f>
        <v/>
      </c>
      <c r="C41" t="inlineStr">
        <is>
          <t>g</t>
        </is>
      </c>
    </row>
    <row r="42">
      <c r="A42" t="inlineStr">
        <is>
          <t>Histidine</t>
        </is>
      </c>
      <c r="B42">
        <f>Ingredientes!AU59</f>
        <v/>
      </c>
      <c r="C42" t="inlineStr">
        <is>
          <t>g</t>
        </is>
      </c>
    </row>
    <row r="43">
      <c r="A43" t="inlineStr">
        <is>
          <t>Isoleucine</t>
        </is>
      </c>
      <c r="B43">
        <f>Ingredientes!AV59</f>
        <v/>
      </c>
      <c r="C43" t="inlineStr">
        <is>
          <t>g</t>
        </is>
      </c>
    </row>
    <row r="44">
      <c r="A44" t="inlineStr">
        <is>
          <t>Leucine</t>
        </is>
      </c>
      <c r="B44">
        <f>Ingredientes!AW59</f>
        <v/>
      </c>
      <c r="C44" t="inlineStr">
        <is>
          <t>g</t>
        </is>
      </c>
    </row>
    <row r="45">
      <c r="A45" t="inlineStr">
        <is>
          <t>Lysine</t>
        </is>
      </c>
      <c r="B45">
        <f>Ingredientes!AX59</f>
        <v/>
      </c>
      <c r="C45" t="inlineStr">
        <is>
          <t>g</t>
        </is>
      </c>
    </row>
    <row r="46">
      <c r="A46" t="inlineStr">
        <is>
          <t>Methionine</t>
        </is>
      </c>
      <c r="B46">
        <f>Ingredientes!AY59</f>
        <v/>
      </c>
      <c r="C46" t="inlineStr">
        <is>
          <t>g</t>
        </is>
      </c>
    </row>
    <row r="47">
      <c r="A47" t="inlineStr">
        <is>
          <t>MUFA 14:1 c</t>
        </is>
      </c>
      <c r="B47">
        <f>Ingredientes!AZ59</f>
        <v/>
      </c>
      <c r="C47" t="inlineStr">
        <is>
          <t>g</t>
        </is>
      </c>
    </row>
    <row r="48">
      <c r="A48" t="inlineStr">
        <is>
          <t>MUFA 20:1 c</t>
        </is>
      </c>
      <c r="B48">
        <f>Ingredientes!BA59</f>
        <v/>
      </c>
      <c r="C48" t="inlineStr">
        <is>
          <t>g</t>
        </is>
      </c>
    </row>
    <row r="49">
      <c r="A49" t="inlineStr">
        <is>
          <t>MUFA 22:1 n-9</t>
        </is>
      </c>
      <c r="B49">
        <f>Ingredientes!BB59</f>
        <v/>
      </c>
      <c r="C49" t="inlineStr">
        <is>
          <t>g</t>
        </is>
      </c>
    </row>
    <row r="50">
      <c r="A50" t="inlineStr">
        <is>
          <t>Nitrogen</t>
        </is>
      </c>
      <c r="B50">
        <f>Ingredientes!BC59</f>
        <v/>
      </c>
      <c r="C50" t="inlineStr">
        <is>
          <t>g</t>
        </is>
      </c>
    </row>
    <row r="51">
      <c r="A51" t="inlineStr">
        <is>
          <t>Phenylalanine</t>
        </is>
      </c>
      <c r="B51">
        <f>Ingredientes!BD59</f>
        <v/>
      </c>
      <c r="C51" t="inlineStr">
        <is>
          <t>g</t>
        </is>
      </c>
    </row>
    <row r="52">
      <c r="A52" t="inlineStr">
        <is>
          <t>Proline</t>
        </is>
      </c>
      <c r="B52">
        <f>Ingredientes!BE59</f>
        <v/>
      </c>
      <c r="C52" t="inlineStr">
        <is>
          <t>g</t>
        </is>
      </c>
    </row>
    <row r="53">
      <c r="A53" t="inlineStr">
        <is>
          <t>PUFA 20:3 n-9</t>
        </is>
      </c>
      <c r="B53">
        <f>Ingredientes!BF59</f>
        <v/>
      </c>
      <c r="C53" t="inlineStr">
        <is>
          <t>g</t>
        </is>
      </c>
    </row>
    <row r="54">
      <c r="A54" t="inlineStr">
        <is>
          <t>PUFA 22:2</t>
        </is>
      </c>
      <c r="B54">
        <f>Ingredientes!BG59</f>
        <v/>
      </c>
      <c r="C54" t="inlineStr">
        <is>
          <t>g</t>
        </is>
      </c>
    </row>
    <row r="55">
      <c r="A55" t="inlineStr">
        <is>
          <t>Serine</t>
        </is>
      </c>
      <c r="B55">
        <f>Ingredientes!BH59</f>
        <v/>
      </c>
      <c r="C55" t="inlineStr">
        <is>
          <t>g</t>
        </is>
      </c>
    </row>
    <row r="56">
      <c r="A56" t="inlineStr">
        <is>
          <t>SFA 11:0</t>
        </is>
      </c>
      <c r="B56">
        <f>Ingredientes!BI59</f>
        <v/>
      </c>
      <c r="C56" t="inlineStr">
        <is>
          <t>g</t>
        </is>
      </c>
    </row>
    <row r="57">
      <c r="A57" t="inlineStr">
        <is>
          <t>TFA 18:3 t</t>
        </is>
      </c>
      <c r="B57">
        <f>Ingredientes!BJ59</f>
        <v/>
      </c>
      <c r="C57" t="inlineStr">
        <is>
          <t>g</t>
        </is>
      </c>
    </row>
    <row r="58">
      <c r="A58" t="inlineStr">
        <is>
          <t>Threonine</t>
        </is>
      </c>
      <c r="B58">
        <f>Ingredientes!BK59</f>
        <v/>
      </c>
      <c r="C58" t="inlineStr">
        <is>
          <t>g</t>
        </is>
      </c>
    </row>
    <row r="59">
      <c r="A59" t="inlineStr">
        <is>
          <t>Tocopherol, beta</t>
        </is>
      </c>
      <c r="B59">
        <f>Ingredientes!BL59</f>
        <v/>
      </c>
      <c r="C59" t="inlineStr">
        <is>
          <t>mg</t>
        </is>
      </c>
    </row>
    <row r="60">
      <c r="A60" t="inlineStr">
        <is>
          <t>Tocopherol, delta</t>
        </is>
      </c>
      <c r="B60">
        <f>Ingredientes!BM59</f>
        <v/>
      </c>
      <c r="C60" t="inlineStr">
        <is>
          <t>mg</t>
        </is>
      </c>
    </row>
    <row r="61">
      <c r="A61" t="inlineStr">
        <is>
          <t>Tocopherol, gamma</t>
        </is>
      </c>
      <c r="B61">
        <f>Ingredientes!BN59</f>
        <v/>
      </c>
      <c r="C61" t="inlineStr">
        <is>
          <t>mg</t>
        </is>
      </c>
    </row>
    <row r="62">
      <c r="A62" t="inlineStr">
        <is>
          <t>Tocotrienol, alpha</t>
        </is>
      </c>
      <c r="B62">
        <f>Ingredientes!BO59</f>
        <v/>
      </c>
      <c r="C62" t="inlineStr">
        <is>
          <t>mg</t>
        </is>
      </c>
    </row>
    <row r="63">
      <c r="A63" t="inlineStr">
        <is>
          <t>Tocotrienol, beta</t>
        </is>
      </c>
      <c r="B63">
        <f>Ingredientes!BP59</f>
        <v/>
      </c>
      <c r="C63" t="inlineStr">
        <is>
          <t>mg</t>
        </is>
      </c>
    </row>
    <row r="64">
      <c r="A64" t="inlineStr">
        <is>
          <t>Tocotrienol, delta</t>
        </is>
      </c>
      <c r="B64">
        <f>Ingredientes!BQ59</f>
        <v/>
      </c>
      <c r="C64" t="inlineStr">
        <is>
          <t>mg</t>
        </is>
      </c>
    </row>
    <row r="65">
      <c r="A65" t="inlineStr">
        <is>
          <t>Tocotrienol, gamma</t>
        </is>
      </c>
      <c r="B65">
        <f>Ingredientes!BR59</f>
        <v/>
      </c>
      <c r="C65" t="inlineStr">
        <is>
          <t>mg</t>
        </is>
      </c>
    </row>
    <row r="66">
      <c r="A66" t="inlineStr">
        <is>
          <t>Tryptophan</t>
        </is>
      </c>
      <c r="B66">
        <f>Ingredientes!BS59</f>
        <v/>
      </c>
      <c r="C66" t="inlineStr">
        <is>
          <t>g</t>
        </is>
      </c>
    </row>
    <row r="67">
      <c r="A67" t="inlineStr">
        <is>
          <t>Tyrosine</t>
        </is>
      </c>
      <c r="B67">
        <f>Ingredientes!BT59</f>
        <v/>
      </c>
      <c r="C67" t="inlineStr">
        <is>
          <t>g</t>
        </is>
      </c>
    </row>
    <row r="68">
      <c r="A68" t="inlineStr">
        <is>
          <t>Valine</t>
        </is>
      </c>
      <c r="B68">
        <f>Ingredientes!BU59</f>
        <v/>
      </c>
      <c r="C68" t="inlineStr">
        <is>
          <t>g</t>
        </is>
      </c>
    </row>
    <row r="69">
      <c r="A69" t="inlineStr">
        <is>
          <t>Vitamin K (Dihydrophylloquinone)</t>
        </is>
      </c>
      <c r="B69">
        <f>Ingredientes!BV59</f>
        <v/>
      </c>
      <c r="C69" t="inlineStr">
        <is>
          <t>ug</t>
        </is>
      </c>
    </row>
    <row r="70">
      <c r="A70" t="inlineStr">
        <is>
          <t>Vitamin K (Menaquinone-4)</t>
        </is>
      </c>
      <c r="B70">
        <f>Ingredientes!BW59</f>
        <v/>
      </c>
      <c r="C70" t="inlineStr">
        <is>
          <t>ug</t>
        </is>
      </c>
    </row>
    <row r="71">
      <c r="A71" t="inlineStr">
        <is>
          <t>Fatty acids, total trans-dienoic</t>
        </is>
      </c>
      <c r="B71">
        <f>Ingredientes!BX59</f>
        <v/>
      </c>
      <c r="C71" t="inlineStr">
        <is>
          <t>g</t>
        </is>
      </c>
    </row>
    <row r="72">
      <c r="A72" t="inlineStr">
        <is>
          <t>MUFA 17:1 c</t>
        </is>
      </c>
      <c r="B72">
        <f>Ingredientes!BY59</f>
        <v/>
      </c>
      <c r="C72" t="inlineStr">
        <is>
          <t>g</t>
        </is>
      </c>
    </row>
    <row r="73">
      <c r="A73" t="inlineStr">
        <is>
          <t>PUFA 18:2 c</t>
        </is>
      </c>
      <c r="B73">
        <f>Ingredientes!BZ59</f>
        <v/>
      </c>
      <c r="C73" t="inlineStr">
        <is>
          <t>g</t>
        </is>
      </c>
    </row>
    <row r="74">
      <c r="A74" t="inlineStr">
        <is>
          <t>PUFA 18:3 c</t>
        </is>
      </c>
      <c r="B74">
        <f>Ingredientes!CA59</f>
        <v/>
      </c>
      <c r="C74" t="inlineStr">
        <is>
          <t>g</t>
        </is>
      </c>
    </row>
    <row r="75">
      <c r="A75" t="inlineStr">
        <is>
          <t>PUFA 20:2 c</t>
        </is>
      </c>
      <c r="B75">
        <f>Ingredientes!CB59</f>
        <v/>
      </c>
      <c r="C75" t="inlineStr">
        <is>
          <t>g</t>
        </is>
      </c>
    </row>
    <row r="76">
      <c r="A76" t="inlineStr">
        <is>
          <t>PUFA 20:3 c</t>
        </is>
      </c>
      <c r="B76">
        <f>Ingredientes!CC59</f>
        <v/>
      </c>
      <c r="C76" t="inlineStr">
        <is>
          <t>g</t>
        </is>
      </c>
    </row>
    <row r="77">
      <c r="A77" t="inlineStr">
        <is>
          <t>PUFA 20:4c</t>
        </is>
      </c>
      <c r="B77">
        <f>Ingredientes!CD59</f>
        <v/>
      </c>
      <c r="C77" t="inlineStr">
        <is>
          <t>g</t>
        </is>
      </c>
    </row>
    <row r="78">
      <c r="A78" t="inlineStr">
        <is>
          <t>PUFA 20:5c</t>
        </is>
      </c>
      <c r="B78">
        <f>Ingredientes!CE59</f>
        <v/>
      </c>
      <c r="C78" t="inlineStr">
        <is>
          <t>g</t>
        </is>
      </c>
    </row>
    <row r="79">
      <c r="A79" t="inlineStr">
        <is>
          <t>PUFA 22:5 c</t>
        </is>
      </c>
      <c r="B79">
        <f>Ingredientes!CF59</f>
        <v/>
      </c>
      <c r="C79" t="inlineStr">
        <is>
          <t>g</t>
        </is>
      </c>
    </row>
    <row r="80">
      <c r="A80" t="inlineStr">
        <is>
          <t>PUFA 22:6 c</t>
        </is>
      </c>
      <c r="B80">
        <f>Ingredientes!CG59</f>
        <v/>
      </c>
      <c r="C80" t="inlineStr">
        <is>
          <t>g</t>
        </is>
      </c>
    </row>
    <row r="81">
      <c r="A81" t="inlineStr">
        <is>
          <t>Retinol</t>
        </is>
      </c>
      <c r="B81">
        <f>Ingredientes!CH59</f>
        <v/>
      </c>
      <c r="C81" t="inlineStr">
        <is>
          <t>ug</t>
        </is>
      </c>
    </row>
    <row r="82">
      <c r="A82" t="inlineStr">
        <is>
          <t>Vitamin A, RAE</t>
        </is>
      </c>
      <c r="B82">
        <f>Ingredientes!CI59</f>
        <v/>
      </c>
      <c r="C82" t="inlineStr">
        <is>
          <t>ug</t>
        </is>
      </c>
    </row>
    <row r="83">
      <c r="A83" t="inlineStr">
        <is>
          <t>Vitamin D3 (cholecalciferol)</t>
        </is>
      </c>
      <c r="B83">
        <f>Ingredientes!CJ59</f>
        <v/>
      </c>
      <c r="C83" t="inlineStr">
        <is>
          <t>ug</t>
        </is>
      </c>
    </row>
    <row r="84">
      <c r="A84" t="inlineStr">
        <is>
          <t>Vitamin D (D2 + D3)</t>
        </is>
      </c>
      <c r="B84">
        <f>Ingredientes!CK59</f>
        <v/>
      </c>
      <c r="C84" t="inlineStr">
        <is>
          <t>ug</t>
        </is>
      </c>
    </row>
    <row r="85">
      <c r="A85" t="inlineStr">
        <is>
          <t>Carotene, beta</t>
        </is>
      </c>
      <c r="B85">
        <f>Ingredientes!CL59</f>
        <v/>
      </c>
      <c r="C85" t="inlineStr">
        <is>
          <t>ug</t>
        </is>
      </c>
    </row>
    <row r="86">
      <c r="A86" t="inlineStr">
        <is>
          <t>Fructose</t>
        </is>
      </c>
      <c r="B86">
        <f>Ingredientes!CM59</f>
        <v/>
      </c>
      <c r="C86" t="inlineStr">
        <is>
          <t>g</t>
        </is>
      </c>
    </row>
    <row r="87">
      <c r="A87" t="inlineStr">
        <is>
          <t>Galactose</t>
        </is>
      </c>
      <c r="B87">
        <f>Ingredientes!CN59</f>
        <v/>
      </c>
      <c r="C87" t="inlineStr">
        <is>
          <t>g</t>
        </is>
      </c>
    </row>
    <row r="88">
      <c r="A88" t="inlineStr">
        <is>
          <t>Glucose</t>
        </is>
      </c>
      <c r="B88">
        <f>Ingredientes!CO59</f>
        <v/>
      </c>
      <c r="C88" t="inlineStr">
        <is>
          <t>g</t>
        </is>
      </c>
    </row>
    <row r="89">
      <c r="A89" t="inlineStr">
        <is>
          <t>Lactose</t>
        </is>
      </c>
      <c r="B89">
        <f>Ingredientes!CP59</f>
        <v/>
      </c>
      <c r="C89" t="inlineStr">
        <is>
          <t>g</t>
        </is>
      </c>
    </row>
    <row r="90">
      <c r="A90" t="inlineStr">
        <is>
          <t>Maltose</t>
        </is>
      </c>
      <c r="B90">
        <f>Ingredientes!CQ59</f>
        <v/>
      </c>
      <c r="C90" t="inlineStr">
        <is>
          <t>g</t>
        </is>
      </c>
    </row>
    <row r="91">
      <c r="A91" t="inlineStr">
        <is>
          <t>Sucrose</t>
        </is>
      </c>
      <c r="B91">
        <f>Ingredientes!CR59</f>
        <v/>
      </c>
      <c r="C91" t="inlineStr">
        <is>
          <t>g</t>
        </is>
      </c>
    </row>
    <row r="92">
      <c r="A92" t="inlineStr">
        <is>
          <t>Vitamin D (D2 + D3), International Units</t>
        </is>
      </c>
      <c r="B92">
        <f>Ingredientes!CS59</f>
        <v/>
      </c>
      <c r="C92" t="inlineStr">
        <is>
          <t>iu</t>
        </is>
      </c>
    </row>
    <row r="93">
      <c r="A93" t="inlineStr">
        <is>
          <t>Carotene, alpha</t>
        </is>
      </c>
      <c r="B93">
        <f>Ingredientes!CT59</f>
        <v/>
      </c>
      <c r="C93" t="inlineStr">
        <is>
          <t>ug</t>
        </is>
      </c>
    </row>
    <row r="94">
      <c r="A94" t="inlineStr">
        <is>
          <t>Cryptoxanthin, beta</t>
        </is>
      </c>
      <c r="B94">
        <f>Ingredientes!CU59</f>
        <v/>
      </c>
      <c r="C94" t="inlineStr">
        <is>
          <t>ug</t>
        </is>
      </c>
    </row>
    <row r="95">
      <c r="A95" t="inlineStr">
        <is>
          <t>Lycopene</t>
        </is>
      </c>
      <c r="B95">
        <f>Ingredientes!CV59</f>
        <v/>
      </c>
      <c r="C95" t="inlineStr">
        <is>
          <t>ug</t>
        </is>
      </c>
    </row>
    <row r="96">
      <c r="A96" t="inlineStr">
        <is>
          <t>25-hydroxycholecalciferol</t>
        </is>
      </c>
      <c r="B96">
        <f>Ingredientes!CW59</f>
        <v/>
      </c>
      <c r="C96" t="inlineStr">
        <is>
          <t>ug</t>
        </is>
      </c>
    </row>
    <row r="97">
      <c r="A97" t="inlineStr">
        <is>
          <t>Vitamin D2 (ergocalciferol)</t>
        </is>
      </c>
      <c r="B97">
        <f>Ingredientes!CX59</f>
        <v/>
      </c>
      <c r="C97" t="inlineStr">
        <is>
          <t>ug</t>
        </is>
      </c>
    </row>
    <row r="98">
      <c r="A98" t="inlineStr">
        <is>
          <t>Cryptoxanthin, alpha</t>
        </is>
      </c>
      <c r="B98">
        <f>Ingredientes!CY59</f>
        <v/>
      </c>
      <c r="C98" t="inlineStr">
        <is>
          <t>ug</t>
        </is>
      </c>
    </row>
    <row r="99">
      <c r="A99" t="inlineStr">
        <is>
          <t>MUFA 12:1</t>
        </is>
      </c>
      <c r="B99">
        <f>Ingredientes!CZ59</f>
        <v/>
      </c>
      <c r="C99" t="inlineStr">
        <is>
          <t>g</t>
        </is>
      </c>
    </row>
    <row r="100">
      <c r="A100" t="inlineStr">
        <is>
          <t>MUFA 22:1 n-11</t>
        </is>
      </c>
      <c r="B100">
        <f>Ingredientes!DA59</f>
        <v/>
      </c>
      <c r="C100" t="inlineStr">
        <is>
          <t>g</t>
        </is>
      </c>
    </row>
    <row r="101">
      <c r="A101" t="inlineStr">
        <is>
          <t>PUFA 22:3</t>
        </is>
      </c>
      <c r="B101">
        <f>Ingredientes!DB59</f>
        <v/>
      </c>
      <c r="C101" t="inlineStr">
        <is>
          <t>g</t>
        </is>
      </c>
    </row>
    <row r="102">
      <c r="A102" t="inlineStr">
        <is>
          <t>SFA 21:0</t>
        </is>
      </c>
      <c r="B102">
        <f>Ingredientes!DC59</f>
        <v/>
      </c>
      <c r="C102" t="inlineStr">
        <is>
          <t>g</t>
        </is>
      </c>
    </row>
    <row r="103">
      <c r="A103" t="inlineStr">
        <is>
          <t>SFA 23:0</t>
        </is>
      </c>
      <c r="B103">
        <f>Ingredientes!DD59</f>
        <v/>
      </c>
      <c r="C103" t="inlineStr">
        <is>
          <t>g</t>
        </is>
      </c>
    </row>
    <row r="104">
      <c r="A104" t="inlineStr">
        <is>
          <t>SFA 5:0</t>
        </is>
      </c>
      <c r="B104">
        <f>Ingredientes!DE59</f>
        <v/>
      </c>
      <c r="C104" t="inlineStr">
        <is>
          <t>g</t>
        </is>
      </c>
    </row>
    <row r="105">
      <c r="A105" t="inlineStr">
        <is>
          <t>SFA 7:0</t>
        </is>
      </c>
      <c r="B105">
        <f>Ingredientes!DF59</f>
        <v/>
      </c>
      <c r="C105" t="inlineStr">
        <is>
          <t>g</t>
        </is>
      </c>
    </row>
    <row r="106">
      <c r="A106" t="inlineStr">
        <is>
          <t>SFA 9:0</t>
        </is>
      </c>
      <c r="B106">
        <f>Ingredientes!DG59</f>
        <v/>
      </c>
      <c r="C106" t="inlineStr">
        <is>
          <t>g</t>
        </is>
      </c>
    </row>
    <row r="107">
      <c r="A107" t="inlineStr">
        <is>
          <t>TFA 14:1 t</t>
        </is>
      </c>
      <c r="B107">
        <f>Ingredientes!DH59</f>
        <v/>
      </c>
      <c r="C107" t="inlineStr">
        <is>
          <t>g</t>
        </is>
      </c>
    </row>
    <row r="108">
      <c r="A108" t="inlineStr">
        <is>
          <t>TFA 20:1 t</t>
        </is>
      </c>
      <c r="B108">
        <f>Ingredientes!DI59</f>
        <v/>
      </c>
      <c r="C108" t="inlineStr">
        <is>
          <t>g</t>
        </is>
      </c>
    </row>
    <row r="109">
      <c r="A109" t="inlineStr">
        <is>
          <t>cis-beta-Carotene</t>
        </is>
      </c>
      <c r="B109">
        <f>Ingredientes!DJ59</f>
        <v/>
      </c>
      <c r="C109" t="inlineStr">
        <is>
          <t>ug</t>
        </is>
      </c>
    </row>
    <row r="110">
      <c r="A110" t="inlineStr">
        <is>
          <t>cis-Lutein/Zeaxanthin</t>
        </is>
      </c>
      <c r="B110">
        <f>Ingredientes!DK59</f>
        <v/>
      </c>
      <c r="C110" t="inlineStr">
        <is>
          <t>ug</t>
        </is>
      </c>
    </row>
    <row r="111">
      <c r="A111" t="inlineStr">
        <is>
          <t>cis-Lycopene</t>
        </is>
      </c>
      <c r="B111">
        <f>Ingredientes!DL59</f>
        <v/>
      </c>
      <c r="C111" t="inlineStr">
        <is>
          <t>ug</t>
        </is>
      </c>
    </row>
    <row r="112">
      <c r="A112" t="inlineStr">
        <is>
          <t>Lutein</t>
        </is>
      </c>
      <c r="B112">
        <f>Ingredientes!DM59</f>
        <v/>
      </c>
      <c r="C112" t="inlineStr">
        <is>
          <t>ug</t>
        </is>
      </c>
    </row>
    <row r="113">
      <c r="A113" t="inlineStr">
        <is>
          <t>trans-beta-Carotene</t>
        </is>
      </c>
      <c r="B113">
        <f>Ingredientes!DN59</f>
        <v/>
      </c>
      <c r="C113" t="inlineStr">
        <is>
          <t>ug</t>
        </is>
      </c>
    </row>
    <row r="114">
      <c r="A114" t="inlineStr">
        <is>
          <t>trans-Lycopene</t>
        </is>
      </c>
      <c r="B114">
        <f>Ingredientes!DO59</f>
        <v/>
      </c>
      <c r="C114" t="inlineStr">
        <is>
          <t>ug</t>
        </is>
      </c>
    </row>
    <row r="115">
      <c r="A115" t="inlineStr">
        <is>
          <t>Zeaxanthin</t>
        </is>
      </c>
      <c r="B115">
        <f>Ingredientes!DP59</f>
        <v/>
      </c>
      <c r="C115" t="inlineStr">
        <is>
          <t>ug</t>
        </is>
      </c>
    </row>
    <row r="116">
      <c r="A116" t="inlineStr">
        <is>
          <t>Choline, free</t>
        </is>
      </c>
      <c r="B116">
        <f>Ingredientes!DQ59</f>
        <v/>
      </c>
      <c r="C116" t="inlineStr">
        <is>
          <t>mg</t>
        </is>
      </c>
    </row>
    <row r="117">
      <c r="A117" t="inlineStr">
        <is>
          <t>Choline, from glycerophosphocholine</t>
        </is>
      </c>
      <c r="B117">
        <f>Ingredientes!DR59</f>
        <v/>
      </c>
      <c r="C117" t="inlineStr">
        <is>
          <t>mg</t>
        </is>
      </c>
    </row>
    <row r="118">
      <c r="A118" t="inlineStr">
        <is>
          <t>Choline, from phosphocholine</t>
        </is>
      </c>
      <c r="B118">
        <f>Ingredientes!DS59</f>
        <v/>
      </c>
      <c r="C118" t="inlineStr">
        <is>
          <t>mg</t>
        </is>
      </c>
    </row>
    <row r="119">
      <c r="A119" t="inlineStr">
        <is>
          <t>Choline, from phosphotidyl choline</t>
        </is>
      </c>
      <c r="B119">
        <f>Ingredientes!DT59</f>
        <v/>
      </c>
      <c r="C119" t="inlineStr">
        <is>
          <t>mg</t>
        </is>
      </c>
    </row>
    <row r="120">
      <c r="A120" t="inlineStr">
        <is>
          <t>Choline, from sphingomyelin</t>
        </is>
      </c>
      <c r="B120">
        <f>Ingredientes!DU59</f>
        <v/>
      </c>
      <c r="C120" t="inlineStr">
        <is>
          <t>mg</t>
        </is>
      </c>
    </row>
    <row r="121">
      <c r="A121" t="inlineStr">
        <is>
          <t>Iodine, I</t>
        </is>
      </c>
      <c r="B121">
        <f>Ingredientes!DV59</f>
        <v/>
      </c>
      <c r="C121" t="inlineStr">
        <is>
          <t>ug</t>
        </is>
      </c>
    </row>
    <row r="122">
      <c r="A122" t="inlineStr">
        <is>
          <t>Sugars, Total</t>
        </is>
      </c>
      <c r="B122">
        <f>Ingredientes!DW59</f>
        <v/>
      </c>
      <c r="C122" t="inlineStr">
        <is>
          <t>g</t>
        </is>
      </c>
    </row>
    <row r="123">
      <c r="A123" t="inlineStr">
        <is>
          <t>Energy (Atwater General Factors)</t>
        </is>
      </c>
      <c r="B123">
        <f>Ingredientes!DX59</f>
        <v/>
      </c>
      <c r="C123" t="inlineStr">
        <is>
          <t>kcal</t>
        </is>
      </c>
    </row>
    <row r="124">
      <c r="A124" t="inlineStr">
        <is>
          <t>Energy (Atwater Specific Factors)</t>
        </is>
      </c>
      <c r="B124">
        <f>Ingredientes!DY59</f>
        <v/>
      </c>
      <c r="C124" t="inlineStr">
        <is>
          <t>kcal</t>
        </is>
      </c>
    </row>
    <row r="125">
      <c r="A125" t="inlineStr">
        <is>
          <t>MUFA 14:1</t>
        </is>
      </c>
      <c r="B125">
        <f>Ingredientes!DZ59</f>
        <v/>
      </c>
      <c r="C125" t="inlineStr">
        <is>
          <t>g</t>
        </is>
      </c>
    </row>
    <row r="126">
      <c r="A126" t="inlineStr">
        <is>
          <t>MUFA 16:1</t>
        </is>
      </c>
      <c r="B126">
        <f>Ingredientes!EA59</f>
        <v/>
      </c>
      <c r="C126" t="inlineStr">
        <is>
          <t>g</t>
        </is>
      </c>
    </row>
    <row r="127">
      <c r="A127" t="inlineStr">
        <is>
          <t>MUFA 20:1</t>
        </is>
      </c>
      <c r="B127">
        <f>Ingredientes!EB59</f>
        <v/>
      </c>
      <c r="C127" t="inlineStr">
        <is>
          <t>g</t>
        </is>
      </c>
    </row>
    <row r="128">
      <c r="A128" t="inlineStr">
        <is>
          <t>PUFA 18:3i</t>
        </is>
      </c>
      <c r="B128">
        <f>Ingredientes!EC59</f>
        <v/>
      </c>
      <c r="C128" t="inlineStr">
        <is>
          <t>g</t>
        </is>
      </c>
    </row>
    <row r="129">
      <c r="A129" t="inlineStr">
        <is>
          <t>Vitamin C, total ascorbic acid</t>
        </is>
      </c>
      <c r="B129">
        <f>Ingredientes!ED59</f>
        <v/>
      </c>
      <c r="C129" t="inlineStr">
        <is>
          <t>mg</t>
        </is>
      </c>
    </row>
    <row r="130">
      <c r="A130" t="inlineStr">
        <is>
          <t>Fiber, total dietary</t>
        </is>
      </c>
      <c r="B130">
        <f>Ingredientes!EE59</f>
        <v/>
      </c>
      <c r="C130" t="inlineStr">
        <is>
          <t>g</t>
        </is>
      </c>
    </row>
    <row r="131">
      <c r="A131" t="inlineStr">
        <is>
          <t>Lutein + zeaxanthin</t>
        </is>
      </c>
      <c r="B131">
        <f>Ingredientes!EF59</f>
        <v/>
      </c>
      <c r="C131" t="inlineStr">
        <is>
          <t>ug</t>
        </is>
      </c>
    </row>
    <row r="132">
      <c r="A132" t="inlineStr">
        <is>
          <t>MUFA 18:1</t>
        </is>
      </c>
      <c r="B132">
        <f>Ingredientes!EG59</f>
        <v/>
      </c>
      <c r="C132" t="inlineStr">
        <is>
          <t>g</t>
        </is>
      </c>
    </row>
    <row r="133">
      <c r="A133" t="inlineStr">
        <is>
          <t>MUFA 22:1</t>
        </is>
      </c>
      <c r="B133">
        <f>Ingredientes!EH59</f>
        <v/>
      </c>
      <c r="C133" t="inlineStr">
        <is>
          <t>g</t>
        </is>
      </c>
    </row>
    <row r="134">
      <c r="A134" t="inlineStr">
        <is>
          <t>PUFA 18:2</t>
        </is>
      </c>
      <c r="B134">
        <f>Ingredientes!EI59</f>
        <v/>
      </c>
      <c r="C134" t="inlineStr">
        <is>
          <t>g</t>
        </is>
      </c>
    </row>
    <row r="135">
      <c r="A135" t="inlineStr">
        <is>
          <t>PUFA 18:3</t>
        </is>
      </c>
      <c r="B135">
        <f>Ingredientes!EJ59</f>
        <v/>
      </c>
      <c r="C135" t="inlineStr">
        <is>
          <t>g</t>
        </is>
      </c>
    </row>
    <row r="136">
      <c r="A136" t="inlineStr">
        <is>
          <t>PUFA 20:3</t>
        </is>
      </c>
      <c r="B136">
        <f>Ingredientes!EK59</f>
        <v/>
      </c>
      <c r="C136" t="inlineStr">
        <is>
          <t>g</t>
        </is>
      </c>
    </row>
    <row r="137">
      <c r="A137" t="inlineStr">
        <is>
          <t>Cystine</t>
        </is>
      </c>
      <c r="B137">
        <f>Ingredientes!EL59</f>
        <v/>
      </c>
      <c r="C137" t="inlineStr">
        <is>
          <t>g</t>
        </is>
      </c>
    </row>
    <row r="138">
      <c r="A138" t="inlineStr">
        <is>
          <t>Folate, DFE</t>
        </is>
      </c>
      <c r="B138">
        <f>Ingredientes!EM59</f>
        <v/>
      </c>
      <c r="C138" t="inlineStr">
        <is>
          <t>ug</t>
        </is>
      </c>
    </row>
    <row r="139">
      <c r="A139" t="inlineStr">
        <is>
          <t>Folate, food</t>
        </is>
      </c>
      <c r="B139">
        <f>Ingredientes!EN59</f>
        <v/>
      </c>
      <c r="C139" t="inlineStr">
        <is>
          <t>ug</t>
        </is>
      </c>
    </row>
    <row r="140">
      <c r="A140" t="inlineStr">
        <is>
          <t>Vitamin A, IU</t>
        </is>
      </c>
      <c r="B140">
        <f>Ingredientes!EO59</f>
        <v/>
      </c>
      <c r="C140" t="inlineStr">
        <is>
          <t>iu</t>
        </is>
      </c>
    </row>
    <row r="141">
      <c r="A141" t="inlineStr">
        <is>
          <t>Phytosterols</t>
        </is>
      </c>
      <c r="B141">
        <f>Ingredientes!EP59</f>
        <v/>
      </c>
      <c r="C141" t="inlineStr">
        <is>
          <t>mg</t>
        </is>
      </c>
    </row>
    <row r="142">
      <c r="A142" t="inlineStr">
        <is>
          <t>Energy</t>
        </is>
      </c>
      <c r="B142">
        <f>Ingredientes!EQ59</f>
        <v/>
      </c>
      <c r="C142" t="inlineStr">
        <is>
          <t>kcal</t>
        </is>
      </c>
    </row>
    <row r="143">
      <c r="A143" t="inlineStr">
        <is>
          <t>Energy</t>
        </is>
      </c>
      <c r="B143">
        <f>Ingredientes!ER59</f>
        <v/>
      </c>
      <c r="C143" t="inlineStr">
        <is>
          <t>kJ</t>
        </is>
      </c>
    </row>
    <row r="144">
      <c r="A144" t="inlineStr">
        <is>
          <t>Resistant starch</t>
        </is>
      </c>
      <c r="B144">
        <f>Ingredientes!ES59</f>
        <v/>
      </c>
      <c r="C144" t="inlineStr">
        <is>
          <t>g</t>
        </is>
      </c>
    </row>
    <row r="145">
      <c r="A145" t="inlineStr">
        <is>
          <t>Sugars, added</t>
        </is>
      </c>
      <c r="B145">
        <f>Ingredientes!ET59</f>
        <v/>
      </c>
      <c r="C145" t="inlineStr">
        <is>
          <t>g</t>
        </is>
      </c>
    </row>
    <row r="146">
      <c r="A146" t="inlineStr">
        <is>
          <t>Iodine, I</t>
        </is>
      </c>
      <c r="B146">
        <f>Ingredientes!EU59</f>
        <v/>
      </c>
      <c r="C146" t="inlineStr">
        <is>
          <t>µg</t>
        </is>
      </c>
    </row>
    <row r="147">
      <c r="A147" t="inlineStr">
        <is>
          <t>Selenium, Se</t>
        </is>
      </c>
      <c r="B147">
        <f>Ingredientes!EV59</f>
        <v/>
      </c>
      <c r="C147" t="inlineStr">
        <is>
          <t>µg</t>
        </is>
      </c>
    </row>
    <row r="148">
      <c r="A148" t="inlineStr">
        <is>
          <t>Fluoride, F</t>
        </is>
      </c>
      <c r="B148">
        <f>Ingredientes!EW59</f>
        <v/>
      </c>
      <c r="C148" t="inlineStr">
        <is>
          <t>µg</t>
        </is>
      </c>
    </row>
    <row r="149">
      <c r="A149" t="inlineStr">
        <is>
          <t>Molybdenum, Mo</t>
        </is>
      </c>
      <c r="B149">
        <f>Ingredientes!EX59</f>
        <v/>
      </c>
      <c r="C149" t="inlineStr">
        <is>
          <t>µg</t>
        </is>
      </c>
    </row>
    <row r="150">
      <c r="A150" t="inlineStr">
        <is>
          <t>Biotin</t>
        </is>
      </c>
      <c r="B150">
        <f>Ingredientes!EY59</f>
        <v/>
      </c>
      <c r="C150" t="inlineStr">
        <is>
          <t>µg</t>
        </is>
      </c>
    </row>
    <row r="151">
      <c r="A151" t="inlineStr">
        <is>
          <t>Folate, total</t>
        </is>
      </c>
      <c r="B151">
        <f>Ingredientes!EZ59</f>
        <v/>
      </c>
      <c r="C151" t="inlineStr">
        <is>
          <t>µg</t>
        </is>
      </c>
    </row>
    <row r="152">
      <c r="A152" t="inlineStr">
        <is>
          <t>Folic acid</t>
        </is>
      </c>
      <c r="B152">
        <f>Ingredientes!FA59</f>
        <v/>
      </c>
      <c r="C152" t="inlineStr">
        <is>
          <t>µg</t>
        </is>
      </c>
    </row>
    <row r="153">
      <c r="A153" t="inlineStr">
        <is>
          <t>Folate, food</t>
        </is>
      </c>
      <c r="B153">
        <f>Ingredientes!FB59</f>
        <v/>
      </c>
      <c r="C153" t="inlineStr">
        <is>
          <t>µg</t>
        </is>
      </c>
    </row>
    <row r="154">
      <c r="A154" t="inlineStr">
        <is>
          <t>Folate, DFE</t>
        </is>
      </c>
      <c r="B154">
        <f>Ingredientes!FC59</f>
        <v/>
      </c>
      <c r="C154" t="inlineStr">
        <is>
          <t>µg</t>
        </is>
      </c>
    </row>
    <row r="155">
      <c r="A155" t="inlineStr">
        <is>
          <t>Vitamin B-12</t>
        </is>
      </c>
      <c r="B155">
        <f>Ingredientes!FD59</f>
        <v/>
      </c>
      <c r="C155" t="inlineStr">
        <is>
          <t>µg</t>
        </is>
      </c>
    </row>
    <row r="156">
      <c r="A156" t="inlineStr">
        <is>
          <t>Vitamin B-12, added</t>
        </is>
      </c>
      <c r="B156">
        <f>Ingredientes!FE59</f>
        <v/>
      </c>
      <c r="C156" t="inlineStr">
        <is>
          <t>µg</t>
        </is>
      </c>
    </row>
    <row r="157">
      <c r="A157" t="inlineStr">
        <is>
          <t>Vitamin A, RAE</t>
        </is>
      </c>
      <c r="B157">
        <f>Ingredientes!FF59</f>
        <v/>
      </c>
      <c r="C157" t="inlineStr">
        <is>
          <t>µg</t>
        </is>
      </c>
    </row>
    <row r="158">
      <c r="A158" t="inlineStr">
        <is>
          <t>Retinol</t>
        </is>
      </c>
      <c r="B158">
        <f>Ingredientes!FG59</f>
        <v/>
      </c>
      <c r="C158" t="inlineStr">
        <is>
          <t>µg</t>
        </is>
      </c>
    </row>
    <row r="159">
      <c r="A159" t="inlineStr">
        <is>
          <t>Carotene, beta</t>
        </is>
      </c>
      <c r="B159">
        <f>Ingredientes!FH59</f>
        <v/>
      </c>
      <c r="C159" t="inlineStr">
        <is>
          <t>µg</t>
        </is>
      </c>
    </row>
    <row r="160">
      <c r="A160" t="inlineStr">
        <is>
          <t>cis-beta-Carotene</t>
        </is>
      </c>
      <c r="B160">
        <f>Ingredientes!FI59</f>
        <v/>
      </c>
      <c r="C160" t="inlineStr">
        <is>
          <t>µg</t>
        </is>
      </c>
    </row>
    <row r="161">
      <c r="A161" t="inlineStr">
        <is>
          <t>trans-beta-Carotene</t>
        </is>
      </c>
      <c r="B161">
        <f>Ingredientes!FJ59</f>
        <v/>
      </c>
      <c r="C161" t="inlineStr">
        <is>
          <t>µg</t>
        </is>
      </c>
    </row>
    <row r="162">
      <c r="A162" t="inlineStr">
        <is>
          <t>Carotene, alpha</t>
        </is>
      </c>
      <c r="B162">
        <f>Ingredientes!FK59</f>
        <v/>
      </c>
      <c r="C162" t="inlineStr">
        <is>
          <t>µg</t>
        </is>
      </c>
    </row>
    <row r="163">
      <c r="A163" t="inlineStr">
        <is>
          <t>Carotene, gamma</t>
        </is>
      </c>
      <c r="B163">
        <f>Ingredientes!FL59</f>
        <v/>
      </c>
      <c r="C163" t="inlineStr">
        <is>
          <t>µg</t>
        </is>
      </c>
    </row>
    <row r="164">
      <c r="A164" t="inlineStr">
        <is>
          <t>Cryptoxanthin, beta</t>
        </is>
      </c>
      <c r="B164">
        <f>Ingredientes!FM59</f>
        <v/>
      </c>
      <c r="C164" t="inlineStr">
        <is>
          <t>µg</t>
        </is>
      </c>
    </row>
    <row r="165">
      <c r="A165" t="inlineStr">
        <is>
          <t>Cryptoxanthin, alpha</t>
        </is>
      </c>
      <c r="B165">
        <f>Ingredientes!FN59</f>
        <v/>
      </c>
      <c r="C165" t="inlineStr">
        <is>
          <t>µg</t>
        </is>
      </c>
    </row>
    <row r="166">
      <c r="A166" t="inlineStr">
        <is>
          <t>Lycopene</t>
        </is>
      </c>
      <c r="B166">
        <f>Ingredientes!FO59</f>
        <v/>
      </c>
      <c r="C166" t="inlineStr">
        <is>
          <t>µg</t>
        </is>
      </c>
    </row>
    <row r="167">
      <c r="A167" t="inlineStr">
        <is>
          <t>cis-Lycopene</t>
        </is>
      </c>
      <c r="B167">
        <f>Ingredientes!FP59</f>
        <v/>
      </c>
      <c r="C167" t="inlineStr">
        <is>
          <t>µg</t>
        </is>
      </c>
    </row>
    <row r="168">
      <c r="A168" t="inlineStr">
        <is>
          <t>trans-Lycopene</t>
        </is>
      </c>
      <c r="B168">
        <f>Ingredientes!FQ59</f>
        <v/>
      </c>
      <c r="C168" t="inlineStr">
        <is>
          <t>µg</t>
        </is>
      </c>
    </row>
    <row r="169">
      <c r="A169" t="inlineStr">
        <is>
          <t>Lutein + zeaxanthin</t>
        </is>
      </c>
      <c r="B169">
        <f>Ingredientes!FR59</f>
        <v/>
      </c>
      <c r="C169" t="inlineStr">
        <is>
          <t>µg</t>
        </is>
      </c>
    </row>
    <row r="170">
      <c r="A170" t="inlineStr">
        <is>
          <t>cis-Lutein/Zeaxanthin</t>
        </is>
      </c>
      <c r="B170">
        <f>Ingredientes!FS59</f>
        <v/>
      </c>
      <c r="C170" t="inlineStr">
        <is>
          <t>µg</t>
        </is>
      </c>
    </row>
    <row r="171">
      <c r="A171" t="inlineStr">
        <is>
          <t>Lutein</t>
        </is>
      </c>
      <c r="B171">
        <f>Ingredientes!FT59</f>
        <v/>
      </c>
      <c r="C171" t="inlineStr">
        <is>
          <t>µg</t>
        </is>
      </c>
    </row>
    <row r="172">
      <c r="A172" t="inlineStr">
        <is>
          <t>Zeaxanthin</t>
        </is>
      </c>
      <c r="B172">
        <f>Ingredientes!FU59</f>
        <v/>
      </c>
      <c r="C172" t="inlineStr">
        <is>
          <t>µg</t>
        </is>
      </c>
    </row>
    <row r="173">
      <c r="A173" t="inlineStr">
        <is>
          <t>Vitamin D (D2 + D3)</t>
        </is>
      </c>
      <c r="B173">
        <f>Ingredientes!FV59</f>
        <v/>
      </c>
      <c r="C173" t="inlineStr">
        <is>
          <t>µg</t>
        </is>
      </c>
    </row>
    <row r="174">
      <c r="A174" t="inlineStr">
        <is>
          <t>Vitamin D2 (ergocalciferol)</t>
        </is>
      </c>
      <c r="B174">
        <f>Ingredientes!FW59</f>
        <v/>
      </c>
      <c r="C174" t="inlineStr">
        <is>
          <t>µg</t>
        </is>
      </c>
    </row>
    <row r="175">
      <c r="A175" t="inlineStr">
        <is>
          <t>Vitamin D3 (cholecalciferol)</t>
        </is>
      </c>
      <c r="B175">
        <f>Ingredientes!FX59</f>
        <v/>
      </c>
      <c r="C175" t="inlineStr">
        <is>
          <t>µg</t>
        </is>
      </c>
    </row>
    <row r="176">
      <c r="A176" t="inlineStr">
        <is>
          <t>25-hydroxycholecalciferol</t>
        </is>
      </c>
      <c r="B176">
        <f>Ingredientes!FY59</f>
        <v/>
      </c>
      <c r="C176" t="inlineStr">
        <is>
          <t>µg</t>
        </is>
      </c>
    </row>
    <row r="177">
      <c r="A177" t="inlineStr">
        <is>
          <t>Vitamin K (phylloquinone)</t>
        </is>
      </c>
      <c r="B177">
        <f>Ingredientes!FZ59</f>
        <v/>
      </c>
      <c r="C177" t="inlineStr">
        <is>
          <t>µg</t>
        </is>
      </c>
    </row>
    <row r="178">
      <c r="A178" t="inlineStr">
        <is>
          <t>Vitamin K (Menaquinone-4)</t>
        </is>
      </c>
      <c r="B178">
        <f>Ingredientes!GA59</f>
        <v/>
      </c>
      <c r="C178" t="inlineStr">
        <is>
          <t>µg</t>
        </is>
      </c>
    </row>
    <row r="179">
      <c r="A179" t="inlineStr">
        <is>
          <t>SFA 13:0</t>
        </is>
      </c>
      <c r="B179">
        <f>Ingredientes!GB59</f>
        <v/>
      </c>
      <c r="C179" t="inlineStr">
        <is>
          <t>g</t>
        </is>
      </c>
    </row>
    <row r="180">
      <c r="A180" t="inlineStr">
        <is>
          <t>TFA 18:2 t</t>
        </is>
      </c>
      <c r="B180">
        <f>Ingredientes!GC59</f>
        <v/>
      </c>
      <c r="C180" t="inlineStr">
        <is>
          <t>g</t>
        </is>
      </c>
    </row>
    <row r="181">
      <c r="A181" t="inlineStr">
        <is>
          <t>TFA 18:2 t,t</t>
        </is>
      </c>
      <c r="B181">
        <f>Ingredientes!GD59</f>
        <v/>
      </c>
      <c r="C181" t="inlineStr">
        <is>
          <t>g</t>
        </is>
      </c>
    </row>
    <row r="182">
      <c r="A182" t="inlineStr">
        <is>
          <t>Cholesterol</t>
        </is>
      </c>
      <c r="B182">
        <f>Ingredientes!GE59</f>
        <v/>
      </c>
      <c r="C182" t="inlineStr">
        <is>
          <t>mg</t>
        </is>
      </c>
    </row>
    <row r="183">
      <c r="A183" t="inlineStr">
        <is>
          <t>Fatty acids, total saturated</t>
        </is>
      </c>
      <c r="B183">
        <f>Ingredientes!GF59</f>
        <v/>
      </c>
      <c r="C183" t="inlineStr">
        <is>
          <t>g</t>
        </is>
      </c>
    </row>
    <row r="184">
      <c r="A184" t="inlineStr">
        <is>
          <t>Fatty acids, total trans</t>
        </is>
      </c>
      <c r="B184">
        <f>Ingredientes!GG59</f>
        <v/>
      </c>
      <c r="C184" t="inlineStr">
        <is>
          <t>g</t>
        </is>
      </c>
    </row>
    <row r="185">
      <c r="A185" t="inlineStr">
        <is>
          <t>Fatty acids, total trans-monoenoic</t>
        </is>
      </c>
      <c r="B185">
        <f>Ingredientes!GH59</f>
        <v/>
      </c>
      <c r="C185" t="inlineStr">
        <is>
          <t>g</t>
        </is>
      </c>
    </row>
    <row r="186">
      <c r="A186" t="inlineStr">
        <is>
          <t>Folate, total</t>
        </is>
      </c>
      <c r="B186">
        <f>Ingredientes!GI59</f>
        <v/>
      </c>
      <c r="C186" t="inlineStr">
        <is>
          <t>ug</t>
        </is>
      </c>
    </row>
    <row r="187">
      <c r="A187" t="inlineStr">
        <is>
          <t>MUFA 15:1</t>
        </is>
      </c>
      <c r="B187">
        <f>Ingredientes!GJ59</f>
        <v/>
      </c>
      <c r="C187" t="inlineStr">
        <is>
          <t>g</t>
        </is>
      </c>
    </row>
    <row r="188">
      <c r="A188" t="inlineStr">
        <is>
          <t>MUFA 17:1</t>
        </is>
      </c>
      <c r="B188">
        <f>Ingredientes!GK59</f>
        <v/>
      </c>
      <c r="C188" t="inlineStr">
        <is>
          <t>g</t>
        </is>
      </c>
    </row>
    <row r="189">
      <c r="A189" t="inlineStr">
        <is>
          <t>MUFA 18:1 c</t>
        </is>
      </c>
      <c r="B189">
        <f>Ingredientes!GL59</f>
        <v/>
      </c>
      <c r="C189" t="inlineStr">
        <is>
          <t>g</t>
        </is>
      </c>
    </row>
    <row r="190">
      <c r="A190" t="inlineStr">
        <is>
          <t>MUFA 22:1 c</t>
        </is>
      </c>
      <c r="B190">
        <f>Ingredientes!GM59</f>
        <v/>
      </c>
      <c r="C190" t="inlineStr">
        <is>
          <t>g</t>
        </is>
      </c>
    </row>
    <row r="191">
      <c r="A191" t="inlineStr">
        <is>
          <t>MUFA 24:1 c</t>
        </is>
      </c>
      <c r="B191">
        <f>Ingredientes!GN59</f>
        <v/>
      </c>
      <c r="C191" t="inlineStr">
        <is>
          <t>g</t>
        </is>
      </c>
    </row>
    <row r="192">
      <c r="A192" t="inlineStr">
        <is>
          <t>PUFA 18:2 n-6 c,c</t>
        </is>
      </c>
      <c r="B192">
        <f>Ingredientes!GO59</f>
        <v/>
      </c>
      <c r="C192" t="inlineStr">
        <is>
          <t>g</t>
        </is>
      </c>
    </row>
    <row r="193">
      <c r="A193" t="inlineStr">
        <is>
          <t>PUFA 18:3 n-3 c,c,c (ALA)</t>
        </is>
      </c>
      <c r="B193">
        <f>Ingredientes!GP59</f>
        <v/>
      </c>
      <c r="C193" t="inlineStr">
        <is>
          <t>g</t>
        </is>
      </c>
    </row>
    <row r="194">
      <c r="A194" t="inlineStr">
        <is>
          <t>PUFA 20:3 n-3</t>
        </is>
      </c>
      <c r="B194">
        <f>Ingredientes!GQ59</f>
        <v/>
      </c>
      <c r="C194" t="inlineStr">
        <is>
          <t>g</t>
        </is>
      </c>
    </row>
    <row r="195">
      <c r="A195" t="inlineStr">
        <is>
          <t>PUFA 20:5 n-3 (EPA)</t>
        </is>
      </c>
      <c r="B195">
        <f>Ingredientes!GR59</f>
        <v/>
      </c>
      <c r="C195" t="inlineStr">
        <is>
          <t>g</t>
        </is>
      </c>
    </row>
    <row r="196">
      <c r="A196" t="inlineStr">
        <is>
          <t>PUFA 22:4</t>
        </is>
      </c>
      <c r="B196">
        <f>Ingredientes!GS59</f>
        <v/>
      </c>
      <c r="C196" t="inlineStr">
        <is>
          <t>g</t>
        </is>
      </c>
    </row>
    <row r="197">
      <c r="A197" t="inlineStr">
        <is>
          <t>PUFA 22:5 n-3 (DPA)</t>
        </is>
      </c>
      <c r="B197">
        <f>Ingredientes!GT59</f>
        <v/>
      </c>
      <c r="C197" t="inlineStr">
        <is>
          <t>g</t>
        </is>
      </c>
    </row>
    <row r="198">
      <c r="A198" t="inlineStr">
        <is>
          <t>PUFA 22:6 n-3 (DHA)</t>
        </is>
      </c>
      <c r="B198">
        <f>Ingredientes!GU59</f>
        <v/>
      </c>
      <c r="C198" t="inlineStr">
        <is>
          <t>g</t>
        </is>
      </c>
    </row>
    <row r="199">
      <c r="A199" t="inlineStr">
        <is>
          <t>Riboflavin</t>
        </is>
      </c>
      <c r="B199">
        <f>Ingredientes!GV59</f>
        <v/>
      </c>
      <c r="C199" t="inlineStr">
        <is>
          <t>mg</t>
        </is>
      </c>
    </row>
    <row r="200">
      <c r="A200" t="inlineStr">
        <is>
          <t>SFA 12:0</t>
        </is>
      </c>
      <c r="B200">
        <f>Ingredientes!GW59</f>
        <v/>
      </c>
      <c r="C200" t="inlineStr">
        <is>
          <t>g</t>
        </is>
      </c>
    </row>
    <row r="201">
      <c r="A201" t="inlineStr">
        <is>
          <t>SFA 14:0</t>
        </is>
      </c>
      <c r="B201">
        <f>Ingredientes!GX59</f>
        <v/>
      </c>
      <c r="C201" t="inlineStr">
        <is>
          <t>g</t>
        </is>
      </c>
    </row>
    <row r="202">
      <c r="A202" t="inlineStr">
        <is>
          <t>SFA 17:0</t>
        </is>
      </c>
      <c r="B202">
        <f>Ingredientes!GY59</f>
        <v/>
      </c>
      <c r="C202" t="inlineStr">
        <is>
          <t>g</t>
        </is>
      </c>
    </row>
    <row r="203">
      <c r="A203" t="inlineStr">
        <is>
          <t>SFA 22:0</t>
        </is>
      </c>
      <c r="B203">
        <f>Ingredientes!GZ59</f>
        <v/>
      </c>
      <c r="C203" t="inlineStr">
        <is>
          <t>g</t>
        </is>
      </c>
    </row>
    <row r="204">
      <c r="A204" t="inlineStr">
        <is>
          <t>SFA 24:0</t>
        </is>
      </c>
      <c r="B204">
        <f>Ingredientes!HA59</f>
        <v/>
      </c>
      <c r="C204" t="inlineStr">
        <is>
          <t>g</t>
        </is>
      </c>
    </row>
    <row r="205">
      <c r="A205" t="inlineStr">
        <is>
          <t>SFA 8:0</t>
        </is>
      </c>
      <c r="B205">
        <f>Ingredientes!HB59</f>
        <v/>
      </c>
      <c r="C205" t="inlineStr">
        <is>
          <t>g</t>
        </is>
      </c>
    </row>
    <row r="206">
      <c r="A206" t="inlineStr">
        <is>
          <t>TFA 16:1 t</t>
        </is>
      </c>
      <c r="B206">
        <f>Ingredientes!HC59</f>
        <v/>
      </c>
      <c r="C206" t="inlineStr">
        <is>
          <t>g</t>
        </is>
      </c>
    </row>
    <row r="207">
      <c r="A207" t="inlineStr">
        <is>
          <t>Vitamin B-12</t>
        </is>
      </c>
      <c r="B207">
        <f>Ingredientes!HD59</f>
        <v/>
      </c>
      <c r="C207" t="inlineStr">
        <is>
          <t>ug</t>
        </is>
      </c>
    </row>
    <row r="208">
      <c r="A208" t="inlineStr">
        <is>
          <t>Ash</t>
        </is>
      </c>
      <c r="B208">
        <f>Ingredientes!HE59</f>
        <v/>
      </c>
      <c r="C208" t="inlineStr">
        <is>
          <t>g</t>
        </is>
      </c>
    </row>
    <row r="209">
      <c r="A209" t="inlineStr">
        <is>
          <t>Copper, Cu</t>
        </is>
      </c>
      <c r="B209">
        <f>Ingredientes!HF59</f>
        <v/>
      </c>
      <c r="C209" t="inlineStr">
        <is>
          <t>mg</t>
        </is>
      </c>
    </row>
    <row r="210">
      <c r="A210" t="inlineStr">
        <is>
          <t>Hydroxyproline</t>
        </is>
      </c>
      <c r="B210">
        <f>Ingredientes!HG59</f>
        <v/>
      </c>
      <c r="C210" t="inlineStr">
        <is>
          <t>g</t>
        </is>
      </c>
    </row>
    <row r="211">
      <c r="A211" t="inlineStr">
        <is>
          <t>Iron, Fe</t>
        </is>
      </c>
      <c r="B211">
        <f>Ingredientes!HH59</f>
        <v/>
      </c>
      <c r="C211" t="inlineStr">
        <is>
          <t>mg</t>
        </is>
      </c>
    </row>
    <row r="212">
      <c r="A212" t="inlineStr">
        <is>
          <t>Magnesium, Mg</t>
        </is>
      </c>
      <c r="B212">
        <f>Ingredientes!HI59</f>
        <v/>
      </c>
      <c r="C212" t="inlineStr">
        <is>
          <t>mg</t>
        </is>
      </c>
    </row>
    <row r="213">
      <c r="A213" t="inlineStr">
        <is>
          <t>Manganese, Mn</t>
        </is>
      </c>
      <c r="B213">
        <f>Ingredientes!HJ59</f>
        <v/>
      </c>
      <c r="C213" t="inlineStr">
        <is>
          <t>mg</t>
        </is>
      </c>
    </row>
    <row r="214">
      <c r="A214" t="inlineStr">
        <is>
          <t>Phosphorus, P</t>
        </is>
      </c>
      <c r="B214">
        <f>Ingredientes!HK59</f>
        <v/>
      </c>
      <c r="C214" t="inlineStr">
        <is>
          <t>mg</t>
        </is>
      </c>
    </row>
    <row r="215">
      <c r="A215" t="inlineStr">
        <is>
          <t>Protein</t>
        </is>
      </c>
      <c r="B215">
        <f>Ingredientes!HL59</f>
        <v/>
      </c>
      <c r="C215" t="inlineStr">
        <is>
          <t>g</t>
        </is>
      </c>
    </row>
    <row r="216">
      <c r="A216" t="inlineStr">
        <is>
          <t>Sodium, Na</t>
        </is>
      </c>
      <c r="B216">
        <f>Ingredientes!HM59</f>
        <v/>
      </c>
      <c r="C216" t="inlineStr">
        <is>
          <t>mg</t>
        </is>
      </c>
    </row>
    <row r="217">
      <c r="A217" t="inlineStr">
        <is>
          <t>Betaine</t>
        </is>
      </c>
      <c r="B217">
        <f>Ingredientes!HN59</f>
        <v/>
      </c>
      <c r="C217" t="inlineStr">
        <is>
          <t>mg</t>
        </is>
      </c>
    </row>
    <row r="218">
      <c r="A218" t="inlineStr">
        <is>
          <t>Choline, total</t>
        </is>
      </c>
      <c r="B218">
        <f>Ingredientes!HO59</f>
        <v/>
      </c>
      <c r="C218" t="inlineStr">
        <is>
          <t>mg</t>
        </is>
      </c>
    </row>
    <row r="219">
      <c r="A219" t="inlineStr">
        <is>
          <t>Starch</t>
        </is>
      </c>
      <c r="B219">
        <f>Ingredientes!HP59</f>
        <v/>
      </c>
      <c r="C219" t="inlineStr">
        <is>
          <t>g</t>
        </is>
      </c>
    </row>
    <row r="220">
      <c r="A220" t="inlineStr">
        <is>
          <t>Folic acid</t>
        </is>
      </c>
      <c r="B220">
        <f>Ingredientes!HQ59</f>
        <v/>
      </c>
      <c r="C220" t="inlineStr">
        <is>
          <t>ug</t>
        </is>
      </c>
    </row>
    <row r="221">
      <c r="A221" t="inlineStr">
        <is>
          <t>Vitamin B-12, added</t>
        </is>
      </c>
      <c r="B221">
        <f>Ingredientes!HR59</f>
        <v/>
      </c>
      <c r="C221" t="inlineStr">
        <is>
          <t>ug</t>
        </is>
      </c>
    </row>
    <row r="222">
      <c r="A222" t="inlineStr">
        <is>
          <t>Alcohol, ethyl</t>
        </is>
      </c>
      <c r="B222">
        <f>Ingredientes!HS59</f>
        <v/>
      </c>
      <c r="C222" t="inlineStr">
        <is>
          <t>g</t>
        </is>
      </c>
    </row>
    <row r="223">
      <c r="A223" t="inlineStr">
        <is>
          <t>Caffeine</t>
        </is>
      </c>
      <c r="B223">
        <f>Ingredientes!HT59</f>
        <v/>
      </c>
      <c r="C223" t="inlineStr">
        <is>
          <t>mg</t>
        </is>
      </c>
    </row>
    <row r="224">
      <c r="A224" t="inlineStr">
        <is>
          <t>Theobromine</t>
        </is>
      </c>
      <c r="B224">
        <f>Ingredientes!HU59</f>
        <v/>
      </c>
      <c r="C224" t="inlineStr">
        <is>
          <t>mg</t>
        </is>
      </c>
    </row>
    <row r="225">
      <c r="A225" t="inlineStr">
        <is>
          <t>Vitamin E, added</t>
        </is>
      </c>
      <c r="B225">
        <f>Ingredientes!HV59</f>
        <v/>
      </c>
      <c r="C225" t="inlineStr">
        <is>
          <t>mg</t>
        </is>
      </c>
    </row>
    <row r="226">
      <c r="A226" t="inlineStr">
        <is>
          <t>Fluoride, F</t>
        </is>
      </c>
      <c r="B226">
        <f>Ingredientes!HW59</f>
        <v/>
      </c>
      <c r="C226" t="inlineStr">
        <is>
          <t>ug</t>
        </is>
      </c>
    </row>
    <row r="227">
      <c r="A227" t="inlineStr">
        <is>
          <t>Vitamin K (Dihydrophylloquinone)</t>
        </is>
      </c>
      <c r="B227">
        <f>Ingredientes!HX59</f>
        <v/>
      </c>
      <c r="C227" t="inlineStr">
        <is>
          <t>µg</t>
        </is>
      </c>
    </row>
    <row r="228">
      <c r="A228" t="inlineStr">
        <is>
          <t>Stigmasterol</t>
        </is>
      </c>
      <c r="B228">
        <f>Ingredientes!HY59</f>
        <v/>
      </c>
      <c r="C228" t="inlineStr">
        <is>
          <t>mg</t>
        </is>
      </c>
    </row>
    <row r="229">
      <c r="A229" t="inlineStr">
        <is>
          <t>Campesterol</t>
        </is>
      </c>
      <c r="B229">
        <f>Ingredientes!HZ59</f>
        <v/>
      </c>
      <c r="C229" t="inlineStr">
        <is>
          <t>mg</t>
        </is>
      </c>
    </row>
    <row r="230">
      <c r="A230" t="inlineStr">
        <is>
          <t>Brassicasterol</t>
        </is>
      </c>
      <c r="B230">
        <f>Ingredientes!IA59</f>
        <v/>
      </c>
      <c r="C230" t="inlineStr">
        <is>
          <t>mg</t>
        </is>
      </c>
    </row>
    <row r="231">
      <c r="A231" t="inlineStr">
        <is>
          <t>Beta-sitosterol</t>
        </is>
      </c>
      <c r="B231">
        <f>Ingredientes!IB59</f>
        <v/>
      </c>
      <c r="C231" t="inlineStr">
        <is>
          <t>mg</t>
        </is>
      </c>
    </row>
    <row r="232">
      <c r="A232" t="inlineStr">
        <is>
          <t>Campestanol</t>
        </is>
      </c>
      <c r="B232">
        <f>Ingredientes!IC59</f>
        <v/>
      </c>
      <c r="C232" t="inlineStr">
        <is>
          <t>mg</t>
        </is>
      </c>
    </row>
    <row r="233">
      <c r="A233" t="inlineStr">
        <is>
          <t>Beta-sitostanol</t>
        </is>
      </c>
      <c r="B233">
        <f>Ingredientes!ID59</f>
        <v/>
      </c>
      <c r="C233" t="inlineStr">
        <is>
          <t>mg</t>
        </is>
      </c>
    </row>
    <row r="234">
      <c r="A234" t="inlineStr">
        <is>
          <t>Delta-5-avenasterol</t>
        </is>
      </c>
      <c r="B234">
        <f>Ingredientes!IE59</f>
        <v/>
      </c>
      <c r="C234" t="inlineStr">
        <is>
          <t>mg</t>
        </is>
      </c>
    </row>
    <row r="235">
      <c r="A235" t="inlineStr">
        <is>
          <t>Phytosterols, other</t>
        </is>
      </c>
      <c r="B235">
        <f>Ingredientes!IF59</f>
        <v/>
      </c>
      <c r="C235" t="inlineStr">
        <is>
          <t>mg</t>
        </is>
      </c>
    </row>
    <row r="236">
      <c r="A236" t="inlineStr">
        <is>
          <t>Raffinose</t>
        </is>
      </c>
      <c r="B236">
        <f>Ingredientes!IG59</f>
        <v/>
      </c>
      <c r="C236" t="inlineStr">
        <is>
          <t>g</t>
        </is>
      </c>
    </row>
    <row r="237">
      <c r="A237" t="inlineStr">
        <is>
          <t>Stachyose</t>
        </is>
      </c>
      <c r="B237">
        <f>Ingredientes!IH59</f>
        <v/>
      </c>
      <c r="C237" t="inlineStr">
        <is>
          <t>g</t>
        </is>
      </c>
    </row>
    <row r="238">
      <c r="A238" t="inlineStr">
        <is>
          <t>Verbascose</t>
        </is>
      </c>
      <c r="B238">
        <f>Ingredientes!II59</f>
        <v/>
      </c>
      <c r="C238" t="inlineStr">
        <is>
          <t>g</t>
        </is>
      </c>
    </row>
    <row r="239">
      <c r="A239" t="inlineStr">
        <is>
          <t>Daidzein</t>
        </is>
      </c>
      <c r="B239">
        <f>Ingredientes!IJ59</f>
        <v/>
      </c>
      <c r="C239" t="inlineStr">
        <is>
          <t>mg</t>
        </is>
      </c>
    </row>
    <row r="240">
      <c r="A240" t="inlineStr">
        <is>
          <t>Genistein</t>
        </is>
      </c>
      <c r="B240">
        <f>Ingredientes!IK59</f>
        <v/>
      </c>
      <c r="C240" t="inlineStr">
        <is>
          <t>mg</t>
        </is>
      </c>
    </row>
    <row r="241">
      <c r="A241" t="inlineStr">
        <is>
          <t>Daidzin</t>
        </is>
      </c>
      <c r="B241">
        <f>Ingredientes!IL59</f>
        <v/>
      </c>
      <c r="C241" t="inlineStr">
        <is>
          <t>mg</t>
        </is>
      </c>
    </row>
    <row r="242">
      <c r="A242" t="inlineStr">
        <is>
          <t>Genistin</t>
        </is>
      </c>
      <c r="B242">
        <f>Ingredientes!IM59</f>
        <v/>
      </c>
      <c r="C242" t="inlineStr">
        <is>
          <t>mg</t>
        </is>
      </c>
    </row>
    <row r="243">
      <c r="A243" t="inlineStr">
        <is>
          <t>Glycitin</t>
        </is>
      </c>
      <c r="B243">
        <f>Ingredientes!IN59</f>
        <v/>
      </c>
      <c r="C243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2025-12-07T16:32:53Z</dcterms:created>
  <dcterms:modified xsi:type="dcterms:W3CDTF">2025-12-07T16:32:53Z</dcterms:modified>
</cp:coreProperties>
</file>