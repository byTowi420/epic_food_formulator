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>
      <c r="A1" s="1" t="inlineStr">
        <is>
          <t>Detalles de formulación</t>
        </is>
      </c>
      <c r="G1" s="2" t="inlineStr">
        <is>
          <t>Proximates</t>
        </is>
      </c>
      <c r="P1" s="3" t="inlineStr">
        <is>
          <t>Carbohydrates</t>
        </is>
      </c>
      <c r="X1" s="4" t="inlineStr">
        <is>
          <t>Minerals</t>
        </is>
      </c>
      <c r="AI1" s="5" t="inlineStr">
        <is>
          <t>Vitamins and Other Components</t>
        </is>
      </c>
      <c r="BL1" s="6" t="inlineStr">
        <is>
          <t>Lipids</t>
        </is>
      </c>
      <c r="CA1" s="7" t="inlineStr">
        <is>
          <t>Amino acids</t>
        </is>
      </c>
      <c r="CT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(kg)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fat (NLEA) (g)</t>
        </is>
      </c>
      <c r="M2" s="2" t="inlineStr">
        <is>
          <t>Total lipid (fat) (g)</t>
        </is>
      </c>
      <c r="N2" s="2" t="inlineStr">
        <is>
          <t>Ash (g)</t>
        </is>
      </c>
      <c r="O2" s="2" t="inlineStr">
        <is>
          <t>Carbohydrate, by difference (g)</t>
        </is>
      </c>
      <c r="P2" s="3" t="inlineStr">
        <is>
          <t>Fiber, total dietary (g)</t>
        </is>
      </c>
      <c r="Q2" s="3" t="inlineStr">
        <is>
          <t>Sugars, Total (g)</t>
        </is>
      </c>
      <c r="R2" s="3" t="inlineStr">
        <is>
          <t>Sucrose (g)</t>
        </is>
      </c>
      <c r="S2" s="3" t="inlineStr">
        <is>
          <t>Glucose (g)</t>
        </is>
      </c>
      <c r="T2" s="3" t="inlineStr">
        <is>
          <t>Fructose (g)</t>
        </is>
      </c>
      <c r="U2" s="3" t="inlineStr">
        <is>
          <t>Lactose (g)</t>
        </is>
      </c>
      <c r="V2" s="3" t="inlineStr">
        <is>
          <t>Maltose (g)</t>
        </is>
      </c>
      <c r="W2" s="3" t="inlineStr">
        <is>
          <t>Starch (g)</t>
        </is>
      </c>
      <c r="X2" s="4" t="inlineStr">
        <is>
          <t>Calcium, Ca (mg)</t>
        </is>
      </c>
      <c r="Y2" s="4" t="inlineStr">
        <is>
          <t>Iron, Fe (mg)</t>
        </is>
      </c>
      <c r="Z2" s="4" t="inlineStr">
        <is>
          <t>Magnesium, Mg (mg)</t>
        </is>
      </c>
      <c r="AA2" s="4" t="inlineStr">
        <is>
          <t>Phosphorus, P (mg)</t>
        </is>
      </c>
      <c r="AB2" s="4" t="inlineStr">
        <is>
          <t>Potassium, K (mg)</t>
        </is>
      </c>
      <c r="AC2" s="4" t="inlineStr">
        <is>
          <t>Sodium, Na (mg)</t>
        </is>
      </c>
      <c r="AD2" s="4" t="inlineStr">
        <is>
          <t>Zinc, Zn (mg)</t>
        </is>
      </c>
      <c r="AE2" s="4" t="inlineStr">
        <is>
          <t>Copper, Cu (mg)</t>
        </is>
      </c>
      <c r="AF2" s="4" t="inlineStr">
        <is>
          <t>Manganese, Mn (mg)</t>
        </is>
      </c>
      <c r="AG2" s="4" t="inlineStr">
        <is>
          <t>Iodine, I (µg)</t>
        </is>
      </c>
      <c r="AH2" s="4" t="inlineStr">
        <is>
          <t>Selenium, Se (µg)</t>
        </is>
      </c>
      <c r="AI2" s="5" t="inlineStr">
        <is>
          <t>Thiamin (mg)</t>
        </is>
      </c>
      <c r="AJ2" s="5" t="inlineStr">
        <is>
          <t>Riboflavin (mg)</t>
        </is>
      </c>
      <c r="AK2" s="5" t="inlineStr">
        <is>
          <t>Niacin (mg)</t>
        </is>
      </c>
      <c r="AL2" s="5" t="inlineStr">
        <is>
          <t>Vitamin B-6 (mg)</t>
        </is>
      </c>
      <c r="AM2" s="5" t="inlineStr">
        <is>
          <t>Folate, total (µg)</t>
        </is>
      </c>
      <c r="AN2" s="5" t="inlineStr">
        <is>
          <t>Choline, total (mg)</t>
        </is>
      </c>
      <c r="AO2" s="5" t="inlineStr">
        <is>
          <t>Vitamin B-12 (µg)</t>
        </is>
      </c>
      <c r="AP2" s="5" t="inlineStr">
        <is>
          <t>Vitamin A, RAE (µg)</t>
        </is>
      </c>
      <c r="AQ2" s="5" t="inlineStr">
        <is>
          <t>Vitamin D (D2 + D3) (µg)</t>
        </is>
      </c>
      <c r="AR2" s="5" t="inlineStr">
        <is>
          <t>Retinol (µg)</t>
        </is>
      </c>
      <c r="AS2" s="5" t="inlineStr">
        <is>
          <t>Carotene, beta (µg)</t>
        </is>
      </c>
      <c r="AT2" s="5" t="inlineStr">
        <is>
          <t>cis-beta-Carotene (µg)</t>
        </is>
      </c>
      <c r="AU2" s="5" t="inlineStr">
        <is>
          <t>trans-beta-Carotene (µg)</t>
        </is>
      </c>
      <c r="AV2" s="5" t="inlineStr">
        <is>
          <t>Carotene, alpha (µg)</t>
        </is>
      </c>
      <c r="AW2" s="5" t="inlineStr">
        <is>
          <t>Vitamin D (D2 + D3), International Units (iu)</t>
        </is>
      </c>
      <c r="AX2" s="5" t="inlineStr">
        <is>
          <t>Vitamin D2 (ergocalciferol) (µg)</t>
        </is>
      </c>
      <c r="AY2" s="5" t="inlineStr">
        <is>
          <t>Vitamin D3 (cholecalciferol) (µg)</t>
        </is>
      </c>
      <c r="AZ2" s="5" t="inlineStr">
        <is>
          <t>Lycopene (µg)</t>
        </is>
      </c>
      <c r="BA2" s="5" t="inlineStr">
        <is>
          <t>cis-Lycopene (µg)</t>
        </is>
      </c>
      <c r="BB2" s="5" t="inlineStr">
        <is>
          <t>trans-Lycopene (µg)</t>
        </is>
      </c>
      <c r="BC2" s="5" t="inlineStr">
        <is>
          <t>Lutein (µg)</t>
        </is>
      </c>
      <c r="BD2" s="5" t="inlineStr">
        <is>
          <t>Zeaxanthin (µg)</t>
        </is>
      </c>
      <c r="BE2" s="5" t="inlineStr">
        <is>
          <t>cis-Lutein/Zeaxanthin (µg)</t>
        </is>
      </c>
      <c r="BF2" s="5" t="inlineStr">
        <is>
          <t>Choline, free (mg)</t>
        </is>
      </c>
      <c r="BG2" s="5" t="inlineStr">
        <is>
          <t>Choline, from phosphocholine (mg)</t>
        </is>
      </c>
      <c r="BH2" s="5" t="inlineStr">
        <is>
          <t>Choline, from phosphatidyl choline (mg)</t>
        </is>
      </c>
      <c r="BI2" s="5" t="inlineStr">
        <is>
          <t>Choline, from glycerophosphocholine (mg)</t>
        </is>
      </c>
      <c r="BJ2" s="5" t="inlineStr">
        <is>
          <t>Betaine (mg)</t>
        </is>
      </c>
      <c r="BK2" s="5" t="inlineStr">
        <is>
          <t>Choline, from sphingomyelin (mg)</t>
        </is>
      </c>
      <c r="BL2" s="6" t="inlineStr">
        <is>
          <t>Fatty acids, total saturated (g)</t>
        </is>
      </c>
      <c r="BM2" s="6" t="inlineStr">
        <is>
          <t>Fatty acids, total monounsaturated (g)</t>
        </is>
      </c>
      <c r="BN2" s="6" t="inlineStr">
        <is>
          <t>Fatty acids, total polyunsaturated (g)</t>
        </is>
      </c>
      <c r="BO2" s="6" t="inlineStr">
        <is>
          <t>Cholesterol (mg)</t>
        </is>
      </c>
      <c r="BP2" s="6" t="inlineStr">
        <is>
          <t>SFA 14:0 (g)</t>
        </is>
      </c>
      <c r="BQ2" s="6" t="inlineStr">
        <is>
          <t>SFA 16:0 (g)</t>
        </is>
      </c>
      <c r="BR2" s="6" t="inlineStr">
        <is>
          <t>SFA 18:0 (g)</t>
        </is>
      </c>
      <c r="BS2" s="6" t="inlineStr">
        <is>
          <t>MUFA 16:1 c (g)</t>
        </is>
      </c>
      <c r="BT2" s="6" t="inlineStr">
        <is>
          <t>MUFA 18:1 c (g)</t>
        </is>
      </c>
      <c r="BU2" s="6" t="inlineStr">
        <is>
          <t>PUFA 18:2 n-6 c,c (g)</t>
        </is>
      </c>
      <c r="BV2" s="6" t="inlineStr">
        <is>
          <t>PUFA 18:3 n-6 c,c,c (g)</t>
        </is>
      </c>
      <c r="BW2" s="6" t="inlineStr">
        <is>
          <t>PUFA 18:2 c (g)</t>
        </is>
      </c>
      <c r="BX2" s="6" t="inlineStr">
        <is>
          <t>PUFA 18:3 c (g)</t>
        </is>
      </c>
      <c r="BY2" s="6" t="inlineStr">
        <is>
          <t>PUFA 20:3 c (g)</t>
        </is>
      </c>
      <c r="BZ2" s="6" t="inlineStr">
        <is>
          <t>PUFA 20:3 n-6 (g)</t>
        </is>
      </c>
      <c r="CA2" s="7" t="inlineStr">
        <is>
          <t>Tryptophan (g)</t>
        </is>
      </c>
      <c r="CB2" s="7" t="inlineStr">
        <is>
          <t>Threonine (g)</t>
        </is>
      </c>
      <c r="CC2" s="7" t="inlineStr">
        <is>
          <t>Isoleucine (g)</t>
        </is>
      </c>
      <c r="CD2" s="7" t="inlineStr">
        <is>
          <t>Leucine (g)</t>
        </is>
      </c>
      <c r="CE2" s="7" t="inlineStr">
        <is>
          <t>Lysine (g)</t>
        </is>
      </c>
      <c r="CF2" s="7" t="inlineStr">
        <is>
          <t>Methionine (g)</t>
        </is>
      </c>
      <c r="CG2" s="7" t="inlineStr">
        <is>
          <t>Phenylalanine (g)</t>
        </is>
      </c>
      <c r="CH2" s="7" t="inlineStr">
        <is>
          <t>Tyrosine (g)</t>
        </is>
      </c>
      <c r="CI2" s="7" t="inlineStr">
        <is>
          <t>Valine (g)</t>
        </is>
      </c>
      <c r="CJ2" s="7" t="inlineStr">
        <is>
          <t>Arginine (g)</t>
        </is>
      </c>
      <c r="CK2" s="7" t="inlineStr">
        <is>
          <t>Histidine (g)</t>
        </is>
      </c>
      <c r="CL2" s="7" t="inlineStr">
        <is>
          <t>Alanine (g)</t>
        </is>
      </c>
      <c r="CM2" s="7" t="inlineStr">
        <is>
          <t>Aspartic acid (g)</t>
        </is>
      </c>
      <c r="CN2" s="7" t="inlineStr">
        <is>
          <t>Glutamic acid (g)</t>
        </is>
      </c>
      <c r="CO2" s="7" t="inlineStr">
        <is>
          <t>Glycine (g)</t>
        </is>
      </c>
      <c r="CP2" s="7" t="inlineStr">
        <is>
          <t>Proline (g)</t>
        </is>
      </c>
      <c r="CQ2" s="7" t="inlineStr">
        <is>
          <t>Serine (g)</t>
        </is>
      </c>
      <c r="CR2" s="7" t="inlineStr">
        <is>
          <t>Hydroxyproline (g)</t>
        </is>
      </c>
      <c r="CS2" s="7" t="inlineStr">
        <is>
          <t>Cysteine (g)</t>
        </is>
      </c>
      <c r="CT2" s="8" t="inlineStr">
        <is>
          <t>25-hydroxycholecalciferol (µg)</t>
        </is>
      </c>
      <c r="CU2" s="8" t="inlineStr">
        <is>
          <t>Cryptoxanthin, beta (µg)</t>
        </is>
      </c>
      <c r="CV2" s="8" t="inlineStr">
        <is>
          <t>Cryptoxanthin, alpha (µg)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1</v>
      </c>
      <c r="F3" s="10">
        <f>E3/SUM($E$3:$E$3)</f>
        <v/>
      </c>
      <c r="G3" t="n">
        <v>75.8</v>
      </c>
      <c r="H3" t="n">
        <v>143.08</v>
      </c>
      <c r="I3" t="n">
        <v>598.6467200000001</v>
      </c>
      <c r="J3" t="n">
        <v>1.99</v>
      </c>
      <c r="K3" t="n">
        <v>12.4</v>
      </c>
      <c r="L3" t="n">
        <v>8.65</v>
      </c>
      <c r="M3" t="n">
        <v>9.960000000000001</v>
      </c>
      <c r="N3" t="n">
        <v>0.85</v>
      </c>
      <c r="O3" t="n">
        <v>0.96</v>
      </c>
      <c r="P3" t="n">
        <v>0</v>
      </c>
      <c r="Q3" t="n">
        <v>0.2</v>
      </c>
      <c r="R3" t="n">
        <v>0</v>
      </c>
      <c r="S3" t="n">
        <v>0.2</v>
      </c>
      <c r="T3" t="n">
        <v>0</v>
      </c>
      <c r="U3" t="n">
        <v>0</v>
      </c>
      <c r="V3" t="n">
        <v>0</v>
      </c>
      <c r="W3" t="n">
        <v>0</v>
      </c>
      <c r="X3" t="n">
        <v>48</v>
      </c>
      <c r="Y3" t="n">
        <v>1.67</v>
      </c>
      <c r="Z3" t="n">
        <v>11.4</v>
      </c>
      <c r="AA3" t="n">
        <v>184</v>
      </c>
      <c r="AB3" t="n">
        <v>132</v>
      </c>
      <c r="AC3" t="n">
        <v>129</v>
      </c>
      <c r="AD3" t="n">
        <v>1.24</v>
      </c>
      <c r="AE3" t="n">
        <v>0</v>
      </c>
      <c r="AF3" t="n">
        <v>0</v>
      </c>
      <c r="AG3" t="n">
        <v>49.1</v>
      </c>
      <c r="AH3" t="n">
        <v>31.1</v>
      </c>
      <c r="AI3" t="n">
        <v>0.077</v>
      </c>
      <c r="AJ3" t="n">
        <v>0.419</v>
      </c>
      <c r="AK3" t="n">
        <v>0</v>
      </c>
      <c r="AL3" t="n">
        <v>0.063</v>
      </c>
      <c r="AM3" t="n">
        <v>71</v>
      </c>
      <c r="AN3" t="n">
        <v>335</v>
      </c>
      <c r="AO3" t="n">
        <v>1.02</v>
      </c>
      <c r="AP3" t="n">
        <v>180</v>
      </c>
      <c r="AQ3" t="n">
        <v>2.46</v>
      </c>
      <c r="AR3" t="n">
        <v>179</v>
      </c>
      <c r="AS3" t="n">
        <v>0</v>
      </c>
      <c r="AT3" t="n">
        <v>0</v>
      </c>
      <c r="AU3" t="n">
        <v>0</v>
      </c>
      <c r="AV3" t="n">
        <v>0</v>
      </c>
      <c r="AW3" t="n">
        <v>98.40000000000001</v>
      </c>
      <c r="AX3" t="n">
        <v>0</v>
      </c>
      <c r="AY3" t="n">
        <v>2.46</v>
      </c>
      <c r="AZ3" t="n">
        <v>0</v>
      </c>
      <c r="BA3" t="n">
        <v>0</v>
      </c>
      <c r="BB3" t="n">
        <v>0</v>
      </c>
      <c r="BC3" t="n">
        <v>230</v>
      </c>
      <c r="BD3" t="n">
        <v>229</v>
      </c>
      <c r="BE3" t="n">
        <v>57</v>
      </c>
      <c r="BF3" t="n">
        <v>0.6</v>
      </c>
      <c r="BG3" t="n">
        <v>309</v>
      </c>
      <c r="BH3" t="n">
        <v>0.2</v>
      </c>
      <c r="BI3" t="n">
        <v>0.2</v>
      </c>
      <c r="BJ3" t="n">
        <v>0.3</v>
      </c>
      <c r="BK3" t="n">
        <v>25.1</v>
      </c>
      <c r="BL3" t="n">
        <v>3.2</v>
      </c>
      <c r="BM3" t="n">
        <v>3.63</v>
      </c>
      <c r="BN3" t="n">
        <v>1.82</v>
      </c>
      <c r="BO3" t="n">
        <v>411</v>
      </c>
      <c r="BP3" t="n">
        <v>0.032</v>
      </c>
      <c r="BQ3" t="n">
        <v>2.32</v>
      </c>
      <c r="BR3" t="n">
        <v>0.8129999999999999</v>
      </c>
      <c r="BS3" t="n">
        <v>0.238</v>
      </c>
      <c r="BT3" t="n">
        <v>3.35</v>
      </c>
      <c r="BU3" t="n">
        <v>1.46</v>
      </c>
      <c r="BV3" t="n">
        <v>0.011</v>
      </c>
      <c r="BW3" t="n">
        <v>1.46</v>
      </c>
      <c r="BX3" t="n">
        <v>0.011</v>
      </c>
      <c r="BY3" t="n">
        <v>0.02</v>
      </c>
      <c r="BZ3" t="n">
        <v>0.02</v>
      </c>
      <c r="CA3" t="n">
        <v>0.166</v>
      </c>
      <c r="CB3" t="n">
        <v>0.594</v>
      </c>
      <c r="CC3" t="n">
        <v>0.616</v>
      </c>
      <c r="CD3" t="n">
        <v>1.05</v>
      </c>
      <c r="CE3" t="n">
        <v>0.832</v>
      </c>
      <c r="CF3" t="n">
        <v>0.418</v>
      </c>
      <c r="CG3" t="n">
        <v>0.66</v>
      </c>
      <c r="CH3" t="n">
        <v>0.512</v>
      </c>
      <c r="CI3" t="n">
        <v>0.734</v>
      </c>
      <c r="CJ3" t="n">
        <v>0.787</v>
      </c>
      <c r="CK3" t="n">
        <v>0.283</v>
      </c>
      <c r="CL3" t="n">
        <v>0.667</v>
      </c>
      <c r="CM3" t="n">
        <v>1.27</v>
      </c>
      <c r="CN3" t="n">
        <v>1.63</v>
      </c>
      <c r="CO3" t="n">
        <v>0.408</v>
      </c>
      <c r="CP3" t="n">
        <v>0.5600000000000001</v>
      </c>
      <c r="CQ3" t="n">
        <v>0.919</v>
      </c>
      <c r="CR3" t="n">
        <v>0</v>
      </c>
      <c r="CS3" t="n">
        <v>0.385</v>
      </c>
      <c r="CT3" t="n">
        <v>0.5600000000000001</v>
      </c>
      <c r="CU3" t="n">
        <v>13</v>
      </c>
      <c r="CV3" t="n">
        <v>13</v>
      </c>
    </row>
    <row r="4">
      <c r="A4" t="inlineStr">
        <is>
          <t>Total</t>
        </is>
      </c>
      <c r="B4" t="inlineStr">
        <is>
          <t>Formulado</t>
        </is>
      </c>
      <c r="C4" t="inlineStr">
        <is>
          <t>Formulado</t>
        </is>
      </c>
      <c r="D4" t="inlineStr">
        <is>
          <t>Formulado</t>
        </is>
      </c>
      <c r="E4" s="11">
        <f>SUBTOTAL(9,E3:E3)</f>
        <v/>
      </c>
      <c r="F4" s="12" t="inlineStr">
        <is>
          <t>100%</t>
        </is>
      </c>
      <c r="G4" s="13">
        <f>SUMPRODUCT($F$3:$F$3,$G$3:$G$3)</f>
        <v/>
      </c>
      <c r="H4" s="13">
        <f>SUMPRODUCT($F$3:$F$3,$H$3:$H$3)</f>
        <v/>
      </c>
      <c r="I4" s="13">
        <f>SUMPRODUCT($F$3:$F$3,$I$3:$I$3)</f>
        <v/>
      </c>
      <c r="J4" s="13">
        <f>SUMPRODUCT($F$3:$F$3,$J$3:$J$3)</f>
        <v/>
      </c>
      <c r="K4" s="13">
        <f>SUMPRODUCT($F$3:$F$3,$K$3:$K$3)</f>
        <v/>
      </c>
      <c r="L4" s="13">
        <f>SUMPRODUCT($F$3:$F$3,$L$3:$L$3)</f>
        <v/>
      </c>
      <c r="M4" s="13">
        <f>SUMPRODUCT($F$3:$F$3,$M$3:$M$3)</f>
        <v/>
      </c>
      <c r="N4" s="13">
        <f>SUMPRODUCT($F$3:$F$3,$N$3:$N$3)</f>
        <v/>
      </c>
      <c r="O4" s="13">
        <f>SUMPRODUCT($F$3:$F$3,$O$3:$O$3)</f>
        <v/>
      </c>
      <c r="P4" s="13">
        <f>SUMPRODUCT($F$3:$F$3,$P$3:$P$3)</f>
        <v/>
      </c>
      <c r="Q4" s="13">
        <f>SUMPRODUCT($F$3:$F$3,$Q$3:$Q$3)</f>
        <v/>
      </c>
      <c r="R4" s="13">
        <f>SUMPRODUCT($F$3:$F$3,$R$3:$R$3)</f>
        <v/>
      </c>
      <c r="S4" s="13">
        <f>SUMPRODUCT($F$3:$F$3,$S$3:$S$3)</f>
        <v/>
      </c>
      <c r="T4" s="13">
        <f>SUMPRODUCT($F$3:$F$3,$T$3:$T$3)</f>
        <v/>
      </c>
      <c r="U4" s="13">
        <f>SUMPRODUCT($F$3:$F$3,$U$3:$U$3)</f>
        <v/>
      </c>
      <c r="V4" s="13">
        <f>SUMPRODUCT($F$3:$F$3,$V$3:$V$3)</f>
        <v/>
      </c>
      <c r="W4" s="13">
        <f>SUMPRODUCT($F$3:$F$3,$W$3:$W$3)</f>
        <v/>
      </c>
      <c r="X4" s="13">
        <f>SUMPRODUCT($F$3:$F$3,$X$3:$X$3)</f>
        <v/>
      </c>
      <c r="Y4" s="13">
        <f>SUMPRODUCT($F$3:$F$3,$Y$3:$Y$3)</f>
        <v/>
      </c>
      <c r="Z4" s="13">
        <f>SUMPRODUCT($F$3:$F$3,$Z$3:$Z$3)</f>
        <v/>
      </c>
      <c r="AA4" s="13">
        <f>SUMPRODUCT($F$3:$F$3,$AA$3:$AA$3)</f>
        <v/>
      </c>
      <c r="AB4" s="13">
        <f>SUMPRODUCT($F$3:$F$3,$AB$3:$AB$3)</f>
        <v/>
      </c>
      <c r="AC4" s="13">
        <f>SUMPRODUCT($F$3:$F$3,$AC$3:$AC$3)</f>
        <v/>
      </c>
      <c r="AD4" s="13">
        <f>SUMPRODUCT($F$3:$F$3,$AD$3:$AD$3)</f>
        <v/>
      </c>
      <c r="AE4" s="13">
        <f>SUMPRODUCT($F$3:$F$3,$AE$3:$AE$3)</f>
        <v/>
      </c>
      <c r="AF4" s="13">
        <f>SUMPRODUCT($F$3:$F$3,$AF$3:$AF$3)</f>
        <v/>
      </c>
      <c r="AG4" s="13">
        <f>SUMPRODUCT($F$3:$F$3,$AG$3:$AG$3)</f>
        <v/>
      </c>
      <c r="AH4" s="13">
        <f>SUMPRODUCT($F$3:$F$3,$AH$3:$AH$3)</f>
        <v/>
      </c>
      <c r="AI4" s="13">
        <f>SUMPRODUCT($F$3:$F$3,$AI$3:$AI$3)</f>
        <v/>
      </c>
      <c r="AJ4" s="13">
        <f>SUMPRODUCT($F$3:$F$3,$AJ$3:$AJ$3)</f>
        <v/>
      </c>
      <c r="AK4" s="13">
        <f>SUMPRODUCT($F$3:$F$3,$AK$3:$AK$3)</f>
        <v/>
      </c>
      <c r="AL4" s="13">
        <f>SUMPRODUCT($F$3:$F$3,$AL$3:$AL$3)</f>
        <v/>
      </c>
      <c r="AM4" s="13">
        <f>SUMPRODUCT($F$3:$F$3,$AM$3:$AM$3)</f>
        <v/>
      </c>
      <c r="AN4" s="13">
        <f>SUMPRODUCT($F$3:$F$3,$AN$3:$AN$3)</f>
        <v/>
      </c>
      <c r="AO4" s="13">
        <f>SUMPRODUCT($F$3:$F$3,$AO$3:$AO$3)</f>
        <v/>
      </c>
      <c r="AP4" s="13">
        <f>SUMPRODUCT($F$3:$F$3,$AP$3:$AP$3)</f>
        <v/>
      </c>
      <c r="AQ4" s="13">
        <f>SUMPRODUCT($F$3:$F$3,$AQ$3:$AQ$3)</f>
        <v/>
      </c>
      <c r="AR4" s="13">
        <f>SUMPRODUCT($F$3:$F$3,$AR$3:$AR$3)</f>
        <v/>
      </c>
      <c r="AS4" s="13">
        <f>SUMPRODUCT($F$3:$F$3,$AS$3:$AS$3)</f>
        <v/>
      </c>
      <c r="AT4" s="13">
        <f>SUMPRODUCT($F$3:$F$3,$AT$3:$AT$3)</f>
        <v/>
      </c>
      <c r="AU4" s="13">
        <f>SUMPRODUCT($F$3:$F$3,$AU$3:$AU$3)</f>
        <v/>
      </c>
      <c r="AV4" s="13">
        <f>SUMPRODUCT($F$3:$F$3,$AV$3:$AV$3)</f>
        <v/>
      </c>
      <c r="AW4" s="13">
        <f>SUMPRODUCT($F$3:$F$3,$AW$3:$AW$3)</f>
        <v/>
      </c>
      <c r="AX4" s="13">
        <f>SUMPRODUCT($F$3:$F$3,$AX$3:$AX$3)</f>
        <v/>
      </c>
      <c r="AY4" s="13">
        <f>SUMPRODUCT($F$3:$F$3,$AY$3:$AY$3)</f>
        <v/>
      </c>
      <c r="AZ4" s="13">
        <f>SUMPRODUCT($F$3:$F$3,$AZ$3:$AZ$3)</f>
        <v/>
      </c>
      <c r="BA4" s="13">
        <f>SUMPRODUCT($F$3:$F$3,$BA$3:$BA$3)</f>
        <v/>
      </c>
      <c r="BB4" s="13">
        <f>SUMPRODUCT($F$3:$F$3,$BB$3:$BB$3)</f>
        <v/>
      </c>
      <c r="BC4" s="13">
        <f>SUMPRODUCT($F$3:$F$3,$BC$3:$BC$3)</f>
        <v/>
      </c>
      <c r="BD4" s="13">
        <f>SUMPRODUCT($F$3:$F$3,$BD$3:$BD$3)</f>
        <v/>
      </c>
      <c r="BE4" s="13">
        <f>SUMPRODUCT($F$3:$F$3,$BE$3:$BE$3)</f>
        <v/>
      </c>
      <c r="BF4" s="13">
        <f>SUMPRODUCT($F$3:$F$3,$BF$3:$BF$3)</f>
        <v/>
      </c>
      <c r="BG4" s="13">
        <f>SUMPRODUCT($F$3:$F$3,$BG$3:$BG$3)</f>
        <v/>
      </c>
      <c r="BH4" s="13">
        <f>SUMPRODUCT($F$3:$F$3,$BH$3:$BH$3)</f>
        <v/>
      </c>
      <c r="BI4" s="13">
        <f>SUMPRODUCT($F$3:$F$3,$BI$3:$BI$3)</f>
        <v/>
      </c>
      <c r="BJ4" s="13">
        <f>SUMPRODUCT($F$3:$F$3,$BJ$3:$BJ$3)</f>
        <v/>
      </c>
      <c r="BK4" s="13">
        <f>SUMPRODUCT($F$3:$F$3,$BK$3:$BK$3)</f>
        <v/>
      </c>
      <c r="BL4" s="13">
        <f>SUMPRODUCT($F$3:$F$3,$BL$3:$BL$3)</f>
        <v/>
      </c>
      <c r="BM4" s="13">
        <f>SUMPRODUCT($F$3:$F$3,$BM$3:$BM$3)</f>
        <v/>
      </c>
      <c r="BN4" s="13">
        <f>SUMPRODUCT($F$3:$F$3,$BN$3:$BN$3)</f>
        <v/>
      </c>
      <c r="BO4" s="13">
        <f>SUMPRODUCT($F$3:$F$3,$BO$3:$BO$3)</f>
        <v/>
      </c>
      <c r="BP4" s="13">
        <f>SUMPRODUCT($F$3:$F$3,$BP$3:$BP$3)</f>
        <v/>
      </c>
      <c r="BQ4" s="13">
        <f>SUMPRODUCT($F$3:$F$3,$BQ$3:$BQ$3)</f>
        <v/>
      </c>
      <c r="BR4" s="13">
        <f>SUMPRODUCT($F$3:$F$3,$BR$3:$BR$3)</f>
        <v/>
      </c>
      <c r="BS4" s="13">
        <f>SUMPRODUCT($F$3:$F$3,$BS$3:$BS$3)</f>
        <v/>
      </c>
      <c r="BT4" s="13">
        <f>SUMPRODUCT($F$3:$F$3,$BT$3:$BT$3)</f>
        <v/>
      </c>
      <c r="BU4" s="13">
        <f>SUMPRODUCT($F$3:$F$3,$BU$3:$BU$3)</f>
        <v/>
      </c>
      <c r="BV4" s="13">
        <f>SUMPRODUCT($F$3:$F$3,$BV$3:$BV$3)</f>
        <v/>
      </c>
      <c r="BW4" s="13">
        <f>SUMPRODUCT($F$3:$F$3,$BW$3:$BW$3)</f>
        <v/>
      </c>
      <c r="BX4" s="13">
        <f>SUMPRODUCT($F$3:$F$3,$BX$3:$BX$3)</f>
        <v/>
      </c>
      <c r="BY4" s="13">
        <f>SUMPRODUCT($F$3:$F$3,$BY$3:$BY$3)</f>
        <v/>
      </c>
      <c r="BZ4" s="13">
        <f>SUMPRODUCT($F$3:$F$3,$BZ$3:$BZ$3)</f>
        <v/>
      </c>
      <c r="CA4" s="13">
        <f>SUMPRODUCT($F$3:$F$3,$CA$3:$CA$3)</f>
        <v/>
      </c>
      <c r="CB4" s="13">
        <f>SUMPRODUCT($F$3:$F$3,$CB$3:$CB$3)</f>
        <v/>
      </c>
      <c r="CC4" s="13">
        <f>SUMPRODUCT($F$3:$F$3,$CC$3:$CC$3)</f>
        <v/>
      </c>
      <c r="CD4" s="13">
        <f>SUMPRODUCT($F$3:$F$3,$CD$3:$CD$3)</f>
        <v/>
      </c>
      <c r="CE4" s="13">
        <f>SUMPRODUCT($F$3:$F$3,$CE$3:$CE$3)</f>
        <v/>
      </c>
      <c r="CF4" s="13">
        <f>SUMPRODUCT($F$3:$F$3,$CF$3:$CF$3)</f>
        <v/>
      </c>
      <c r="CG4" s="13">
        <f>SUMPRODUCT($F$3:$F$3,$CG$3:$CG$3)</f>
        <v/>
      </c>
      <c r="CH4" s="13">
        <f>SUMPRODUCT($F$3:$F$3,$CH$3:$CH$3)</f>
        <v/>
      </c>
      <c r="CI4" s="13">
        <f>SUMPRODUCT($F$3:$F$3,$CI$3:$CI$3)</f>
        <v/>
      </c>
      <c r="CJ4" s="13">
        <f>SUMPRODUCT($F$3:$F$3,$CJ$3:$CJ$3)</f>
        <v/>
      </c>
      <c r="CK4" s="13">
        <f>SUMPRODUCT($F$3:$F$3,$CK$3:$CK$3)</f>
        <v/>
      </c>
      <c r="CL4" s="13">
        <f>SUMPRODUCT($F$3:$F$3,$CL$3:$CL$3)</f>
        <v/>
      </c>
      <c r="CM4" s="13">
        <f>SUMPRODUCT($F$3:$F$3,$CM$3:$CM$3)</f>
        <v/>
      </c>
      <c r="CN4" s="13">
        <f>SUMPRODUCT($F$3:$F$3,$CN$3:$CN$3)</f>
        <v/>
      </c>
      <c r="CO4" s="13">
        <f>SUMPRODUCT($F$3:$F$3,$CO$3:$CO$3)</f>
        <v/>
      </c>
      <c r="CP4" s="13">
        <f>SUMPRODUCT($F$3:$F$3,$CP$3:$CP$3)</f>
        <v/>
      </c>
      <c r="CQ4" s="13">
        <f>SUMPRODUCT($F$3:$F$3,$CQ$3:$CQ$3)</f>
        <v/>
      </c>
      <c r="CR4" s="13">
        <f>SUMPRODUCT($F$3:$F$3,$CR$3:$CR$3)</f>
        <v/>
      </c>
      <c r="CS4" s="13">
        <f>SUMPRODUCT($F$3:$F$3,$CS$3:$CS$3)</f>
        <v/>
      </c>
      <c r="CT4" s="13">
        <f>SUMPRODUCT($F$3:$F$3,$CT$3:$CT$3)</f>
        <v/>
      </c>
      <c r="CU4" s="13">
        <f>SUMPRODUCT($F$3:$F$3,$CU$3:$CU$3)</f>
        <v/>
      </c>
      <c r="CV4" s="13">
        <f>SUMPRODUCT($F$3:$F$3,$CV$3:$CV$3)</f>
        <v/>
      </c>
    </row>
  </sheetData>
  <mergeCells count="8">
    <mergeCell ref="AI1:BK1"/>
    <mergeCell ref="G1:O1"/>
    <mergeCell ref="CT1:CV1"/>
    <mergeCell ref="A1:F1"/>
    <mergeCell ref="CA1:CS1"/>
    <mergeCell ref="X1:AH1"/>
    <mergeCell ref="BL1:BZ1"/>
    <mergeCell ref="P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Ingredientes!G4</f>
        <v/>
      </c>
      <c r="C2" t="inlineStr">
        <is>
          <t>g</t>
        </is>
      </c>
    </row>
    <row r="3">
      <c r="A3" t="inlineStr">
        <is>
          <t>Energy</t>
        </is>
      </c>
      <c r="B3">
        <f>Ingredientes!H4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Ingredientes!I4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Ingredientes!J4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Ingredientes!K4</f>
        <v/>
      </c>
      <c r="C6" t="inlineStr">
        <is>
          <t>g</t>
        </is>
      </c>
    </row>
    <row r="7">
      <c r="A7" t="inlineStr">
        <is>
          <t>Total fat (NLEA)</t>
        </is>
      </c>
      <c r="B7">
        <f>Ingredientes!L4</f>
        <v/>
      </c>
      <c r="C7" t="inlineStr">
        <is>
          <t>g</t>
        </is>
      </c>
    </row>
    <row r="8">
      <c r="A8" t="inlineStr">
        <is>
          <t>Total lipid (fat)</t>
        </is>
      </c>
      <c r="B8">
        <f>Ingredientes!M4</f>
        <v/>
      </c>
      <c r="C8" t="inlineStr">
        <is>
          <t>g</t>
        </is>
      </c>
    </row>
    <row r="9">
      <c r="A9" t="inlineStr">
        <is>
          <t>Ash</t>
        </is>
      </c>
      <c r="B9">
        <f>Ingredientes!N4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Ingredientes!O4</f>
        <v/>
      </c>
      <c r="C10" t="inlineStr">
        <is>
          <t>g</t>
        </is>
      </c>
    </row>
    <row r="11">
      <c r="A11" t="inlineStr">
        <is>
          <t>Fiber, total dietary</t>
        </is>
      </c>
      <c r="B11">
        <f>Ingredientes!P4</f>
        <v/>
      </c>
      <c r="C11" t="inlineStr">
        <is>
          <t>g</t>
        </is>
      </c>
    </row>
    <row r="12">
      <c r="A12" t="inlineStr">
        <is>
          <t>Sugars, Total</t>
        </is>
      </c>
      <c r="B12">
        <f>Ingredientes!Q4</f>
        <v/>
      </c>
      <c r="C12" t="inlineStr">
        <is>
          <t>g</t>
        </is>
      </c>
    </row>
    <row r="13">
      <c r="A13" t="inlineStr">
        <is>
          <t>Sucrose</t>
        </is>
      </c>
      <c r="B13">
        <f>Ingredientes!R4</f>
        <v/>
      </c>
      <c r="C13" t="inlineStr">
        <is>
          <t>g</t>
        </is>
      </c>
    </row>
    <row r="14">
      <c r="A14" t="inlineStr">
        <is>
          <t>Glucose</t>
        </is>
      </c>
      <c r="B14">
        <f>Ingredientes!S4</f>
        <v/>
      </c>
      <c r="C14" t="inlineStr">
        <is>
          <t>g</t>
        </is>
      </c>
    </row>
    <row r="15">
      <c r="A15" t="inlineStr">
        <is>
          <t>Fructose</t>
        </is>
      </c>
      <c r="B15">
        <f>Ingredientes!T4</f>
        <v/>
      </c>
      <c r="C15" t="inlineStr">
        <is>
          <t>g</t>
        </is>
      </c>
    </row>
    <row r="16">
      <c r="A16" t="inlineStr">
        <is>
          <t>Lactose</t>
        </is>
      </c>
      <c r="B16">
        <f>Ingredientes!U4</f>
        <v/>
      </c>
      <c r="C16" t="inlineStr">
        <is>
          <t>g</t>
        </is>
      </c>
    </row>
    <row r="17">
      <c r="A17" t="inlineStr">
        <is>
          <t>Maltose</t>
        </is>
      </c>
      <c r="B17">
        <f>Ingredientes!V4</f>
        <v/>
      </c>
      <c r="C17" t="inlineStr">
        <is>
          <t>g</t>
        </is>
      </c>
    </row>
    <row r="18">
      <c r="A18" t="inlineStr">
        <is>
          <t>Starch</t>
        </is>
      </c>
      <c r="B18">
        <f>Ingredientes!W4</f>
        <v/>
      </c>
      <c r="C18" t="inlineStr">
        <is>
          <t>g</t>
        </is>
      </c>
    </row>
    <row r="19">
      <c r="A19" t="inlineStr">
        <is>
          <t>Calcium, Ca</t>
        </is>
      </c>
      <c r="B19">
        <f>Ingredientes!X4</f>
        <v/>
      </c>
      <c r="C19" t="inlineStr">
        <is>
          <t>mg</t>
        </is>
      </c>
    </row>
    <row r="20">
      <c r="A20" t="inlineStr">
        <is>
          <t>Iron, Fe</t>
        </is>
      </c>
      <c r="B20">
        <f>Ingredientes!Y4</f>
        <v/>
      </c>
      <c r="C20" t="inlineStr">
        <is>
          <t>mg</t>
        </is>
      </c>
    </row>
    <row r="21">
      <c r="A21" t="inlineStr">
        <is>
          <t>Magnesium, Mg</t>
        </is>
      </c>
      <c r="B21">
        <f>Ingredientes!Z4</f>
        <v/>
      </c>
      <c r="C21" t="inlineStr">
        <is>
          <t>mg</t>
        </is>
      </c>
    </row>
    <row r="22">
      <c r="A22" t="inlineStr">
        <is>
          <t>Phosphorus, P</t>
        </is>
      </c>
      <c r="B22">
        <f>Ingredientes!AA4</f>
        <v/>
      </c>
      <c r="C22" t="inlineStr">
        <is>
          <t>mg</t>
        </is>
      </c>
    </row>
    <row r="23">
      <c r="A23" t="inlineStr">
        <is>
          <t>Potassium, K</t>
        </is>
      </c>
      <c r="B23">
        <f>Ingredientes!AB4</f>
        <v/>
      </c>
      <c r="C23" t="inlineStr">
        <is>
          <t>mg</t>
        </is>
      </c>
    </row>
    <row r="24">
      <c r="A24" t="inlineStr">
        <is>
          <t>Sodium, Na</t>
        </is>
      </c>
      <c r="B24">
        <f>Ingredientes!AC4</f>
        <v/>
      </c>
      <c r="C24" t="inlineStr">
        <is>
          <t>mg</t>
        </is>
      </c>
    </row>
    <row r="25">
      <c r="A25" t="inlineStr">
        <is>
          <t>Zinc, Zn</t>
        </is>
      </c>
      <c r="B25">
        <f>Ingredientes!AD4</f>
        <v/>
      </c>
      <c r="C25" t="inlineStr">
        <is>
          <t>mg</t>
        </is>
      </c>
    </row>
    <row r="26">
      <c r="A26" t="inlineStr">
        <is>
          <t>Copper, Cu</t>
        </is>
      </c>
      <c r="B26">
        <f>Ingredientes!AE4</f>
        <v/>
      </c>
      <c r="C26" t="inlineStr">
        <is>
          <t>mg</t>
        </is>
      </c>
    </row>
    <row r="27">
      <c r="A27" t="inlineStr">
        <is>
          <t>Manganese, Mn</t>
        </is>
      </c>
      <c r="B27">
        <f>Ingredientes!AF4</f>
        <v/>
      </c>
      <c r="C27" t="inlineStr">
        <is>
          <t>mg</t>
        </is>
      </c>
    </row>
    <row r="28">
      <c r="A28" t="inlineStr">
        <is>
          <t>Iodine, I</t>
        </is>
      </c>
      <c r="B28">
        <f>Ingredientes!AG4</f>
        <v/>
      </c>
      <c r="C28" t="inlineStr">
        <is>
          <t>µg</t>
        </is>
      </c>
    </row>
    <row r="29">
      <c r="A29" t="inlineStr">
        <is>
          <t>Selenium, Se</t>
        </is>
      </c>
      <c r="B29">
        <f>Ingredientes!AH4</f>
        <v/>
      </c>
      <c r="C29" t="inlineStr">
        <is>
          <t>µg</t>
        </is>
      </c>
    </row>
    <row r="30">
      <c r="A30" t="inlineStr">
        <is>
          <t>Thiamin</t>
        </is>
      </c>
      <c r="B30">
        <f>Ingredientes!AI4</f>
        <v/>
      </c>
      <c r="C30" t="inlineStr">
        <is>
          <t>mg</t>
        </is>
      </c>
    </row>
    <row r="31">
      <c r="A31" t="inlineStr">
        <is>
          <t>Riboflavin</t>
        </is>
      </c>
      <c r="B31">
        <f>Ingredientes!AJ4</f>
        <v/>
      </c>
      <c r="C31" t="inlineStr">
        <is>
          <t>mg</t>
        </is>
      </c>
    </row>
    <row r="32">
      <c r="A32" t="inlineStr">
        <is>
          <t>Niacin</t>
        </is>
      </c>
      <c r="B32">
        <f>Ingredientes!AK4</f>
        <v/>
      </c>
      <c r="C32" t="inlineStr">
        <is>
          <t>mg</t>
        </is>
      </c>
    </row>
    <row r="33">
      <c r="A33" t="inlineStr">
        <is>
          <t>Vitamin B-6</t>
        </is>
      </c>
      <c r="B33">
        <f>Ingredientes!AL4</f>
        <v/>
      </c>
      <c r="C33" t="inlineStr">
        <is>
          <t>mg</t>
        </is>
      </c>
    </row>
    <row r="34">
      <c r="A34" t="inlineStr">
        <is>
          <t>Folate, total</t>
        </is>
      </c>
      <c r="B34">
        <f>Ingredientes!AM4</f>
        <v/>
      </c>
      <c r="C34" t="inlineStr">
        <is>
          <t>µg</t>
        </is>
      </c>
    </row>
    <row r="35">
      <c r="A35" t="inlineStr">
        <is>
          <t>Choline, total</t>
        </is>
      </c>
      <c r="B35">
        <f>Ingredientes!AN4</f>
        <v/>
      </c>
      <c r="C35" t="inlineStr">
        <is>
          <t>mg</t>
        </is>
      </c>
    </row>
    <row r="36">
      <c r="A36" t="inlineStr">
        <is>
          <t>Vitamin B-12</t>
        </is>
      </c>
      <c r="B36">
        <f>Ingredientes!AO4</f>
        <v/>
      </c>
      <c r="C36" t="inlineStr">
        <is>
          <t>µg</t>
        </is>
      </c>
    </row>
    <row r="37">
      <c r="A37" t="inlineStr">
        <is>
          <t>Vitamin A, RAE</t>
        </is>
      </c>
      <c r="B37">
        <f>Ingredientes!AP4</f>
        <v/>
      </c>
      <c r="C37" t="inlineStr">
        <is>
          <t>µg</t>
        </is>
      </c>
    </row>
    <row r="38">
      <c r="A38" t="inlineStr">
        <is>
          <t>Vitamin D (D2 + D3)</t>
        </is>
      </c>
      <c r="B38">
        <f>Ingredientes!AQ4</f>
        <v/>
      </c>
      <c r="C38" t="inlineStr">
        <is>
          <t>µg</t>
        </is>
      </c>
    </row>
    <row r="39">
      <c r="A39" t="inlineStr">
        <is>
          <t>Retinol</t>
        </is>
      </c>
      <c r="B39">
        <f>Ingredientes!AR4</f>
        <v/>
      </c>
      <c r="C39" t="inlineStr">
        <is>
          <t>µg</t>
        </is>
      </c>
    </row>
    <row r="40">
      <c r="A40" t="inlineStr">
        <is>
          <t>Carotene, beta</t>
        </is>
      </c>
      <c r="B40">
        <f>Ingredientes!AS4</f>
        <v/>
      </c>
      <c r="C40" t="inlineStr">
        <is>
          <t>µg</t>
        </is>
      </c>
    </row>
    <row r="41">
      <c r="A41" t="inlineStr">
        <is>
          <t>cis-beta-Carotene</t>
        </is>
      </c>
      <c r="B41">
        <f>Ingredientes!AT4</f>
        <v/>
      </c>
      <c r="C41" t="inlineStr">
        <is>
          <t>µg</t>
        </is>
      </c>
    </row>
    <row r="42">
      <c r="A42" t="inlineStr">
        <is>
          <t>trans-beta-Carotene</t>
        </is>
      </c>
      <c r="B42">
        <f>Ingredientes!AU4</f>
        <v/>
      </c>
      <c r="C42" t="inlineStr">
        <is>
          <t>µg</t>
        </is>
      </c>
    </row>
    <row r="43">
      <c r="A43" t="inlineStr">
        <is>
          <t>Carotene, alpha</t>
        </is>
      </c>
      <c r="B43">
        <f>Ingredientes!AV4</f>
        <v/>
      </c>
      <c r="C43" t="inlineStr">
        <is>
          <t>µg</t>
        </is>
      </c>
    </row>
    <row r="44">
      <c r="A44" t="inlineStr">
        <is>
          <t>Vitamin D (D2 + D3), International Units</t>
        </is>
      </c>
      <c r="B44">
        <f>Ingredientes!AW4</f>
        <v/>
      </c>
      <c r="C44" t="inlineStr">
        <is>
          <t>iu</t>
        </is>
      </c>
    </row>
    <row r="45">
      <c r="A45" t="inlineStr">
        <is>
          <t>Vitamin D2 (ergocalciferol)</t>
        </is>
      </c>
      <c r="B45">
        <f>Ingredientes!AX4</f>
        <v/>
      </c>
      <c r="C45" t="inlineStr">
        <is>
          <t>µg</t>
        </is>
      </c>
    </row>
    <row r="46">
      <c r="A46" t="inlineStr">
        <is>
          <t>Vitamin D3 (cholecalciferol)</t>
        </is>
      </c>
      <c r="B46">
        <f>Ingredientes!AY4</f>
        <v/>
      </c>
      <c r="C46" t="inlineStr">
        <is>
          <t>µg</t>
        </is>
      </c>
    </row>
    <row r="47">
      <c r="A47" t="inlineStr">
        <is>
          <t>Lycopene</t>
        </is>
      </c>
      <c r="B47">
        <f>Ingredientes!AZ4</f>
        <v/>
      </c>
      <c r="C47" t="inlineStr">
        <is>
          <t>µg</t>
        </is>
      </c>
    </row>
    <row r="48">
      <c r="A48" t="inlineStr">
        <is>
          <t>cis-Lycopene</t>
        </is>
      </c>
      <c r="B48">
        <f>Ingredientes!BA4</f>
        <v/>
      </c>
      <c r="C48" t="inlineStr">
        <is>
          <t>µg</t>
        </is>
      </c>
    </row>
    <row r="49">
      <c r="A49" t="inlineStr">
        <is>
          <t>trans-Lycopene</t>
        </is>
      </c>
      <c r="B49">
        <f>Ingredientes!BB4</f>
        <v/>
      </c>
      <c r="C49" t="inlineStr">
        <is>
          <t>µg</t>
        </is>
      </c>
    </row>
    <row r="50">
      <c r="A50" t="inlineStr">
        <is>
          <t>Lutein</t>
        </is>
      </c>
      <c r="B50">
        <f>Ingredientes!BC4</f>
        <v/>
      </c>
      <c r="C50" t="inlineStr">
        <is>
          <t>µg</t>
        </is>
      </c>
    </row>
    <row r="51">
      <c r="A51" t="inlineStr">
        <is>
          <t>Zeaxanthin</t>
        </is>
      </c>
      <c r="B51">
        <f>Ingredientes!BD4</f>
        <v/>
      </c>
      <c r="C51" t="inlineStr">
        <is>
          <t>µg</t>
        </is>
      </c>
    </row>
    <row r="52">
      <c r="A52" t="inlineStr">
        <is>
          <t>cis-Lutein/Zeaxanthin</t>
        </is>
      </c>
      <c r="B52">
        <f>Ingredientes!BE4</f>
        <v/>
      </c>
      <c r="C52" t="inlineStr">
        <is>
          <t>µg</t>
        </is>
      </c>
    </row>
    <row r="53">
      <c r="A53" t="inlineStr">
        <is>
          <t>Choline, free</t>
        </is>
      </c>
      <c r="B53">
        <f>Ingredientes!BF4</f>
        <v/>
      </c>
      <c r="C53" t="inlineStr">
        <is>
          <t>mg</t>
        </is>
      </c>
    </row>
    <row r="54">
      <c r="A54" t="inlineStr">
        <is>
          <t>Choline, from phosphocholine</t>
        </is>
      </c>
      <c r="B54">
        <f>Ingredientes!BG4</f>
        <v/>
      </c>
      <c r="C54" t="inlineStr">
        <is>
          <t>mg</t>
        </is>
      </c>
    </row>
    <row r="55">
      <c r="A55" t="inlineStr">
        <is>
          <t>Choline, from phosphatidyl choline</t>
        </is>
      </c>
      <c r="B55">
        <f>Ingredientes!BH4</f>
        <v/>
      </c>
      <c r="C55" t="inlineStr">
        <is>
          <t>mg</t>
        </is>
      </c>
    </row>
    <row r="56">
      <c r="A56" t="inlineStr">
        <is>
          <t>Choline, from glycerophosphocholine</t>
        </is>
      </c>
      <c r="B56">
        <f>Ingredientes!BI4</f>
        <v/>
      </c>
      <c r="C56" t="inlineStr">
        <is>
          <t>mg</t>
        </is>
      </c>
    </row>
    <row r="57">
      <c r="A57" t="inlineStr">
        <is>
          <t>Betaine</t>
        </is>
      </c>
      <c r="B57">
        <f>Ingredientes!BJ4</f>
        <v/>
      </c>
      <c r="C57" t="inlineStr">
        <is>
          <t>mg</t>
        </is>
      </c>
    </row>
    <row r="58">
      <c r="A58" t="inlineStr">
        <is>
          <t>Choline, from sphingomyelin</t>
        </is>
      </c>
      <c r="B58">
        <f>Ingredientes!BK4</f>
        <v/>
      </c>
      <c r="C58" t="inlineStr">
        <is>
          <t>mg</t>
        </is>
      </c>
    </row>
    <row r="59">
      <c r="A59" t="inlineStr">
        <is>
          <t>Fatty acids, total saturated</t>
        </is>
      </c>
      <c r="B59">
        <f>Ingredientes!BL4</f>
        <v/>
      </c>
      <c r="C59" t="inlineStr">
        <is>
          <t>g</t>
        </is>
      </c>
    </row>
    <row r="60">
      <c r="A60" t="inlineStr">
        <is>
          <t>Fatty acids, total monounsaturated</t>
        </is>
      </c>
      <c r="B60">
        <f>Ingredientes!BM4</f>
        <v/>
      </c>
      <c r="C60" t="inlineStr">
        <is>
          <t>g</t>
        </is>
      </c>
    </row>
    <row r="61">
      <c r="A61" t="inlineStr">
        <is>
          <t>Fatty acids, total polyunsaturated</t>
        </is>
      </c>
      <c r="B61">
        <f>Ingredientes!BN4</f>
        <v/>
      </c>
      <c r="C61" t="inlineStr">
        <is>
          <t>g</t>
        </is>
      </c>
    </row>
    <row r="62">
      <c r="A62" t="inlineStr">
        <is>
          <t>Cholesterol</t>
        </is>
      </c>
      <c r="B62">
        <f>Ingredientes!BO4</f>
        <v/>
      </c>
      <c r="C62" t="inlineStr">
        <is>
          <t>mg</t>
        </is>
      </c>
    </row>
    <row r="63">
      <c r="A63" t="inlineStr">
        <is>
          <t>SFA 14:0</t>
        </is>
      </c>
      <c r="B63">
        <f>Ingredientes!BP4</f>
        <v/>
      </c>
      <c r="C63" t="inlineStr">
        <is>
          <t>g</t>
        </is>
      </c>
    </row>
    <row r="64">
      <c r="A64" t="inlineStr">
        <is>
          <t>SFA 16:0</t>
        </is>
      </c>
      <c r="B64">
        <f>Ingredientes!BQ4</f>
        <v/>
      </c>
      <c r="C64" t="inlineStr">
        <is>
          <t>g</t>
        </is>
      </c>
    </row>
    <row r="65">
      <c r="A65" t="inlineStr">
        <is>
          <t>SFA 18:0</t>
        </is>
      </c>
      <c r="B65">
        <f>Ingredientes!BR4</f>
        <v/>
      </c>
      <c r="C65" t="inlineStr">
        <is>
          <t>g</t>
        </is>
      </c>
    </row>
    <row r="66">
      <c r="A66" t="inlineStr">
        <is>
          <t>MUFA 16:1 c</t>
        </is>
      </c>
      <c r="B66">
        <f>Ingredientes!BS4</f>
        <v/>
      </c>
      <c r="C66" t="inlineStr">
        <is>
          <t>g</t>
        </is>
      </c>
    </row>
    <row r="67">
      <c r="A67" t="inlineStr">
        <is>
          <t>MUFA 18:1 c</t>
        </is>
      </c>
      <c r="B67">
        <f>Ingredientes!BT4</f>
        <v/>
      </c>
      <c r="C67" t="inlineStr">
        <is>
          <t>g</t>
        </is>
      </c>
    </row>
    <row r="68">
      <c r="A68" t="inlineStr">
        <is>
          <t>PUFA 18:2 n-6 c,c</t>
        </is>
      </c>
      <c r="B68">
        <f>Ingredientes!BU4</f>
        <v/>
      </c>
      <c r="C68" t="inlineStr">
        <is>
          <t>g</t>
        </is>
      </c>
    </row>
    <row r="69">
      <c r="A69" t="inlineStr">
        <is>
          <t>PUFA 18:3 n-6 c,c,c</t>
        </is>
      </c>
      <c r="B69">
        <f>Ingredientes!BV4</f>
        <v/>
      </c>
      <c r="C69" t="inlineStr">
        <is>
          <t>g</t>
        </is>
      </c>
    </row>
    <row r="70">
      <c r="A70" t="inlineStr">
        <is>
          <t>PUFA 18:2 c</t>
        </is>
      </c>
      <c r="B70">
        <f>Ingredientes!BW4</f>
        <v/>
      </c>
      <c r="C70" t="inlineStr">
        <is>
          <t>g</t>
        </is>
      </c>
    </row>
    <row r="71">
      <c r="A71" t="inlineStr">
        <is>
          <t>PUFA 18:3 c</t>
        </is>
      </c>
      <c r="B71">
        <f>Ingredientes!BX4</f>
        <v/>
      </c>
      <c r="C71" t="inlineStr">
        <is>
          <t>g</t>
        </is>
      </c>
    </row>
    <row r="72">
      <c r="A72" t="inlineStr">
        <is>
          <t>PUFA 20:3 c</t>
        </is>
      </c>
      <c r="B72">
        <f>Ingredientes!BY4</f>
        <v/>
      </c>
      <c r="C72" t="inlineStr">
        <is>
          <t>g</t>
        </is>
      </c>
    </row>
    <row r="73">
      <c r="A73" t="inlineStr">
        <is>
          <t>PUFA 20:3 n-6</t>
        </is>
      </c>
      <c r="B73">
        <f>Ingredientes!BZ4</f>
        <v/>
      </c>
      <c r="C73" t="inlineStr">
        <is>
          <t>g</t>
        </is>
      </c>
    </row>
    <row r="74">
      <c r="A74" t="inlineStr">
        <is>
          <t>Tryptophan</t>
        </is>
      </c>
      <c r="B74">
        <f>Ingredientes!CA4</f>
        <v/>
      </c>
      <c r="C74" t="inlineStr">
        <is>
          <t>g</t>
        </is>
      </c>
    </row>
    <row r="75">
      <c r="A75" t="inlineStr">
        <is>
          <t>Threonine</t>
        </is>
      </c>
      <c r="B75">
        <f>Ingredientes!CB4</f>
        <v/>
      </c>
      <c r="C75" t="inlineStr">
        <is>
          <t>g</t>
        </is>
      </c>
    </row>
    <row r="76">
      <c r="A76" t="inlineStr">
        <is>
          <t>Isoleucine</t>
        </is>
      </c>
      <c r="B76">
        <f>Ingredientes!CC4</f>
        <v/>
      </c>
      <c r="C76" t="inlineStr">
        <is>
          <t>g</t>
        </is>
      </c>
    </row>
    <row r="77">
      <c r="A77" t="inlineStr">
        <is>
          <t>Leucine</t>
        </is>
      </c>
      <c r="B77">
        <f>Ingredientes!CD4</f>
        <v/>
      </c>
      <c r="C77" t="inlineStr">
        <is>
          <t>g</t>
        </is>
      </c>
    </row>
    <row r="78">
      <c r="A78" t="inlineStr">
        <is>
          <t>Lysine</t>
        </is>
      </c>
      <c r="B78">
        <f>Ingredientes!CE4</f>
        <v/>
      </c>
      <c r="C78" t="inlineStr">
        <is>
          <t>g</t>
        </is>
      </c>
    </row>
    <row r="79">
      <c r="A79" t="inlineStr">
        <is>
          <t>Methionine</t>
        </is>
      </c>
      <c r="B79">
        <f>Ingredientes!CF4</f>
        <v/>
      </c>
      <c r="C79" t="inlineStr">
        <is>
          <t>g</t>
        </is>
      </c>
    </row>
    <row r="80">
      <c r="A80" t="inlineStr">
        <is>
          <t>Phenylalanine</t>
        </is>
      </c>
      <c r="B80">
        <f>Ingredientes!CG4</f>
        <v/>
      </c>
      <c r="C80" t="inlineStr">
        <is>
          <t>g</t>
        </is>
      </c>
    </row>
    <row r="81">
      <c r="A81" t="inlineStr">
        <is>
          <t>Tyrosine</t>
        </is>
      </c>
      <c r="B81">
        <f>Ingredientes!CH4</f>
        <v/>
      </c>
      <c r="C81" t="inlineStr">
        <is>
          <t>g</t>
        </is>
      </c>
    </row>
    <row r="82">
      <c r="A82" t="inlineStr">
        <is>
          <t>Valine</t>
        </is>
      </c>
      <c r="B82">
        <f>Ingredientes!CI4</f>
        <v/>
      </c>
      <c r="C82" t="inlineStr">
        <is>
          <t>g</t>
        </is>
      </c>
    </row>
    <row r="83">
      <c r="A83" t="inlineStr">
        <is>
          <t>Arginine</t>
        </is>
      </c>
      <c r="B83">
        <f>Ingredientes!CJ4</f>
        <v/>
      </c>
      <c r="C83" t="inlineStr">
        <is>
          <t>g</t>
        </is>
      </c>
    </row>
    <row r="84">
      <c r="A84" t="inlineStr">
        <is>
          <t>Histidine</t>
        </is>
      </c>
      <c r="B84">
        <f>Ingredientes!CK4</f>
        <v/>
      </c>
      <c r="C84" t="inlineStr">
        <is>
          <t>g</t>
        </is>
      </c>
    </row>
    <row r="85">
      <c r="A85" t="inlineStr">
        <is>
          <t>Alanine</t>
        </is>
      </c>
      <c r="B85">
        <f>Ingredientes!CL4</f>
        <v/>
      </c>
      <c r="C85" t="inlineStr">
        <is>
          <t>g</t>
        </is>
      </c>
    </row>
    <row r="86">
      <c r="A86" t="inlineStr">
        <is>
          <t>Aspartic acid</t>
        </is>
      </c>
      <c r="B86">
        <f>Ingredientes!CM4</f>
        <v/>
      </c>
      <c r="C86" t="inlineStr">
        <is>
          <t>g</t>
        </is>
      </c>
    </row>
    <row r="87">
      <c r="A87" t="inlineStr">
        <is>
          <t>Glutamic acid</t>
        </is>
      </c>
      <c r="B87">
        <f>Ingredientes!CN4</f>
        <v/>
      </c>
      <c r="C87" t="inlineStr">
        <is>
          <t>g</t>
        </is>
      </c>
    </row>
    <row r="88">
      <c r="A88" t="inlineStr">
        <is>
          <t>Glycine</t>
        </is>
      </c>
      <c r="B88">
        <f>Ingredientes!CO4</f>
        <v/>
      </c>
      <c r="C88" t="inlineStr">
        <is>
          <t>g</t>
        </is>
      </c>
    </row>
    <row r="89">
      <c r="A89" t="inlineStr">
        <is>
          <t>Proline</t>
        </is>
      </c>
      <c r="B89">
        <f>Ingredientes!CP4</f>
        <v/>
      </c>
      <c r="C89" t="inlineStr">
        <is>
          <t>g</t>
        </is>
      </c>
    </row>
    <row r="90">
      <c r="A90" t="inlineStr">
        <is>
          <t>Serine</t>
        </is>
      </c>
      <c r="B90">
        <f>Ingredientes!CQ4</f>
        <v/>
      </c>
      <c r="C90" t="inlineStr">
        <is>
          <t>g</t>
        </is>
      </c>
    </row>
    <row r="91">
      <c r="A91" t="inlineStr">
        <is>
          <t>Hydroxyproline</t>
        </is>
      </c>
      <c r="B91">
        <f>Ingredientes!CR4</f>
        <v/>
      </c>
      <c r="C91" t="inlineStr">
        <is>
          <t>g</t>
        </is>
      </c>
    </row>
    <row r="92">
      <c r="A92" t="inlineStr">
        <is>
          <t>Cysteine</t>
        </is>
      </c>
      <c r="B92">
        <f>Ingredientes!CS4</f>
        <v/>
      </c>
      <c r="C92" t="inlineStr">
        <is>
          <t>g</t>
        </is>
      </c>
    </row>
    <row r="93">
      <c r="A93" t="inlineStr">
        <is>
          <t>25-hydroxycholecalciferol</t>
        </is>
      </c>
      <c r="B93">
        <f>Ingredientes!CT4</f>
        <v/>
      </c>
      <c r="C93" t="inlineStr">
        <is>
          <t>µg</t>
        </is>
      </c>
    </row>
    <row r="94">
      <c r="A94" t="inlineStr">
        <is>
          <t>Cryptoxanthin, beta</t>
        </is>
      </c>
      <c r="B94">
        <f>Ingredientes!CU4</f>
        <v/>
      </c>
      <c r="C94" t="inlineStr">
        <is>
          <t>µg</t>
        </is>
      </c>
    </row>
    <row r="95">
      <c r="A95" t="inlineStr">
        <is>
          <t>Cryptoxanthin, alpha</t>
        </is>
      </c>
      <c r="B95">
        <f>Ingredientes!CV4</f>
        <v/>
      </c>
      <c r="C95" t="inlineStr">
        <is>
          <t>µg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2026-01-04T21:59:43Z</dcterms:created>
  <dcterms:modified xsi:type="dcterms:W3CDTF">2026-01-04T21:59:43Z</dcterms:modified>
</cp:coreProperties>
</file>