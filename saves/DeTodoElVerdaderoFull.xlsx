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saves/"/>
    </mc:Choice>
  </mc:AlternateContent>
  <xr:revisionPtr revIDLastSave="7" documentId="11_C5616EF49464DA7E4B1DF6B4205BDA163646F007" xr6:coauthVersionLast="47" xr6:coauthVersionMax="47" xr10:uidLastSave="{21A1D240-28A1-4EA5-9604-E43A55895F7A}"/>
  <bookViews>
    <workbookView xWindow="-108" yWindow="-108" windowWidth="23256" windowHeight="12456" xr2:uid="{00000000-000D-0000-FFFF-FFFF00000000}"/>
  </bookViews>
  <sheets>
    <sheet name="Ingredientes" sheetId="1" r:id="rId1"/>
    <sheet name="Totales" sheetId="2" r:id="rId2"/>
  </sheets>
  <definedNames>
    <definedName name="_xlnm._FilterDatabase" localSheetId="0" hidden="1">Ingredientes!$A$2:$HR$83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G51" i="1"/>
  <c r="G47" i="1"/>
  <c r="G49" i="1"/>
  <c r="G77" i="1"/>
  <c r="G82" i="1"/>
  <c r="G59" i="1"/>
  <c r="G50" i="1"/>
  <c r="G48" i="1"/>
  <c r="G52" i="1"/>
  <c r="G54" i="1"/>
  <c r="G53" i="1"/>
  <c r="E83" i="1"/>
  <c r="F55" i="1"/>
  <c r="F64" i="1"/>
  <c r="F57" i="1"/>
  <c r="F60" i="1"/>
  <c r="F43" i="1"/>
  <c r="F76" i="1"/>
  <c r="F67" i="1"/>
  <c r="F9" i="1"/>
  <c r="F33" i="1"/>
  <c r="F14" i="1"/>
  <c r="F68" i="1"/>
  <c r="F54" i="1"/>
  <c r="F32" i="1"/>
  <c r="F78" i="1"/>
  <c r="F24" i="1"/>
  <c r="F63" i="1"/>
  <c r="F74" i="1"/>
  <c r="F80" i="1"/>
  <c r="F52" i="1"/>
  <c r="F30" i="1"/>
  <c r="F48" i="1"/>
  <c r="F16" i="1"/>
  <c r="F50" i="1"/>
  <c r="F59" i="1"/>
  <c r="F21" i="1"/>
  <c r="F31" i="1"/>
  <c r="F18" i="1"/>
  <c r="F38" i="1"/>
  <c r="F82" i="1"/>
  <c r="F6" i="1"/>
  <c r="F22" i="1"/>
  <c r="F44" i="1"/>
  <c r="F28" i="1"/>
  <c r="F70" i="1"/>
  <c r="F37" i="1"/>
  <c r="F65" i="1"/>
  <c r="F81" i="1"/>
  <c r="F25" i="1"/>
  <c r="F27" i="1"/>
  <c r="F56" i="1"/>
  <c r="F34" i="1"/>
  <c r="F5" i="1"/>
  <c r="F71" i="1"/>
  <c r="F61" i="1"/>
  <c r="F10" i="1"/>
  <c r="F79" i="1"/>
  <c r="F46" i="1"/>
  <c r="F19" i="1"/>
  <c r="F45" i="1"/>
  <c r="F7" i="1"/>
  <c r="F62" i="1"/>
  <c r="F58" i="1"/>
  <c r="F77" i="1"/>
  <c r="F17" i="1"/>
  <c r="F73" i="1"/>
  <c r="F3" i="1"/>
  <c r="F36" i="1"/>
  <c r="F12" i="1"/>
  <c r="F49" i="1"/>
  <c r="F8" i="1"/>
  <c r="F72" i="1"/>
  <c r="F13" i="1"/>
  <c r="F20" i="1"/>
  <c r="F39" i="1"/>
  <c r="F4" i="1"/>
  <c r="F47" i="1"/>
  <c r="F26" i="1"/>
  <c r="F51" i="1"/>
  <c r="F42" i="1"/>
  <c r="F66" i="1"/>
  <c r="F40" i="1"/>
  <c r="F53" i="1"/>
  <c r="F11" i="1"/>
  <c r="F69" i="1"/>
  <c r="F29" i="1"/>
  <c r="F15" i="1"/>
  <c r="F35" i="1"/>
  <c r="F23" i="1"/>
  <c r="F41" i="1"/>
  <c r="F75" i="1"/>
  <c r="GZ83" i="1" l="1"/>
  <c r="B205" i="2" s="1"/>
  <c r="B4" i="2"/>
  <c r="HK83" i="1"/>
  <c r="B216" i="2" s="1"/>
  <c r="V83" i="1"/>
  <c r="B19" i="2" s="1"/>
  <c r="G83" i="1"/>
  <c r="B2" i="2" s="1"/>
  <c r="Q83" i="1"/>
  <c r="B14" i="2" s="1"/>
  <c r="AC83" i="1"/>
  <c r="B26" i="2" s="1"/>
  <c r="AO83" i="1"/>
  <c r="B38" i="2" s="1"/>
  <c r="BA83" i="1"/>
  <c r="B50" i="2" s="1"/>
  <c r="BM83" i="1"/>
  <c r="B62" i="2" s="1"/>
  <c r="BY83" i="1"/>
  <c r="B74" i="2" s="1"/>
  <c r="CK83" i="1"/>
  <c r="B86" i="2" s="1"/>
  <c r="CW83" i="1"/>
  <c r="B98" i="2" s="1"/>
  <c r="DI83" i="1"/>
  <c r="B110" i="2" s="1"/>
  <c r="DU83" i="1"/>
  <c r="B122" i="2" s="1"/>
  <c r="EG83" i="1"/>
  <c r="B134" i="2" s="1"/>
  <c r="ES83" i="1"/>
  <c r="B146" i="2" s="1"/>
  <c r="FE83" i="1"/>
  <c r="B158" i="2" s="1"/>
  <c r="FQ83" i="1"/>
  <c r="B170" i="2" s="1"/>
  <c r="GC83" i="1"/>
  <c r="B182" i="2" s="1"/>
  <c r="GO83" i="1"/>
  <c r="B194" i="2" s="1"/>
  <c r="HA83" i="1"/>
  <c r="B206" i="2" s="1"/>
  <c r="HM83" i="1"/>
  <c r="B218" i="2" s="1"/>
  <c r="S83" i="1"/>
  <c r="B16" i="2" s="1"/>
  <c r="AT83" i="1"/>
  <c r="B43" i="2" s="1"/>
  <c r="CD83" i="1"/>
  <c r="B79" i="2" s="1"/>
  <c r="DN83" i="1"/>
  <c r="B115" i="2" s="1"/>
  <c r="EX83" i="1"/>
  <c r="B151" i="2" s="1"/>
  <c r="P83" i="1"/>
  <c r="B13" i="2" s="1"/>
  <c r="AN83" i="1"/>
  <c r="B37" i="2" s="1"/>
  <c r="BL83" i="1"/>
  <c r="B61" i="2" s="1"/>
  <c r="CJ83" i="1"/>
  <c r="B85" i="2" s="1"/>
  <c r="DH83" i="1"/>
  <c r="B109" i="2" s="1"/>
  <c r="DT83" i="1"/>
  <c r="B121" i="2" s="1"/>
  <c r="EF83" i="1"/>
  <c r="B133" i="2" s="1"/>
  <c r="ER83" i="1"/>
  <c r="B145" i="2" s="1"/>
  <c r="FD83" i="1"/>
  <c r="B157" i="2" s="1"/>
  <c r="FP83" i="1"/>
  <c r="B169" i="2" s="1"/>
  <c r="GN83" i="1"/>
  <c r="B193" i="2" s="1"/>
  <c r="HL83" i="1"/>
  <c r="B217" i="2" s="1"/>
  <c r="B3" i="2"/>
  <c r="R83" i="1"/>
  <c r="B15" i="2" s="1"/>
  <c r="AD83" i="1"/>
  <c r="B27" i="2" s="1"/>
  <c r="AP83" i="1"/>
  <c r="B39" i="2" s="1"/>
  <c r="BB83" i="1"/>
  <c r="B51" i="2" s="1"/>
  <c r="BN83" i="1"/>
  <c r="B63" i="2" s="1"/>
  <c r="BZ83" i="1"/>
  <c r="B75" i="2" s="1"/>
  <c r="CL83" i="1"/>
  <c r="B87" i="2" s="1"/>
  <c r="CX83" i="1"/>
  <c r="B99" i="2" s="1"/>
  <c r="DJ83" i="1"/>
  <c r="B111" i="2" s="1"/>
  <c r="DV83" i="1"/>
  <c r="B123" i="2" s="1"/>
  <c r="EH83" i="1"/>
  <c r="B135" i="2" s="1"/>
  <c r="ET83" i="1"/>
  <c r="B147" i="2" s="1"/>
  <c r="FF83" i="1"/>
  <c r="B159" i="2" s="1"/>
  <c r="FR83" i="1"/>
  <c r="B171" i="2" s="1"/>
  <c r="GD83" i="1"/>
  <c r="B183" i="2" s="1"/>
  <c r="GP83" i="1"/>
  <c r="B195" i="2" s="1"/>
  <c r="HB83" i="1"/>
  <c r="B207" i="2" s="1"/>
  <c r="HN83" i="1"/>
  <c r="B219" i="2" s="1"/>
  <c r="BO83" i="1"/>
  <c r="B64" i="2" s="1"/>
  <c r="CA83" i="1"/>
  <c r="B76" i="2" s="1"/>
  <c r="CM83" i="1"/>
  <c r="B88" i="2" s="1"/>
  <c r="CY83" i="1"/>
  <c r="B100" i="2" s="1"/>
  <c r="DK83" i="1"/>
  <c r="B112" i="2" s="1"/>
  <c r="DW83" i="1"/>
  <c r="B124" i="2" s="1"/>
  <c r="EI83" i="1"/>
  <c r="B136" i="2" s="1"/>
  <c r="EU83" i="1"/>
  <c r="B148" i="2" s="1"/>
  <c r="FG83" i="1"/>
  <c r="B160" i="2" s="1"/>
  <c r="FS83" i="1"/>
  <c r="B172" i="2" s="1"/>
  <c r="GE83" i="1"/>
  <c r="B184" i="2" s="1"/>
  <c r="GQ83" i="1"/>
  <c r="B196" i="2" s="1"/>
  <c r="HC83" i="1"/>
  <c r="B208" i="2" s="1"/>
  <c r="HO83" i="1"/>
  <c r="B220" i="2" s="1"/>
  <c r="BC83" i="1"/>
  <c r="B52" i="2" s="1"/>
  <c r="H83" i="1"/>
  <c r="B5" i="2" s="1"/>
  <c r="T83" i="1"/>
  <c r="B17" i="2" s="1"/>
  <c r="AF83" i="1"/>
  <c r="B29" i="2" s="1"/>
  <c r="AR83" i="1"/>
  <c r="B41" i="2" s="1"/>
  <c r="BD83" i="1"/>
  <c r="B53" i="2" s="1"/>
  <c r="BP83" i="1"/>
  <c r="B65" i="2" s="1"/>
  <c r="CB83" i="1"/>
  <c r="B77" i="2" s="1"/>
  <c r="CN83" i="1"/>
  <c r="B89" i="2" s="1"/>
  <c r="CZ83" i="1"/>
  <c r="B101" i="2" s="1"/>
  <c r="DL83" i="1"/>
  <c r="B113" i="2" s="1"/>
  <c r="DX83" i="1"/>
  <c r="B125" i="2" s="1"/>
  <c r="EJ83" i="1"/>
  <c r="B137" i="2" s="1"/>
  <c r="EV83" i="1"/>
  <c r="B149" i="2" s="1"/>
  <c r="FH83" i="1"/>
  <c r="B161" i="2" s="1"/>
  <c r="FT83" i="1"/>
  <c r="B173" i="2" s="1"/>
  <c r="GF83" i="1"/>
  <c r="B185" i="2" s="1"/>
  <c r="GR83" i="1"/>
  <c r="B197" i="2" s="1"/>
  <c r="HD83" i="1"/>
  <c r="B209" i="2" s="1"/>
  <c r="HP83" i="1"/>
  <c r="B221" i="2" s="1"/>
  <c r="AE83" i="1"/>
  <c r="B28" i="2" s="1"/>
  <c r="AQ83" i="1"/>
  <c r="B40" i="2" s="1"/>
  <c r="I83" i="1"/>
  <c r="B6" i="2" s="1"/>
  <c r="U83" i="1"/>
  <c r="B18" i="2" s="1"/>
  <c r="AG83" i="1"/>
  <c r="B30" i="2" s="1"/>
  <c r="AS83" i="1"/>
  <c r="B42" i="2" s="1"/>
  <c r="BE83" i="1"/>
  <c r="B54" i="2" s="1"/>
  <c r="BQ83" i="1"/>
  <c r="B66" i="2" s="1"/>
  <c r="CC83" i="1"/>
  <c r="B78" i="2" s="1"/>
  <c r="CO83" i="1"/>
  <c r="B90" i="2" s="1"/>
  <c r="DA83" i="1"/>
  <c r="B102" i="2" s="1"/>
  <c r="DM83" i="1"/>
  <c r="B114" i="2" s="1"/>
  <c r="DY83" i="1"/>
  <c r="B126" i="2" s="1"/>
  <c r="EK83" i="1"/>
  <c r="B138" i="2" s="1"/>
  <c r="EW83" i="1"/>
  <c r="B150" i="2" s="1"/>
  <c r="FI83" i="1"/>
  <c r="B162" i="2" s="1"/>
  <c r="FU83" i="1"/>
  <c r="B174" i="2" s="1"/>
  <c r="GG83" i="1"/>
  <c r="B186" i="2" s="1"/>
  <c r="GS83" i="1"/>
  <c r="B198" i="2" s="1"/>
  <c r="HE83" i="1"/>
  <c r="B210" i="2" s="1"/>
  <c r="HQ83" i="1"/>
  <c r="B222" i="2" s="1"/>
  <c r="J83" i="1"/>
  <c r="B7" i="2" s="1"/>
  <c r="BF83" i="1"/>
  <c r="B55" i="2" s="1"/>
  <c r="DB83" i="1"/>
  <c r="B103" i="2" s="1"/>
  <c r="EL83" i="1"/>
  <c r="B139" i="2" s="1"/>
  <c r="FV83" i="1"/>
  <c r="B175" i="2" s="1"/>
  <c r="GH83" i="1"/>
  <c r="B187" i="2" s="1"/>
  <c r="GT83" i="1"/>
  <c r="B199" i="2" s="1"/>
  <c r="HF83" i="1"/>
  <c r="B211" i="2" s="1"/>
  <c r="HR83" i="1"/>
  <c r="B223" i="2" s="1"/>
  <c r="K83" i="1"/>
  <c r="B8" i="2" s="1"/>
  <c r="W83" i="1"/>
  <c r="B20" i="2" s="1"/>
  <c r="AI83" i="1"/>
  <c r="B32" i="2" s="1"/>
  <c r="AU83" i="1"/>
  <c r="B44" i="2" s="1"/>
  <c r="BG83" i="1"/>
  <c r="B56" i="2" s="1"/>
  <c r="BS83" i="1"/>
  <c r="B68" i="2" s="1"/>
  <c r="CE83" i="1"/>
  <c r="B80" i="2" s="1"/>
  <c r="CQ83" i="1"/>
  <c r="B92" i="2" s="1"/>
  <c r="DC83" i="1"/>
  <c r="B104" i="2" s="1"/>
  <c r="DO83" i="1"/>
  <c r="B116" i="2" s="1"/>
  <c r="EA83" i="1"/>
  <c r="B128" i="2" s="1"/>
  <c r="EM83" i="1"/>
  <c r="B140" i="2" s="1"/>
  <c r="EY83" i="1"/>
  <c r="B152" i="2" s="1"/>
  <c r="FK83" i="1"/>
  <c r="B164" i="2" s="1"/>
  <c r="FW83" i="1"/>
  <c r="B176" i="2" s="1"/>
  <c r="GI83" i="1"/>
  <c r="B188" i="2" s="1"/>
  <c r="GU83" i="1"/>
  <c r="B200" i="2" s="1"/>
  <c r="HG83" i="1"/>
  <c r="B212" i="2" s="1"/>
  <c r="L83" i="1"/>
  <c r="B9" i="2" s="1"/>
  <c r="X83" i="1"/>
  <c r="B21" i="2" s="1"/>
  <c r="AJ83" i="1"/>
  <c r="B33" i="2" s="1"/>
  <c r="AV83" i="1"/>
  <c r="B45" i="2" s="1"/>
  <c r="BH83" i="1"/>
  <c r="B57" i="2" s="1"/>
  <c r="BT83" i="1"/>
  <c r="B69" i="2" s="1"/>
  <c r="CF83" i="1"/>
  <c r="B81" i="2" s="1"/>
  <c r="CR83" i="1"/>
  <c r="B93" i="2" s="1"/>
  <c r="DD83" i="1"/>
  <c r="B105" i="2" s="1"/>
  <c r="DP83" i="1"/>
  <c r="B117" i="2" s="1"/>
  <c r="EB83" i="1"/>
  <c r="B129" i="2" s="1"/>
  <c r="EN83" i="1"/>
  <c r="B141" i="2" s="1"/>
  <c r="EZ83" i="1"/>
  <c r="B153" i="2" s="1"/>
  <c r="FL83" i="1"/>
  <c r="B165" i="2" s="1"/>
  <c r="FX83" i="1"/>
  <c r="B177" i="2" s="1"/>
  <c r="GJ83" i="1"/>
  <c r="B189" i="2" s="1"/>
  <c r="GV83" i="1"/>
  <c r="B201" i="2" s="1"/>
  <c r="HH83" i="1"/>
  <c r="B213" i="2" s="1"/>
  <c r="M83" i="1"/>
  <c r="B10" i="2" s="1"/>
  <c r="Y83" i="1"/>
  <c r="B22" i="2" s="1"/>
  <c r="AK83" i="1"/>
  <c r="B34" i="2" s="1"/>
  <c r="AW83" i="1"/>
  <c r="B46" i="2" s="1"/>
  <c r="BI83" i="1"/>
  <c r="B58" i="2" s="1"/>
  <c r="BU83" i="1"/>
  <c r="B70" i="2" s="1"/>
  <c r="CG83" i="1"/>
  <c r="B82" i="2" s="1"/>
  <c r="CS83" i="1"/>
  <c r="B94" i="2" s="1"/>
  <c r="DE83" i="1"/>
  <c r="B106" i="2" s="1"/>
  <c r="DQ83" i="1"/>
  <c r="B118" i="2" s="1"/>
  <c r="EC83" i="1"/>
  <c r="B130" i="2" s="1"/>
  <c r="EO83" i="1"/>
  <c r="B142" i="2" s="1"/>
  <c r="FA83" i="1"/>
  <c r="B154" i="2" s="1"/>
  <c r="FM83" i="1"/>
  <c r="B166" i="2" s="1"/>
  <c r="FY83" i="1"/>
  <c r="B178" i="2" s="1"/>
  <c r="GK83" i="1"/>
  <c r="B190" i="2" s="1"/>
  <c r="GW83" i="1"/>
  <c r="B202" i="2" s="1"/>
  <c r="HI83" i="1"/>
  <c r="B214" i="2" s="1"/>
  <c r="N83" i="1"/>
  <c r="B11" i="2" s="1"/>
  <c r="Z83" i="1"/>
  <c r="B23" i="2" s="1"/>
  <c r="AL83" i="1"/>
  <c r="B35" i="2" s="1"/>
  <c r="AX83" i="1"/>
  <c r="B47" i="2" s="1"/>
  <c r="BJ83" i="1"/>
  <c r="B59" i="2" s="1"/>
  <c r="BV83" i="1"/>
  <c r="B71" i="2" s="1"/>
  <c r="CH83" i="1"/>
  <c r="B83" i="2" s="1"/>
  <c r="CT83" i="1"/>
  <c r="B95" i="2" s="1"/>
  <c r="DF83" i="1"/>
  <c r="B107" i="2" s="1"/>
  <c r="DR83" i="1"/>
  <c r="B119" i="2" s="1"/>
  <c r="ED83" i="1"/>
  <c r="B131" i="2" s="1"/>
  <c r="EP83" i="1"/>
  <c r="B143" i="2" s="1"/>
  <c r="FB83" i="1"/>
  <c r="B155" i="2" s="1"/>
  <c r="FN83" i="1"/>
  <c r="B167" i="2" s="1"/>
  <c r="FZ83" i="1"/>
  <c r="B179" i="2" s="1"/>
  <c r="GL83" i="1"/>
  <c r="B191" i="2" s="1"/>
  <c r="GX83" i="1"/>
  <c r="B203" i="2" s="1"/>
  <c r="HJ83" i="1"/>
  <c r="B215" i="2" s="1"/>
  <c r="O83" i="1"/>
  <c r="B12" i="2" s="1"/>
  <c r="AA83" i="1"/>
  <c r="B24" i="2" s="1"/>
  <c r="AM83" i="1"/>
  <c r="B36" i="2" s="1"/>
  <c r="AY83" i="1"/>
  <c r="B48" i="2" s="1"/>
  <c r="BK83" i="1"/>
  <c r="B60" i="2" s="1"/>
  <c r="BW83" i="1"/>
  <c r="B72" i="2" s="1"/>
  <c r="CI83" i="1"/>
  <c r="B84" i="2" s="1"/>
  <c r="CU83" i="1"/>
  <c r="B96" i="2" s="1"/>
  <c r="DG83" i="1"/>
  <c r="B108" i="2" s="1"/>
  <c r="DS83" i="1"/>
  <c r="B120" i="2" s="1"/>
  <c r="EE83" i="1"/>
  <c r="B132" i="2" s="1"/>
  <c r="EQ83" i="1"/>
  <c r="B144" i="2" s="1"/>
  <c r="FC83" i="1"/>
  <c r="B156" i="2" s="1"/>
  <c r="FO83" i="1"/>
  <c r="B168" i="2" s="1"/>
  <c r="GA83" i="1"/>
  <c r="B180" i="2" s="1"/>
  <c r="GM83" i="1"/>
  <c r="B192" i="2" s="1"/>
  <c r="GY83" i="1"/>
  <c r="B204" i="2" s="1"/>
  <c r="AH83" i="1"/>
  <c r="B31" i="2" s="1"/>
  <c r="BR83" i="1"/>
  <c r="B67" i="2" s="1"/>
  <c r="CP83" i="1"/>
  <c r="B91" i="2" s="1"/>
  <c r="DZ83" i="1"/>
  <c r="B127" i="2" s="1"/>
  <c r="FJ83" i="1"/>
  <c r="B163" i="2" s="1"/>
  <c r="AB83" i="1"/>
  <c r="B25" i="2" s="1"/>
  <c r="AZ83" i="1"/>
  <c r="B49" i="2" s="1"/>
  <c r="BX83" i="1"/>
  <c r="B73" i="2" s="1"/>
  <c r="CV83" i="1"/>
  <c r="B97" i="2" s="1"/>
  <c r="GB83" i="1"/>
  <c r="B181" i="2" s="1"/>
</calcChain>
</file>

<file path=xl/sharedStrings.xml><?xml version="1.0" encoding="utf-8"?>
<sst xmlns="http://schemas.openxmlformats.org/spreadsheetml/2006/main" count="861" uniqueCount="558">
  <si>
    <t>Detalles de formulación</t>
  </si>
  <si>
    <t>Proximates</t>
  </si>
  <si>
    <t>Carbohydrates</t>
  </si>
  <si>
    <t>Minerals</t>
  </si>
  <si>
    <t>Vitamins and Other Components</t>
  </si>
  <si>
    <t>Lipids</t>
  </si>
  <si>
    <t>Amino acids</t>
  </si>
  <si>
    <t>Vitamin A</t>
  </si>
  <si>
    <t>Phytosterols</t>
  </si>
  <si>
    <t>Organic acids</t>
  </si>
  <si>
    <t>Oligosaccharides</t>
  </si>
  <si>
    <t>Isoflavones</t>
  </si>
  <si>
    <t>FDC ID</t>
  </si>
  <si>
    <t>Ingrediente</t>
  </si>
  <si>
    <t>Marca / Origen</t>
  </si>
  <si>
    <t>Tipo de dato</t>
  </si>
  <si>
    <t>Cantidad (g)</t>
  </si>
  <si>
    <t>Cantidad (%)</t>
  </si>
  <si>
    <t>Water (g)</t>
  </si>
  <si>
    <t>Energy (kcal)</t>
  </si>
  <si>
    <t>Energy (kJ)</t>
  </si>
  <si>
    <t>Nitrogen (g)</t>
  </si>
  <si>
    <t>Protein (g)</t>
  </si>
  <si>
    <t>Total fat (NLEA) (g)</t>
  </si>
  <si>
    <t>Total lipid (fat) (g)</t>
  </si>
  <si>
    <t>Ash (g)</t>
  </si>
  <si>
    <t>Carbohydrate, by difference (g)</t>
  </si>
  <si>
    <t>Fiber, total dietary (g)</t>
  </si>
  <si>
    <t>Fiber, soluble (g)</t>
  </si>
  <si>
    <t>Fiber, insoluble (g)</t>
  </si>
  <si>
    <t>Total dietary fiber (AOAC 2011.25) (g)</t>
  </si>
  <si>
    <t>High Molecular Weight Dietary Fiber (HMWDF) (g)</t>
  </si>
  <si>
    <t>Low Molecular Weight Dietary Fiber (LMWDF) (g)</t>
  </si>
  <si>
    <t>Sugars, Total (g)</t>
  </si>
  <si>
    <t>Sucrose (g)</t>
  </si>
  <si>
    <t>Glucose (g)</t>
  </si>
  <si>
    <t>Fructose (g)</t>
  </si>
  <si>
    <t>Lactose (g)</t>
  </si>
  <si>
    <t>Maltose (g)</t>
  </si>
  <si>
    <t>Galactose (g)</t>
  </si>
  <si>
    <t>Starch (g)</t>
  </si>
  <si>
    <t>Resistant starch (g)</t>
  </si>
  <si>
    <t>Sugars, added (g)</t>
  </si>
  <si>
    <t>Calcium, Ca (mg)</t>
  </si>
  <si>
    <t>Iron, Fe (mg)</t>
  </si>
  <si>
    <t>Magnesium, Mg (mg)</t>
  </si>
  <si>
    <t>Phosphorus, P (mg)</t>
  </si>
  <si>
    <t>Potassium, K (mg)</t>
  </si>
  <si>
    <t>Sodium, Na (mg)</t>
  </si>
  <si>
    <t>Zinc, Zn (mg)</t>
  </si>
  <si>
    <t>Copper, Cu (mg)</t>
  </si>
  <si>
    <t>Manganese, Mn (mg)</t>
  </si>
  <si>
    <t>Iodine, I (µg)</t>
  </si>
  <si>
    <t>Selenium, Se (µg)</t>
  </si>
  <si>
    <t>Fluoride, F (µg)</t>
  </si>
  <si>
    <t>Molybdenum, Mo (µg)</t>
  </si>
  <si>
    <t>Vitamin C, total ascorbic acid (mg)</t>
  </si>
  <si>
    <t>Thiamin (mg)</t>
  </si>
  <si>
    <t>Riboflavin (mg)</t>
  </si>
  <si>
    <t>Niacin (mg)</t>
  </si>
  <si>
    <t>Pantothenic acid (mg)</t>
  </si>
  <si>
    <t>Vitamin B-6 (mg)</t>
  </si>
  <si>
    <t>Biotin (µg)</t>
  </si>
  <si>
    <t>Folate, total (µg)</t>
  </si>
  <si>
    <t>Folic acid (µg)</t>
  </si>
  <si>
    <t>Folate, food (µg)</t>
  </si>
  <si>
    <t>Folate, DFE (µg)</t>
  </si>
  <si>
    <t>Choline, total (mg)</t>
  </si>
  <si>
    <t>Choline, free (mg)</t>
  </si>
  <si>
    <t>Choline, from phosphocholine (mg)</t>
  </si>
  <si>
    <t>Choline, from phosphotidyl choline (mg)</t>
  </si>
  <si>
    <t>Choline, from glycerophosphocholine (mg)</t>
  </si>
  <si>
    <t>Choline, from sphingomyelin (mg)</t>
  </si>
  <si>
    <t>Betaine (mg)</t>
  </si>
  <si>
    <t>Vitamin B-12 (µg)</t>
  </si>
  <si>
    <t>Vitamin B-12, added (µg)</t>
  </si>
  <si>
    <t>Vitamin A, RAE (µg)</t>
  </si>
  <si>
    <t>Retinol (µg)</t>
  </si>
  <si>
    <t>Carotene, beta (µg)</t>
  </si>
  <si>
    <t>cis-beta-Carotene (µg)</t>
  </si>
  <si>
    <t>trans-beta-Carotene (µg)</t>
  </si>
  <si>
    <t>Carotene, alpha (µg)</t>
  </si>
  <si>
    <t>Carotene, gamma (µg)</t>
  </si>
  <si>
    <t>Cryptoxanthin, beta (µg)</t>
  </si>
  <si>
    <t>Cryptoxanthin, alpha (µg)</t>
  </si>
  <si>
    <t>Vitamin A, IU (iu)</t>
  </si>
  <si>
    <t>Lycopene (µg)</t>
  </si>
  <si>
    <t>cis-Lycopene (µg)</t>
  </si>
  <si>
    <t>trans-Lycopene (µg)</t>
  </si>
  <si>
    <t>Lutein + zeaxanthin (µg)</t>
  </si>
  <si>
    <t>cis-Lutein/Zeaxanthin (µg)</t>
  </si>
  <si>
    <t>Lutein (µg)</t>
  </si>
  <si>
    <t>Zeaxanthin (µg)</t>
  </si>
  <si>
    <t>Phytoene (µg)</t>
  </si>
  <si>
    <t>Phytofluene (µg)</t>
  </si>
  <si>
    <t>Vitamin E (alpha-tocopherol) (mg)</t>
  </si>
  <si>
    <t>Vitamin E, added (mg)</t>
  </si>
  <si>
    <t>Tocopherol, beta (mg)</t>
  </si>
  <si>
    <t>Tocopherol, gamma (mg)</t>
  </si>
  <si>
    <t>Tocopherol, delta (mg)</t>
  </si>
  <si>
    <t>Tocotrienol, alpha (mg)</t>
  </si>
  <si>
    <t>Tocotrienol, beta (mg)</t>
  </si>
  <si>
    <t>Tocotrienol, gamma (mg)</t>
  </si>
  <si>
    <t>Tocotrienol, delta (mg)</t>
  </si>
  <si>
    <t>Vitamin D (D2 + D3), International Units (iu)</t>
  </si>
  <si>
    <t>Vitamin D (D2 + D3) (µg)</t>
  </si>
  <si>
    <t>Vitamin D2 (ergocalciferol) (µg)</t>
  </si>
  <si>
    <t>Vitamin D3 (cholecalciferol) (µg)</t>
  </si>
  <si>
    <t>25-hydroxycholecalciferol (µg)</t>
  </si>
  <si>
    <t>Vitamin K (phylloquinone) (µg)</t>
  </si>
  <si>
    <t>Fatty acids, total saturated (g)</t>
  </si>
  <si>
    <t>SFA 4:0 (g)</t>
  </si>
  <si>
    <t>SFA 5:0 (g)</t>
  </si>
  <si>
    <t>SFA 6:0 (g)</t>
  </si>
  <si>
    <t>SFA 7:0 (g)</t>
  </si>
  <si>
    <t>SFA 8:0 (g)</t>
  </si>
  <si>
    <t>SFA 9:0 (g)</t>
  </si>
  <si>
    <t>SFA 10:0 (g)</t>
  </si>
  <si>
    <t>SFA 11:0 (g)</t>
  </si>
  <si>
    <t>SFA 12:0 (g)</t>
  </si>
  <si>
    <t>SFA 13:0 (g)</t>
  </si>
  <si>
    <t>SFA 14:0 (g)</t>
  </si>
  <si>
    <t>SFA 15:0 (g)</t>
  </si>
  <si>
    <t>SFA 16:0 (g)</t>
  </si>
  <si>
    <t>SFA 17:0 (g)</t>
  </si>
  <si>
    <t>SFA 18:0 (g)</t>
  </si>
  <si>
    <t>SFA 20:0 (g)</t>
  </si>
  <si>
    <t>SFA 21:0 (g)</t>
  </si>
  <si>
    <t>SFA 22:0 (g)</t>
  </si>
  <si>
    <t>SFA 23:0 (g)</t>
  </si>
  <si>
    <t>SFA 24:0 (g)</t>
  </si>
  <si>
    <t>Fatty acids, total monounsaturated (g)</t>
  </si>
  <si>
    <t>MUFA 12:1 (g)</t>
  </si>
  <si>
    <t>MUFA 14:1 (g)</t>
  </si>
  <si>
    <t>MUFA 14:1 c (g)</t>
  </si>
  <si>
    <t>MUFA 15:1 (g)</t>
  </si>
  <si>
    <t>MUFA 16:1 (g)</t>
  </si>
  <si>
    <t>MUFA 16:1 c (g)</t>
  </si>
  <si>
    <t>MUFA 17:1 (g)</t>
  </si>
  <si>
    <t>MUFA 17:1 c (g)</t>
  </si>
  <si>
    <t>MUFA 18:1 (g)</t>
  </si>
  <si>
    <t>MUFA 18:1 c (g)</t>
  </si>
  <si>
    <t>MUFA 20:1 (g)</t>
  </si>
  <si>
    <t>MUFA 20:1 c (g)</t>
  </si>
  <si>
    <t>MUFA 22:1 (g)</t>
  </si>
  <si>
    <t>MUFA 22:1 c (g)</t>
  </si>
  <si>
    <t>MUFA 22:1 n-9 (g)</t>
  </si>
  <si>
    <t>MUFA 22:1 n-11 (g)</t>
  </si>
  <si>
    <t>MUFA 24:1 c (g)</t>
  </si>
  <si>
    <t>Fatty acids, total polyunsaturated (g)</t>
  </si>
  <si>
    <t>PUFA 18:2 (g)</t>
  </si>
  <si>
    <t>PUFA 18:2 c (g)</t>
  </si>
  <si>
    <t>PUFA 18:2 n-6 c,c (g)</t>
  </si>
  <si>
    <t>PUFA 18:2 CLAs (g)</t>
  </si>
  <si>
    <t>PUFA 18:2 i (g)</t>
  </si>
  <si>
    <t>PUFA 18:3 (g)</t>
  </si>
  <si>
    <t>PUFA 18:3 c (g)</t>
  </si>
  <si>
    <t>PUFA 18:3 n-3 c,c,c (ALA) (g)</t>
  </si>
  <si>
    <t>PUFA 18:3 n-6 c,c,c (g)</t>
  </si>
  <si>
    <t>PUFA 18:4 (g)</t>
  </si>
  <si>
    <t>PUFA 20:2 c (g)</t>
  </si>
  <si>
    <t>PUFA 20:2 n-6 c,c (g)</t>
  </si>
  <si>
    <t>PUFA 20:3 (g)</t>
  </si>
  <si>
    <t>PUFA 20:3 c (g)</t>
  </si>
  <si>
    <t>PUFA 20:3 n-3 (g)</t>
  </si>
  <si>
    <t>PUFA 20:3 n-6 (g)</t>
  </si>
  <si>
    <t>PUFA 20:3 n-9 (g)</t>
  </si>
  <si>
    <t>PUFA 22:3 (g)</t>
  </si>
  <si>
    <t>PUFA 20:4 (g)</t>
  </si>
  <si>
    <t>PUFA 20:4c (g)</t>
  </si>
  <si>
    <t>PUFA 20:5c (g)</t>
  </si>
  <si>
    <t>PUFA 20:5 n-3 (EPA) (g)</t>
  </si>
  <si>
    <t>PUFA 22:2 (g)</t>
  </si>
  <si>
    <t>PUFA 22:5 c (g)</t>
  </si>
  <si>
    <t>PUFA 22:4 (g)</t>
  </si>
  <si>
    <t>PUFA 22:5 n-3 (DPA) (g)</t>
  </si>
  <si>
    <t>PUFA 22:6 c (g)</t>
  </si>
  <si>
    <t>PUFA 22:6 n-3 (DHA) (g)</t>
  </si>
  <si>
    <t>Fatty acids, total trans (g)</t>
  </si>
  <si>
    <t>Fatty acids, total trans-monoenoic (g)</t>
  </si>
  <si>
    <t>TFA 14:1 t (g)</t>
  </si>
  <si>
    <t>TFA 16:1 t (g)</t>
  </si>
  <si>
    <t>TFA 18:1 t (g)</t>
  </si>
  <si>
    <t>TFA 20:1 t (g)</t>
  </si>
  <si>
    <t>TFA 22:1 t (g)</t>
  </si>
  <si>
    <t>Fatty acids, total trans-dienoic (g)</t>
  </si>
  <si>
    <t>TFA 18:2 t not further defined (g)</t>
  </si>
  <si>
    <t>TFA 18:2 t (g)</t>
  </si>
  <si>
    <t>TFA 18:2 t,t (g)</t>
  </si>
  <si>
    <t>Fatty acids, total trans-polyenoic (g)</t>
  </si>
  <si>
    <t>TFA 18:3 t (g)</t>
  </si>
  <si>
    <t>Cholesterol (mg)</t>
  </si>
  <si>
    <t>Phytosterols (mg)</t>
  </si>
  <si>
    <t>Tryptophan (g)</t>
  </si>
  <si>
    <t>Threonine (g)</t>
  </si>
  <si>
    <t>Isoleucine (g)</t>
  </si>
  <si>
    <t>Leucine (g)</t>
  </si>
  <si>
    <t>Lysine (g)</t>
  </si>
  <si>
    <t>Methionine (g)</t>
  </si>
  <si>
    <t>Cystine (g)</t>
  </si>
  <si>
    <t>Phenylalanine (g)</t>
  </si>
  <si>
    <t>Tyrosine (g)</t>
  </si>
  <si>
    <t>Valine (g)</t>
  </si>
  <si>
    <t>Arginine (g)</t>
  </si>
  <si>
    <t>Histidine (g)</t>
  </si>
  <si>
    <t>Alanine (g)</t>
  </si>
  <si>
    <t>Aspartic acid (g)</t>
  </si>
  <si>
    <t>Glutamic acid (g)</t>
  </si>
  <si>
    <t>Glycine (g)</t>
  </si>
  <si>
    <t>Proline (g)</t>
  </si>
  <si>
    <t>Serine (g)</t>
  </si>
  <si>
    <t>Hydroxyproline (g)</t>
  </si>
  <si>
    <t>Cysteine (g)</t>
  </si>
  <si>
    <t>Alcohol, ethyl (g)</t>
  </si>
  <si>
    <t>Caffeine (mg)</t>
  </si>
  <si>
    <t>Theobromine (mg)</t>
  </si>
  <si>
    <t>Vitamin K (Dihydrophylloquinone) (µg)</t>
  </si>
  <si>
    <t>Vitamin K (Menaquinone-4) (µg)</t>
  </si>
  <si>
    <t>Stigmasterol (mg)</t>
  </si>
  <si>
    <t>Campesterol (mg)</t>
  </si>
  <si>
    <t>Brassicasterol (mg)</t>
  </si>
  <si>
    <t>Beta-sitosterol (mg)</t>
  </si>
  <si>
    <t>Campestanol (mg)</t>
  </si>
  <si>
    <t>Beta-sitostanol (mg)</t>
  </si>
  <si>
    <t>Delta-5-avenasterol (mg)</t>
  </si>
  <si>
    <t>Phytosterols, other (mg)</t>
  </si>
  <si>
    <t>Citric acid (mg)</t>
  </si>
  <si>
    <t>Malic acid (mg)</t>
  </si>
  <si>
    <t>Oxalic acid (mg)</t>
  </si>
  <si>
    <t>Quinic acid (mg)</t>
  </si>
  <si>
    <t>Raffinose (g)</t>
  </si>
  <si>
    <t>Stachyose (g)</t>
  </si>
  <si>
    <t>Verbascose (g)</t>
  </si>
  <si>
    <t>Daidzein (mg)</t>
  </si>
  <si>
    <t>Genistein (mg)</t>
  </si>
  <si>
    <t>Daidzin (mg)</t>
  </si>
  <si>
    <t>Genistin (mg)</t>
  </si>
  <si>
    <t>Glycitin (mg)</t>
  </si>
  <si>
    <t>Nuts, almonds, whole, raw</t>
  </si>
  <si>
    <t>Foundation</t>
  </si>
  <si>
    <t>Oil, soybean</t>
  </si>
  <si>
    <t>Oil, canola</t>
  </si>
  <si>
    <t>SR Legacy</t>
  </si>
  <si>
    <t>Milk, lowfat, fluid, 1% milkfat, with added vitamin A and vitamin D</t>
  </si>
  <si>
    <t>Broccoli, frozen, chopped, cooked, boiled, drained, without salt</t>
  </si>
  <si>
    <t>Water, bottled, generic</t>
  </si>
  <si>
    <t>Carrots, fresh, cooked with oil</t>
  </si>
  <si>
    <t>Survey (FNDDS)</t>
  </si>
  <si>
    <t>Rice, white, long-grain, parboiled, unenriched, dry</t>
  </si>
  <si>
    <t>HUNTS Natural Tomato Ketchup, 13.5 OZ</t>
  </si>
  <si>
    <t>Conagra Brands Inc</t>
  </si>
  <si>
    <t>Branded</t>
  </si>
  <si>
    <t>Strawberries, raw</t>
  </si>
  <si>
    <t>Carrots, raw, salad</t>
  </si>
  <si>
    <t>Eggs, Grade A, Large, egg whole</t>
  </si>
  <si>
    <t>HUNTS No Salt Added Tomato Sauce, #10 Can, 6/105 oz., 105 OZ</t>
  </si>
  <si>
    <t>Babyfood, cereal, mixed, with honey, prepared with whole milk</t>
  </si>
  <si>
    <t>WESSON Vegetable Oil 1 GAL</t>
  </si>
  <si>
    <t>Richardson Oilseed Products (US) Limited</t>
  </si>
  <si>
    <t>Frozen novelties, juice type, orange</t>
  </si>
  <si>
    <t>Broccoli, raw</t>
  </si>
  <si>
    <t>Babyfood, juice, orange</t>
  </si>
  <si>
    <t>Mulberries, raw</t>
  </si>
  <si>
    <t>Carrots, glazed, cooked</t>
  </si>
  <si>
    <t>Alcoholic beverage, beer, regular, all</t>
  </si>
  <si>
    <t>CAMPBELL'S SLOW KETTLE SOUP CLAM CHOWDER</t>
  </si>
  <si>
    <t>CAMPBELL SOUP COMPANY</t>
  </si>
  <si>
    <t>Cloudberries, raw (Alaska Native)</t>
  </si>
  <si>
    <t>Milk, nonfat, fluid, with added vitamin A and vitamin D (fat free or skim)</t>
  </si>
  <si>
    <t>Raspberries, raw</t>
  </si>
  <si>
    <t>Carrot juice, 100%</t>
  </si>
  <si>
    <t>BURGER KING, Original Chicken Sandwich</t>
  </si>
  <si>
    <t>BROCCOLI</t>
  </si>
  <si>
    <t>Wal-Mart Stores, Inc.</t>
  </si>
  <si>
    <t>Orange juice, no pulp, not fortified, not from concentrate, refrigerated</t>
  </si>
  <si>
    <t>Oat milk, unsweetened, plain, refrigerated</t>
  </si>
  <si>
    <t>Sweet potato, cooked, baked in skin, flesh, without salt</t>
  </si>
  <si>
    <t>Potato, roasted, NFS</t>
  </si>
  <si>
    <t>Spices, cinnamon, ground</t>
  </si>
  <si>
    <t>Flour, rice, brown</t>
  </si>
  <si>
    <t>Cookie, chocolate sandwich</t>
  </si>
  <si>
    <t>Rice, white, long-grain, parboiled, enriched, dry</t>
  </si>
  <si>
    <t>Almond milk, unsweetened, plain, refrigerated</t>
  </si>
  <si>
    <t>Carrots, frozen, cooked with oil</t>
  </si>
  <si>
    <t>Dates, medjool</t>
  </si>
  <si>
    <t>Cheese, ricotta, whole milk</t>
  </si>
  <si>
    <t>Almond milk, unsweetened, plain, shelf stable</t>
  </si>
  <si>
    <t>Babyfood, cereal, rice, with bananas, prepared with whole milk</t>
  </si>
  <si>
    <t>Salt, table</t>
  </si>
  <si>
    <t>Broccoli, frozen, cooked, no added fat</t>
  </si>
  <si>
    <t>Carrots, raw</t>
  </si>
  <si>
    <t>Milk, reduced fat, fluid, 2% milkfat, with added vitamin A and vitamin D</t>
  </si>
  <si>
    <t>Carrots, NS as to form, cooked</t>
  </si>
  <si>
    <t>Bananas, raw</t>
  </si>
  <si>
    <t>Onions, red, raw</t>
  </si>
  <si>
    <t>Cranberries, raw</t>
  </si>
  <si>
    <t>Sweet potato, raw, unprepared (Includes foods for USDA's Food Distribution Program)</t>
  </si>
  <si>
    <t>Pringles Crisps Bbq 16.9oz</t>
  </si>
  <si>
    <t>Kellogg Company US</t>
  </si>
  <si>
    <t>Milk, whole, 3.25% milkfat, with added vitamin D</t>
  </si>
  <si>
    <t>Nuts, cashew nuts, dry roasted, without salt added</t>
  </si>
  <si>
    <t>Fish, tuna, fresh, skipjack, raw</t>
  </si>
  <si>
    <t>Blueberries, raw</t>
  </si>
  <si>
    <t>GREEK YOGURT</t>
  </si>
  <si>
    <t>Ocean Spray Cranberries, Inc.</t>
  </si>
  <si>
    <t>CAMPBELL'S SLOW KETTLE SOUP CHEESE BROCCOLI</t>
  </si>
  <si>
    <t>BURGER KING, Premium Fish Sandwich</t>
  </si>
  <si>
    <t>SWANSON BROTH BEEF</t>
  </si>
  <si>
    <t>Fish, salmon, pink, raw</t>
  </si>
  <si>
    <t>DAVID Chili Lime Sunflower Seeds, 5.25 OZ</t>
  </si>
  <si>
    <t>Broccoli, fresh, cooked, no added fat</t>
  </si>
  <si>
    <t>Carrots, cooked, as ingredient</t>
  </si>
  <si>
    <t>Cheese, feta, whole milk, crumbled</t>
  </si>
  <si>
    <t>Butter, salted</t>
  </si>
  <si>
    <t>Lentils, dry</t>
  </si>
  <si>
    <t>Fish, salmon, Atlantic, farmed, raw</t>
  </si>
  <si>
    <t>HUNTS Tomato Ketchup, 24 OZ</t>
  </si>
  <si>
    <t>Carrots, cooked, from restaurant</t>
  </si>
  <si>
    <t>Broccoli, cooked, boiled, drained, without salt</t>
  </si>
  <si>
    <t>Nuts, almonds, dry roasted, with salt added</t>
  </si>
  <si>
    <t>Orange juice, frozen concentrate, unsweetened, diluted with 3 volume water</t>
  </si>
  <si>
    <t>Carrots, raw, salad with apples</t>
  </si>
  <si>
    <t>Rice, white, long grain, unenriched, raw</t>
  </si>
  <si>
    <t>Soy milk, sweetened, plain, refrigerated</t>
  </si>
  <si>
    <t>Orange juice, no pulp, not fortified, from concentrate, refrigerated</t>
  </si>
  <si>
    <t>Yogurt, Greek, NS as to type of milk, fruit</t>
  </si>
  <si>
    <t>Soy milk, unsweetened, plain, shelf stable</t>
  </si>
  <si>
    <t>Total</t>
  </si>
  <si>
    <t>Formulado</t>
  </si>
  <si>
    <t>100%</t>
  </si>
  <si>
    <t>Nutriente</t>
  </si>
  <si>
    <t>Unidad</t>
  </si>
  <si>
    <t>Water</t>
  </si>
  <si>
    <t>g</t>
  </si>
  <si>
    <t>Energy (Atwater General Factors)</t>
  </si>
  <si>
    <t>kcal</t>
  </si>
  <si>
    <t>Energy (Atwater Specific Factors)</t>
  </si>
  <si>
    <t>Energy</t>
  </si>
  <si>
    <t>kJ</t>
  </si>
  <si>
    <t>Nitrogen</t>
  </si>
  <si>
    <t>Protein</t>
  </si>
  <si>
    <t>Total fat (NLEA)</t>
  </si>
  <si>
    <t>Total lipid (fat)</t>
  </si>
  <si>
    <t>Ash</t>
  </si>
  <si>
    <t>Carbohydrate, by difference</t>
  </si>
  <si>
    <t>Fiber, total dietary</t>
  </si>
  <si>
    <t>Fiber, soluble</t>
  </si>
  <si>
    <t>Fiber, insoluble</t>
  </si>
  <si>
    <t>Total dietary fiber (AOAC 2011.25)</t>
  </si>
  <si>
    <t>High Molecular Weight Dietary Fiber (HMWDF)</t>
  </si>
  <si>
    <t>Low Molecular Weight Dietary Fiber (LMWDF)</t>
  </si>
  <si>
    <t>Sugars, Total</t>
  </si>
  <si>
    <t>Sucrose</t>
  </si>
  <si>
    <t>Glucose</t>
  </si>
  <si>
    <t>Fructose</t>
  </si>
  <si>
    <t>Lactose</t>
  </si>
  <si>
    <t>Maltose</t>
  </si>
  <si>
    <t>Galactose</t>
  </si>
  <si>
    <t>Starch</t>
  </si>
  <si>
    <t>Resistant starch</t>
  </si>
  <si>
    <t>Sugars, added</t>
  </si>
  <si>
    <t>Calcium, Ca</t>
  </si>
  <si>
    <t>mg</t>
  </si>
  <si>
    <t>Iron, Fe</t>
  </si>
  <si>
    <t>Magnesium, Mg</t>
  </si>
  <si>
    <t>Phosphorus, P</t>
  </si>
  <si>
    <t>Potassium, K</t>
  </si>
  <si>
    <t>Sodium, Na</t>
  </si>
  <si>
    <t>Zinc, Zn</t>
  </si>
  <si>
    <t>Copper, Cu</t>
  </si>
  <si>
    <t>Manganese, Mn</t>
  </si>
  <si>
    <t>Iodine, I</t>
  </si>
  <si>
    <t>µg</t>
  </si>
  <si>
    <t>Selenium, Se</t>
  </si>
  <si>
    <t>Fluoride, F</t>
  </si>
  <si>
    <t>Molybdenum, Mo</t>
  </si>
  <si>
    <t>Vitamin C, total ascorbic acid</t>
  </si>
  <si>
    <t>Thiamin</t>
  </si>
  <si>
    <t>Riboflavin</t>
  </si>
  <si>
    <t>Niacin</t>
  </si>
  <si>
    <t>Pantothenic acid</t>
  </si>
  <si>
    <t>Vitamin B-6</t>
  </si>
  <si>
    <t>Biotin</t>
  </si>
  <si>
    <t>Folate, total</t>
  </si>
  <si>
    <t>Folic acid</t>
  </si>
  <si>
    <t>Folate, food</t>
  </si>
  <si>
    <t>Folate, DFE</t>
  </si>
  <si>
    <t>Choline, total</t>
  </si>
  <si>
    <t>Choline, free</t>
  </si>
  <si>
    <t>Choline, from phosphocholine</t>
  </si>
  <si>
    <t>Choline, from phosphotidyl choline</t>
  </si>
  <si>
    <t>Choline, from glycerophosphocholine</t>
  </si>
  <si>
    <t>Choline, from sphingomyelin</t>
  </si>
  <si>
    <t>Betaine</t>
  </si>
  <si>
    <t>Vitamin B-12</t>
  </si>
  <si>
    <t>Vitamin B-12, added</t>
  </si>
  <si>
    <t>Vitamin A, RAE</t>
  </si>
  <si>
    <t>Retinol</t>
  </si>
  <si>
    <t>Carotene, beta</t>
  </si>
  <si>
    <t>cis-beta-Carotene</t>
  </si>
  <si>
    <t>trans-beta-Carotene</t>
  </si>
  <si>
    <t>Carotene, alpha</t>
  </si>
  <si>
    <t>Carotene, gamma</t>
  </si>
  <si>
    <t>Cryptoxanthin, beta</t>
  </si>
  <si>
    <t>Cryptoxanthin, alpha</t>
  </si>
  <si>
    <t>Vitamin A, IU</t>
  </si>
  <si>
    <t>iu</t>
  </si>
  <si>
    <t>Lycopene</t>
  </si>
  <si>
    <t>cis-Lycopene</t>
  </si>
  <si>
    <t>trans-Lycopene</t>
  </si>
  <si>
    <t>Lutein + zeaxanthin</t>
  </si>
  <si>
    <t>cis-Lutein/Zeaxanthin</t>
  </si>
  <si>
    <t>Lutein</t>
  </si>
  <si>
    <t>Zeaxanthin</t>
  </si>
  <si>
    <t>Phytoene</t>
  </si>
  <si>
    <t>Phytofluene</t>
  </si>
  <si>
    <t>Vitamin E (alpha-tocopherol)</t>
  </si>
  <si>
    <t>Vitamin E, added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</si>
  <si>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</si>
  <si>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</si>
  <si>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</si>
  <si>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</si>
  <si>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</si>
  <si>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</si>
  <si>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</si>
  <si>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Vitamin D (D2 + D3), International Units</t>
  </si>
  <si>
    <t>Vitamin D (D2 + D3)</t>
  </si>
  <si>
    <t>Vitamin D2 (ergocalciferol)</t>
  </si>
  <si>
    <t>Vitamin D3 (cholecalciferol)</t>
  </si>
  <si>
    <t>25-hydroxycholecalciferol</t>
  </si>
  <si>
    <t>Vitamin K (phylloquinone)</t>
  </si>
  <si>
    <t>Fatty acids, total saturated</t>
  </si>
  <si>
    <t>SFA 4:0</t>
  </si>
  <si>
    <t>SFA 5:0</t>
  </si>
  <si>
    <t>SFA 6:0</t>
  </si>
  <si>
    <t>SFA 7:0</t>
  </si>
  <si>
    <t>SFA 8:0</t>
  </si>
  <si>
    <t>SFA 9:0</t>
  </si>
  <si>
    <t>SFA 10:0</t>
  </si>
  <si>
    <t>SFA 11:0</t>
  </si>
  <si>
    <t>SFA 12:0</t>
  </si>
  <si>
    <t>SFA 13:0</t>
  </si>
  <si>
    <t>SFA 14:0</t>
  </si>
  <si>
    <t>SFA 15:0</t>
  </si>
  <si>
    <t>SFA 16:0</t>
  </si>
  <si>
    <t>SFA 17:0</t>
  </si>
  <si>
    <t>SFA 18:0</t>
  </si>
  <si>
    <t>SFA 20:0</t>
  </si>
  <si>
    <t>SFA 21:0</t>
  </si>
  <si>
    <t>SFA 22:0</t>
  </si>
  <si>
    <t>SFA 23:0</t>
  </si>
  <si>
    <t>SFA 24:0</t>
  </si>
  <si>
    <t>Fatty acids, total monounsaturated</t>
  </si>
  <si>
    <t>MUFA 12:1</t>
  </si>
  <si>
    <t>MUFA 14:1</t>
  </si>
  <si>
    <t>MUFA 14:1 c</t>
  </si>
  <si>
    <t>MUFA 15:1</t>
  </si>
  <si>
    <t>MUFA 16:1</t>
  </si>
  <si>
    <t>MUFA 16:1 c</t>
  </si>
  <si>
    <t>MUFA 17:1</t>
  </si>
  <si>
    <t>MUFA 17:1 c</t>
  </si>
  <si>
    <t>MUFA 18:1</t>
  </si>
  <si>
    <t>MUFA 18:1 c</t>
  </si>
  <si>
    <t>MUFA 20:1</t>
  </si>
  <si>
    <t>MUFA 20:1 c</t>
  </si>
  <si>
    <t>MUFA 22:1</t>
  </si>
  <si>
    <t>MUFA 22:1 c</t>
  </si>
  <si>
    <t>MUFA 22:1 n-9</t>
  </si>
  <si>
    <t>MUFA 22:1 n-11</t>
  </si>
  <si>
    <t>MUFA 24:1 c</t>
  </si>
  <si>
    <t>Fatty acids, total polyunsaturated</t>
  </si>
  <si>
    <t>PUFA 18:2</t>
  </si>
  <si>
    <t>PUFA 18:2 c</t>
  </si>
  <si>
    <t>PUFA 18:2 n-6 c,c</t>
  </si>
  <si>
    <t>PUFA 18:2 CLAs</t>
  </si>
  <si>
    <t>PUFA 18:2 i</t>
  </si>
  <si>
    <t>PUFA 18:3</t>
  </si>
  <si>
    <t>PUFA 18:3 c</t>
  </si>
  <si>
    <t>PUFA 18:3 n-3 c,c,c (ALA)</t>
  </si>
  <si>
    <t>PUFA 18:3 n-6 c,c,c</t>
  </si>
  <si>
    <t>PUFA 18:4</t>
  </si>
  <si>
    <t>PUFA 20:2 c</t>
  </si>
  <si>
    <t>PUFA 20:2 n-6 c,c</t>
  </si>
  <si>
    <t>PUFA 20:3</t>
  </si>
  <si>
    <t>PUFA 20:3 c</t>
  </si>
  <si>
    <t>PUFA 20:3 n-3</t>
  </si>
  <si>
    <t>PUFA 20:3 n-6</t>
  </si>
  <si>
    <t>PUFA 20:3 n-9</t>
  </si>
  <si>
    <t>PUFA 22:3</t>
  </si>
  <si>
    <t>PUFA 20:4</t>
  </si>
  <si>
    <t>PUFA 20:4c</t>
  </si>
  <si>
    <t>PUFA 20:5c</t>
  </si>
  <si>
    <t>PUFA 20:5 n-3 (EPA)</t>
  </si>
  <si>
    <t>PUFA 22:2</t>
  </si>
  <si>
    <t>PUFA 22:5 c</t>
  </si>
  <si>
    <t>PUFA 22:4</t>
  </si>
  <si>
    <t>PUFA 22:5 n-3 (DPA)</t>
  </si>
  <si>
    <t>PUFA 22:6 c</t>
  </si>
  <si>
    <t>PUFA 22:6 n-3 (DHA)</t>
  </si>
  <si>
    <t>Fatty acids, total trans</t>
  </si>
  <si>
    <t>Fatty acids, total trans-monoenoic</t>
  </si>
  <si>
    <t>TFA 14:1 t</t>
  </si>
  <si>
    <t>TFA 16:1 t</t>
  </si>
  <si>
    <t>TFA 18:1 t</t>
  </si>
  <si>
    <t>TFA 20:1 t</t>
  </si>
  <si>
    <t>TFA 22:1 t</t>
  </si>
  <si>
    <t>Fatty acids, total trans-dienoic</t>
  </si>
  <si>
    <t>TFA 18:2 t not further defined</t>
  </si>
  <si>
    <t>TFA 18:2 t</t>
  </si>
  <si>
    <t>TFA 18:2 t,t</t>
  </si>
  <si>
    <t>Fatty acids, total trans-polyenoic</t>
  </si>
  <si>
    <t>TFA 18:3 t</t>
  </si>
  <si>
    <t>Cholesterol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</si>
  <si>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</si>
  <si>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</si>
  <si>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</si>
  <si>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</si>
  <si>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</si>
  <si>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</si>
  <si>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</si>
  <si>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</si>
  <si>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</si>
  <si>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</si>
  <si>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</si>
  <si>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</si>
  <si>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</si>
  <si>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</si>
  <si>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</si>
  <si>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</si>
  <si>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</si>
  <si>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</si>
  <si>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</si>
  <si>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</t>
  </si>
  <si>
    <t>Alcohol, ethyl</t>
  </si>
  <si>
    <t>Caffeine</t>
  </si>
  <si>
    <t>Theobromine</t>
  </si>
  <si>
    <t>Vitamin K (Dihydrophylloquinone)</t>
  </si>
  <si>
    <t>Vitamin K (Menaquinone-4)</t>
  </si>
  <si>
    <t>Stigmasterol</t>
  </si>
  <si>
    <t>Campesterol</t>
  </si>
  <si>
    <t>Brassicasterol</t>
  </si>
  <si>
    <t>Beta-sitosterol</t>
  </si>
  <si>
    <t>Campestanol</t>
  </si>
  <si>
    <t>Beta-sitostanol</t>
  </si>
  <si>
    <t>Delta-5-avenasterol</t>
  </si>
  <si>
    <t>Phytosterols, other</t>
  </si>
  <si>
    <t>Citric acid</t>
  </si>
  <si>
    <t>Malic acid</t>
  </si>
  <si>
    <t>Oxalic acid</t>
  </si>
  <si>
    <t>Quinic acid</t>
  </si>
  <si>
    <t>Raffinose</t>
  </si>
  <si>
    <t>Stachyose</t>
  </si>
  <si>
    <t>Verbascose</t>
  </si>
  <si>
    <t>Daidzein</t>
  </si>
  <si>
    <t>Genistein</t>
  </si>
  <si>
    <t>Daidzin</t>
  </si>
  <si>
    <t>Genistin</t>
  </si>
  <si>
    <t>Glycitin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</si>
</sst>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6B8B7"/>
      </patternFill>
    </fill>
    <fill>
      <patternFill patternType="solid">
        <fgColor rgb="FFC4D79B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4DFEC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164" fontId="0" fillId="5" borderId="0" xfId="0" applyNumberFormat="1" applyFill="1"/>
    <xf numFmtId="10" fontId="0" fillId="5" borderId="0" xfId="0" applyNumberFormat="1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/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83"/>
  <sheetViews>
    <sheetView tabSelected="1" workbookViewId="0">
      <pane xSplit="6" ySplit="2" topLeftCell="BT39" activePane="bottomRight" state="frozen"/>
      <selection pane="topRight"/>
      <selection pane="bottomLeft"/>
      <selection pane="bottomRight" activeCell="CD68" sqref="CD68"/>
    </sheetView>
  </sheetViews>
  <sheetFormatPr baseColWidth="10" defaultColWidth="8.88671875" defaultRowHeight="14.4" x14ac:dyDescent="0.3"/>
  <cols>
    <col min="1" max="1" width="12" customWidth="1"/>
    <col min="2" max="2" width="35" customWidth="1"/>
    <col min="3" max="3" width="18" customWidth="1"/>
    <col min="4" max="4" width="14" customWidth="1"/>
    <col min="5" max="6" width="12" customWidth="1"/>
  </cols>
  <sheetData>
    <row r="1" spans="1:226" x14ac:dyDescent="0.3">
      <c r="A1" s="13" t="s">
        <v>0</v>
      </c>
      <c r="B1" s="14"/>
      <c r="C1" s="14"/>
      <c r="D1" s="14"/>
      <c r="E1" s="14"/>
      <c r="F1" s="14"/>
      <c r="G1" s="18" t="s">
        <v>1</v>
      </c>
      <c r="H1" s="14"/>
      <c r="I1" s="14"/>
      <c r="J1" s="14"/>
      <c r="K1" s="14"/>
      <c r="L1" s="14"/>
      <c r="M1" s="14"/>
      <c r="N1" s="14"/>
      <c r="O1" s="21" t="s">
        <v>2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6" t="s">
        <v>3</v>
      </c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5" t="s">
        <v>4</v>
      </c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9" t="s">
        <v>5</v>
      </c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20" t="s">
        <v>6</v>
      </c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7" t="s">
        <v>7</v>
      </c>
      <c r="GX1" s="14"/>
      <c r="GY1" s="17" t="s">
        <v>8</v>
      </c>
      <c r="GZ1" s="14"/>
      <c r="HA1" s="14"/>
      <c r="HB1" s="14"/>
      <c r="HC1" s="14"/>
      <c r="HD1" s="14"/>
      <c r="HE1" s="14"/>
      <c r="HF1" s="14"/>
      <c r="HG1" s="17" t="s">
        <v>9</v>
      </c>
      <c r="HH1" s="14"/>
      <c r="HI1" s="14"/>
      <c r="HJ1" s="14"/>
      <c r="HK1" s="17" t="s">
        <v>10</v>
      </c>
      <c r="HL1" s="14"/>
      <c r="HM1" s="14"/>
      <c r="HN1" s="17" t="s">
        <v>11</v>
      </c>
      <c r="HO1" s="14"/>
      <c r="HP1" s="14"/>
      <c r="HQ1" s="14"/>
      <c r="HR1" s="14"/>
    </row>
    <row r="2" spans="1:226" x14ac:dyDescent="0.3">
      <c r="A2" s="7" t="s">
        <v>12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2" t="s">
        <v>26</v>
      </c>
      <c r="P2" s="2" t="s">
        <v>27</v>
      </c>
      <c r="Q2" s="2" t="s">
        <v>28</v>
      </c>
      <c r="R2" s="2" t="s">
        <v>29</v>
      </c>
      <c r="S2" s="2" t="s">
        <v>30</v>
      </c>
      <c r="T2" s="2" t="s">
        <v>31</v>
      </c>
      <c r="U2" s="2" t="s">
        <v>32</v>
      </c>
      <c r="V2" s="2" t="s">
        <v>33</v>
      </c>
      <c r="W2" s="2" t="s">
        <v>34</v>
      </c>
      <c r="X2" s="2" t="s">
        <v>35</v>
      </c>
      <c r="Y2" s="2" t="s">
        <v>36</v>
      </c>
      <c r="Z2" s="2" t="s">
        <v>37</v>
      </c>
      <c r="AA2" s="2" t="s">
        <v>38</v>
      </c>
      <c r="AB2" s="2" t="s">
        <v>39</v>
      </c>
      <c r="AC2" s="2" t="s">
        <v>40</v>
      </c>
      <c r="AD2" s="2" t="s">
        <v>41</v>
      </c>
      <c r="AE2" s="3" t="s">
        <v>42</v>
      </c>
      <c r="AF2" s="3" t="s">
        <v>43</v>
      </c>
      <c r="AG2" s="3" t="s">
        <v>44</v>
      </c>
      <c r="AH2" s="3" t="s">
        <v>45</v>
      </c>
      <c r="AI2" s="3" t="s">
        <v>46</v>
      </c>
      <c r="AJ2" s="3" t="s">
        <v>47</v>
      </c>
      <c r="AK2" s="3" t="s">
        <v>48</v>
      </c>
      <c r="AL2" s="3" t="s">
        <v>49</v>
      </c>
      <c r="AM2" s="3" t="s">
        <v>50</v>
      </c>
      <c r="AN2" s="3" t="s">
        <v>51</v>
      </c>
      <c r="AO2" s="3" t="s">
        <v>52</v>
      </c>
      <c r="AP2" s="3" t="s">
        <v>53</v>
      </c>
      <c r="AQ2" s="3" t="s">
        <v>54</v>
      </c>
      <c r="AR2" s="3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63</v>
      </c>
      <c r="BA2" s="4" t="s">
        <v>64</v>
      </c>
      <c r="BB2" s="4" t="s">
        <v>65</v>
      </c>
      <c r="BC2" s="4" t="s">
        <v>66</v>
      </c>
      <c r="BD2" s="4" t="s">
        <v>67</v>
      </c>
      <c r="BE2" s="4" t="s">
        <v>68</v>
      </c>
      <c r="BF2" s="4" t="s">
        <v>69</v>
      </c>
      <c r="BG2" s="4" t="s">
        <v>70</v>
      </c>
      <c r="BH2" s="4" t="s">
        <v>71</v>
      </c>
      <c r="BI2" s="4" t="s">
        <v>72</v>
      </c>
      <c r="BJ2" s="4" t="s">
        <v>73</v>
      </c>
      <c r="BK2" s="4" t="s">
        <v>74</v>
      </c>
      <c r="BL2" s="4" t="s">
        <v>75</v>
      </c>
      <c r="BM2" s="4" t="s">
        <v>76</v>
      </c>
      <c r="BN2" s="4" t="s">
        <v>77</v>
      </c>
      <c r="BO2" s="4" t="s">
        <v>78</v>
      </c>
      <c r="BP2" s="4" t="s">
        <v>79</v>
      </c>
      <c r="BQ2" s="4" t="s">
        <v>80</v>
      </c>
      <c r="BR2" s="4" t="s">
        <v>81</v>
      </c>
      <c r="BS2" s="4" t="s">
        <v>82</v>
      </c>
      <c r="BT2" s="4" t="s">
        <v>83</v>
      </c>
      <c r="BU2" s="4" t="s">
        <v>84</v>
      </c>
      <c r="BV2" s="4" t="s">
        <v>85</v>
      </c>
      <c r="BW2" s="4" t="s">
        <v>86</v>
      </c>
      <c r="BX2" s="4" t="s">
        <v>87</v>
      </c>
      <c r="BY2" s="4" t="s">
        <v>88</v>
      </c>
      <c r="BZ2" s="4" t="s">
        <v>89</v>
      </c>
      <c r="CA2" s="4" t="s">
        <v>90</v>
      </c>
      <c r="CB2" s="4" t="s">
        <v>91</v>
      </c>
      <c r="CC2" s="4" t="s">
        <v>92</v>
      </c>
      <c r="CD2" s="4" t="s">
        <v>93</v>
      </c>
      <c r="CE2" s="4" t="s">
        <v>94</v>
      </c>
      <c r="CF2" s="4" t="s">
        <v>95</v>
      </c>
      <c r="CG2" s="4" t="s">
        <v>96</v>
      </c>
      <c r="CH2" s="4" t="s">
        <v>97</v>
      </c>
      <c r="CI2" s="4" t="s">
        <v>98</v>
      </c>
      <c r="CJ2" s="4" t="s">
        <v>99</v>
      </c>
      <c r="CK2" s="4" t="s">
        <v>100</v>
      </c>
      <c r="CL2" s="4" t="s">
        <v>101</v>
      </c>
      <c r="CM2" s="4" t="s">
        <v>102</v>
      </c>
      <c r="CN2" s="4" t="s">
        <v>103</v>
      </c>
      <c r="CO2" s="4" t="s">
        <v>104</v>
      </c>
      <c r="CP2" s="4" t="s">
        <v>105</v>
      </c>
      <c r="CQ2" s="4" t="s">
        <v>106</v>
      </c>
      <c r="CR2" s="4" t="s">
        <v>107</v>
      </c>
      <c r="CS2" s="4" t="s">
        <v>108</v>
      </c>
      <c r="CT2" s="4" t="s">
        <v>109</v>
      </c>
      <c r="CU2" s="5" t="s">
        <v>110</v>
      </c>
      <c r="CV2" s="5" t="s">
        <v>111</v>
      </c>
      <c r="CW2" s="5" t="s">
        <v>112</v>
      </c>
      <c r="CX2" s="5" t="s">
        <v>113</v>
      </c>
      <c r="CY2" s="5" t="s">
        <v>114</v>
      </c>
      <c r="CZ2" s="5" t="s">
        <v>115</v>
      </c>
      <c r="DA2" s="5" t="s">
        <v>116</v>
      </c>
      <c r="DB2" s="5" t="s">
        <v>117</v>
      </c>
      <c r="DC2" s="5" t="s">
        <v>118</v>
      </c>
      <c r="DD2" s="5" t="s">
        <v>119</v>
      </c>
      <c r="DE2" s="5" t="s">
        <v>120</v>
      </c>
      <c r="DF2" s="5" t="s">
        <v>121</v>
      </c>
      <c r="DG2" s="5" t="s">
        <v>122</v>
      </c>
      <c r="DH2" s="5" t="s">
        <v>123</v>
      </c>
      <c r="DI2" s="5" t="s">
        <v>124</v>
      </c>
      <c r="DJ2" s="5" t="s">
        <v>125</v>
      </c>
      <c r="DK2" s="5" t="s">
        <v>126</v>
      </c>
      <c r="DL2" s="5" t="s">
        <v>127</v>
      </c>
      <c r="DM2" s="5" t="s">
        <v>128</v>
      </c>
      <c r="DN2" s="5" t="s">
        <v>129</v>
      </c>
      <c r="DO2" s="5" t="s">
        <v>130</v>
      </c>
      <c r="DP2" s="5" t="s">
        <v>131</v>
      </c>
      <c r="DQ2" s="5" t="s">
        <v>132</v>
      </c>
      <c r="DR2" s="5" t="s">
        <v>133</v>
      </c>
      <c r="DS2" s="5" t="s">
        <v>134</v>
      </c>
      <c r="DT2" s="5" t="s">
        <v>135</v>
      </c>
      <c r="DU2" s="5" t="s">
        <v>136</v>
      </c>
      <c r="DV2" s="5" t="s">
        <v>137</v>
      </c>
      <c r="DW2" s="5" t="s">
        <v>138</v>
      </c>
      <c r="DX2" s="5" t="s">
        <v>139</v>
      </c>
      <c r="DY2" s="5" t="s">
        <v>140</v>
      </c>
      <c r="DZ2" s="5" t="s">
        <v>141</v>
      </c>
      <c r="EA2" s="5" t="s">
        <v>142</v>
      </c>
      <c r="EB2" s="5" t="s">
        <v>143</v>
      </c>
      <c r="EC2" s="5" t="s">
        <v>144</v>
      </c>
      <c r="ED2" s="5" t="s">
        <v>145</v>
      </c>
      <c r="EE2" s="5" t="s">
        <v>146</v>
      </c>
      <c r="EF2" s="5" t="s">
        <v>147</v>
      </c>
      <c r="EG2" s="5" t="s">
        <v>148</v>
      </c>
      <c r="EH2" s="5" t="s">
        <v>149</v>
      </c>
      <c r="EI2" s="5" t="s">
        <v>150</v>
      </c>
      <c r="EJ2" s="5" t="s">
        <v>151</v>
      </c>
      <c r="EK2" s="5" t="s">
        <v>152</v>
      </c>
      <c r="EL2" s="5" t="s">
        <v>153</v>
      </c>
      <c r="EM2" s="5" t="s">
        <v>154</v>
      </c>
      <c r="EN2" s="5" t="s">
        <v>155</v>
      </c>
      <c r="EO2" s="5" t="s">
        <v>156</v>
      </c>
      <c r="EP2" s="5" t="s">
        <v>157</v>
      </c>
      <c r="EQ2" s="5" t="s">
        <v>158</v>
      </c>
      <c r="ER2" s="5" t="s">
        <v>159</v>
      </c>
      <c r="ES2" s="5" t="s">
        <v>160</v>
      </c>
      <c r="ET2" s="5" t="s">
        <v>161</v>
      </c>
      <c r="EU2" s="5" t="s">
        <v>162</v>
      </c>
      <c r="EV2" s="5" t="s">
        <v>163</v>
      </c>
      <c r="EW2" s="5" t="s">
        <v>164</v>
      </c>
      <c r="EX2" s="5" t="s">
        <v>165</v>
      </c>
      <c r="EY2" s="5" t="s">
        <v>166</v>
      </c>
      <c r="EZ2" s="5" t="s">
        <v>167</v>
      </c>
      <c r="FA2" s="5" t="s">
        <v>168</v>
      </c>
      <c r="FB2" s="5" t="s">
        <v>169</v>
      </c>
      <c r="FC2" s="5" t="s">
        <v>170</v>
      </c>
      <c r="FD2" s="5" t="s">
        <v>171</v>
      </c>
      <c r="FE2" s="5" t="s">
        <v>172</v>
      </c>
      <c r="FF2" s="5" t="s">
        <v>173</v>
      </c>
      <c r="FG2" s="5" t="s">
        <v>174</v>
      </c>
      <c r="FH2" s="5" t="s">
        <v>175</v>
      </c>
      <c r="FI2" s="5" t="s">
        <v>176</v>
      </c>
      <c r="FJ2" s="5" t="s">
        <v>177</v>
      </c>
      <c r="FK2" s="5" t="s">
        <v>178</v>
      </c>
      <c r="FL2" s="5" t="s">
        <v>179</v>
      </c>
      <c r="FM2" s="5" t="s">
        <v>180</v>
      </c>
      <c r="FN2" s="5" t="s">
        <v>181</v>
      </c>
      <c r="FO2" s="5" t="s">
        <v>182</v>
      </c>
      <c r="FP2" s="5" t="s">
        <v>183</v>
      </c>
      <c r="FQ2" s="5" t="s">
        <v>184</v>
      </c>
      <c r="FR2" s="5" t="s">
        <v>185</v>
      </c>
      <c r="FS2" s="5" t="s">
        <v>186</v>
      </c>
      <c r="FT2" s="5" t="s">
        <v>187</v>
      </c>
      <c r="FU2" s="5" t="s">
        <v>188</v>
      </c>
      <c r="FV2" s="5" t="s">
        <v>189</v>
      </c>
      <c r="FW2" s="5" t="s">
        <v>190</v>
      </c>
      <c r="FX2" s="5" t="s">
        <v>191</v>
      </c>
      <c r="FY2" s="5" t="s">
        <v>192</v>
      </c>
      <c r="FZ2" s="6" t="s">
        <v>193</v>
      </c>
      <c r="GA2" s="6" t="s">
        <v>194</v>
      </c>
      <c r="GB2" s="6" t="s">
        <v>195</v>
      </c>
      <c r="GC2" s="6" t="s">
        <v>196</v>
      </c>
      <c r="GD2" s="6" t="s">
        <v>197</v>
      </c>
      <c r="GE2" s="6" t="s">
        <v>198</v>
      </c>
      <c r="GF2" s="6" t="s">
        <v>199</v>
      </c>
      <c r="GG2" s="6" t="s">
        <v>200</v>
      </c>
      <c r="GH2" s="6" t="s">
        <v>201</v>
      </c>
      <c r="GI2" s="6" t="s">
        <v>202</v>
      </c>
      <c r="GJ2" s="6" t="s">
        <v>203</v>
      </c>
      <c r="GK2" s="6" t="s">
        <v>204</v>
      </c>
      <c r="GL2" s="6" t="s">
        <v>205</v>
      </c>
      <c r="GM2" s="6" t="s">
        <v>206</v>
      </c>
      <c r="GN2" s="6" t="s">
        <v>207</v>
      </c>
      <c r="GO2" s="6" t="s">
        <v>208</v>
      </c>
      <c r="GP2" s="6" t="s">
        <v>209</v>
      </c>
      <c r="GQ2" s="6" t="s">
        <v>210</v>
      </c>
      <c r="GR2" s="6" t="s">
        <v>211</v>
      </c>
      <c r="GS2" s="6" t="s">
        <v>212</v>
      </c>
      <c r="GT2" s="6" t="s">
        <v>213</v>
      </c>
      <c r="GU2" s="6" t="s">
        <v>214</v>
      </c>
      <c r="GV2" s="6" t="s">
        <v>215</v>
      </c>
      <c r="GW2" s="7" t="s">
        <v>216</v>
      </c>
      <c r="GX2" s="7" t="s">
        <v>217</v>
      </c>
      <c r="GY2" s="7" t="s">
        <v>218</v>
      </c>
      <c r="GZ2" s="7" t="s">
        <v>219</v>
      </c>
      <c r="HA2" s="7" t="s">
        <v>220</v>
      </c>
      <c r="HB2" s="7" t="s">
        <v>221</v>
      </c>
      <c r="HC2" s="7" t="s">
        <v>222</v>
      </c>
      <c r="HD2" s="7" t="s">
        <v>223</v>
      </c>
      <c r="HE2" s="7" t="s">
        <v>224</v>
      </c>
      <c r="HF2" s="7" t="s">
        <v>225</v>
      </c>
      <c r="HG2" s="7" t="s">
        <v>226</v>
      </c>
      <c r="HH2" s="7" t="s">
        <v>227</v>
      </c>
      <c r="HI2" s="7" t="s">
        <v>228</v>
      </c>
      <c r="HJ2" s="7" t="s">
        <v>229</v>
      </c>
      <c r="HK2" s="7" t="s">
        <v>230</v>
      </c>
      <c r="HL2" s="7" t="s">
        <v>231</v>
      </c>
      <c r="HM2" s="7" t="s">
        <v>232</v>
      </c>
      <c r="HN2" s="7" t="s">
        <v>233</v>
      </c>
      <c r="HO2" s="7" t="s">
        <v>234</v>
      </c>
      <c r="HP2" s="7" t="s">
        <v>235</v>
      </c>
      <c r="HQ2" s="7" t="s">
        <v>236</v>
      </c>
      <c r="HR2" s="7" t="s">
        <v>237</v>
      </c>
    </row>
    <row r="3" spans="1:226" x14ac:dyDescent="0.3">
      <c r="A3">
        <v>167755</v>
      </c>
      <c r="B3" t="s">
        <v>269</v>
      </c>
      <c r="D3" t="s">
        <v>242</v>
      </c>
      <c r="E3" s="8">
        <v>100</v>
      </c>
      <c r="F3" s="9">
        <f>E3/SUM($E$3:$E$82)</f>
        <v>1.3025803062487084E-2</v>
      </c>
      <c r="G3">
        <v>85.75</v>
      </c>
      <c r="H3">
        <v>58.41</v>
      </c>
      <c r="I3">
        <v>244.38744</v>
      </c>
      <c r="K3">
        <v>1.2</v>
      </c>
      <c r="L3">
        <v>0.65</v>
      </c>
      <c r="M3">
        <v>0.65</v>
      </c>
      <c r="N3">
        <v>0.46</v>
      </c>
      <c r="O3">
        <v>11.94</v>
      </c>
      <c r="P3">
        <v>6.5</v>
      </c>
      <c r="V3">
        <v>4.42</v>
      </c>
      <c r="W3">
        <v>0.2</v>
      </c>
      <c r="X3">
        <v>1.86</v>
      </c>
      <c r="Y3">
        <v>2.35</v>
      </c>
      <c r="Z3">
        <v>0</v>
      </c>
      <c r="AA3">
        <v>0</v>
      </c>
      <c r="AB3">
        <v>0</v>
      </c>
      <c r="AC3">
        <v>0</v>
      </c>
      <c r="AF3">
        <v>25</v>
      </c>
      <c r="AG3">
        <v>0.69</v>
      </c>
      <c r="AH3">
        <v>22</v>
      </c>
      <c r="AI3">
        <v>29</v>
      </c>
      <c r="AJ3">
        <v>151</v>
      </c>
      <c r="AK3">
        <v>1</v>
      </c>
      <c r="AL3">
        <v>0.42</v>
      </c>
      <c r="AM3">
        <v>0.09</v>
      </c>
      <c r="AN3">
        <v>0.67</v>
      </c>
      <c r="AP3">
        <v>0.2</v>
      </c>
      <c r="AS3">
        <v>26.2</v>
      </c>
      <c r="AT3">
        <v>3.2000000000000001E-2</v>
      </c>
      <c r="AU3">
        <v>3.7999999999999999E-2</v>
      </c>
      <c r="AV3">
        <v>0.59799999999999998</v>
      </c>
      <c r="AW3">
        <v>0.32900000000000001</v>
      </c>
      <c r="AX3">
        <v>5.5E-2</v>
      </c>
      <c r="AZ3">
        <v>21</v>
      </c>
      <c r="BA3">
        <v>0</v>
      </c>
      <c r="BB3">
        <v>21</v>
      </c>
      <c r="BC3">
        <v>21</v>
      </c>
      <c r="BD3">
        <v>12.3</v>
      </c>
      <c r="BJ3">
        <v>0.8</v>
      </c>
      <c r="BK3">
        <v>0</v>
      </c>
      <c r="BL3">
        <v>0</v>
      </c>
      <c r="BM3">
        <v>2</v>
      </c>
      <c r="BN3">
        <v>0</v>
      </c>
      <c r="BO3">
        <v>12</v>
      </c>
      <c r="BR3">
        <v>16</v>
      </c>
      <c r="BT3">
        <v>0</v>
      </c>
      <c r="BV3">
        <v>33</v>
      </c>
      <c r="BW3">
        <v>0</v>
      </c>
      <c r="BZ3">
        <v>136</v>
      </c>
      <c r="CF3">
        <v>0.87</v>
      </c>
      <c r="CG3">
        <v>0</v>
      </c>
      <c r="CH3">
        <v>0.06</v>
      </c>
      <c r="CI3">
        <v>1.42</v>
      </c>
      <c r="CJ3">
        <v>1.04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T3">
        <v>7.8</v>
      </c>
      <c r="CU3">
        <v>1.9E-2</v>
      </c>
      <c r="CV3">
        <v>0</v>
      </c>
      <c r="CX3">
        <v>0</v>
      </c>
      <c r="CZ3">
        <v>0</v>
      </c>
      <c r="DB3">
        <v>0</v>
      </c>
      <c r="DD3">
        <v>0</v>
      </c>
      <c r="DF3">
        <v>0</v>
      </c>
      <c r="DH3">
        <v>1.6E-2</v>
      </c>
      <c r="DJ3">
        <v>4.0000000000000001E-3</v>
      </c>
      <c r="DP3">
        <v>6.4000000000000001E-2</v>
      </c>
      <c r="DU3">
        <v>0</v>
      </c>
      <c r="DY3">
        <v>5.8999999999999997E-2</v>
      </c>
      <c r="EA3">
        <v>5.0000000000000001E-3</v>
      </c>
      <c r="EC3">
        <v>0</v>
      </c>
      <c r="EH3">
        <v>0.375</v>
      </c>
      <c r="EI3">
        <v>0.249</v>
      </c>
      <c r="EN3">
        <v>0.126</v>
      </c>
      <c r="ER3">
        <v>0</v>
      </c>
      <c r="FA3">
        <v>0</v>
      </c>
      <c r="FD3">
        <v>0</v>
      </c>
      <c r="FH3">
        <v>0</v>
      </c>
      <c r="FJ3">
        <v>0</v>
      </c>
      <c r="FK3">
        <v>0</v>
      </c>
      <c r="FX3">
        <v>0</v>
      </c>
      <c r="GT3">
        <v>0</v>
      </c>
      <c r="GU3">
        <v>0</v>
      </c>
      <c r="GV3">
        <v>0</v>
      </c>
      <c r="GW3">
        <v>0</v>
      </c>
    </row>
    <row r="4" spans="1:226" x14ac:dyDescent="0.3">
      <c r="A4">
        <v>168113</v>
      </c>
      <c r="B4" t="s">
        <v>259</v>
      </c>
      <c r="D4" t="s">
        <v>242</v>
      </c>
      <c r="E4" s="8">
        <v>100</v>
      </c>
      <c r="F4" s="9">
        <f>E4/SUM($E$3:$E$82)</f>
        <v>1.3025803062487084E-2</v>
      </c>
      <c r="G4">
        <v>76.099999999999994</v>
      </c>
      <c r="H4">
        <v>94.68</v>
      </c>
      <c r="I4">
        <v>396.14112000000011</v>
      </c>
      <c r="K4">
        <v>0.5</v>
      </c>
      <c r="L4">
        <v>0</v>
      </c>
      <c r="M4">
        <v>0</v>
      </c>
      <c r="N4">
        <v>0.23</v>
      </c>
      <c r="O4">
        <v>23.17</v>
      </c>
      <c r="P4">
        <v>0.1</v>
      </c>
      <c r="V4">
        <v>19.989999999999998</v>
      </c>
      <c r="AF4">
        <v>9</v>
      </c>
      <c r="AG4">
        <v>0.47</v>
      </c>
      <c r="AH4">
        <v>8</v>
      </c>
      <c r="AI4">
        <v>13</v>
      </c>
      <c r="AJ4">
        <v>100</v>
      </c>
      <c r="AK4">
        <v>8</v>
      </c>
      <c r="AL4">
        <v>0.02</v>
      </c>
      <c r="AM4">
        <v>2.1999999999999999E-2</v>
      </c>
      <c r="AN4">
        <v>8.0000000000000002E-3</v>
      </c>
      <c r="AP4">
        <v>0.1</v>
      </c>
      <c r="AQ4">
        <v>77</v>
      </c>
      <c r="AS4">
        <v>25.7</v>
      </c>
      <c r="AT4">
        <v>0.01</v>
      </c>
      <c r="AU4">
        <v>0.03</v>
      </c>
      <c r="AV4">
        <v>0.16</v>
      </c>
      <c r="AW4">
        <v>6.5000000000000002E-2</v>
      </c>
      <c r="AX4">
        <v>1.7999999999999999E-2</v>
      </c>
      <c r="AZ4">
        <v>18</v>
      </c>
      <c r="BA4">
        <v>0</v>
      </c>
      <c r="BB4">
        <v>18</v>
      </c>
      <c r="BC4">
        <v>18</v>
      </c>
      <c r="BD4">
        <v>2.9</v>
      </c>
      <c r="BK4">
        <v>0</v>
      </c>
      <c r="BL4">
        <v>0</v>
      </c>
      <c r="BM4">
        <v>1</v>
      </c>
      <c r="BN4">
        <v>0</v>
      </c>
      <c r="BO4">
        <v>12</v>
      </c>
      <c r="BR4">
        <v>0</v>
      </c>
      <c r="BT4">
        <v>0</v>
      </c>
      <c r="BV4">
        <v>21</v>
      </c>
      <c r="BW4">
        <v>0</v>
      </c>
      <c r="BZ4">
        <v>39</v>
      </c>
      <c r="CF4">
        <v>0.04</v>
      </c>
      <c r="CG4">
        <v>0</v>
      </c>
      <c r="CO4">
        <v>0</v>
      </c>
      <c r="CP4">
        <v>0</v>
      </c>
      <c r="CT4">
        <v>0.1</v>
      </c>
      <c r="CU4">
        <v>0</v>
      </c>
      <c r="CV4">
        <v>0</v>
      </c>
      <c r="CX4">
        <v>0</v>
      </c>
      <c r="CZ4">
        <v>0</v>
      </c>
      <c r="DB4">
        <v>0</v>
      </c>
      <c r="DD4">
        <v>0</v>
      </c>
      <c r="DF4">
        <v>0</v>
      </c>
      <c r="DH4">
        <v>0</v>
      </c>
      <c r="DJ4">
        <v>0</v>
      </c>
      <c r="DP4">
        <v>0</v>
      </c>
      <c r="DU4">
        <v>0</v>
      </c>
      <c r="DY4">
        <v>0</v>
      </c>
      <c r="EA4">
        <v>0</v>
      </c>
      <c r="EC4">
        <v>0</v>
      </c>
      <c r="EH4">
        <v>0</v>
      </c>
      <c r="EI4">
        <v>0</v>
      </c>
      <c r="EN4">
        <v>0</v>
      </c>
      <c r="ER4">
        <v>0</v>
      </c>
      <c r="FA4">
        <v>0</v>
      </c>
      <c r="FD4">
        <v>0</v>
      </c>
      <c r="FH4">
        <v>0</v>
      </c>
      <c r="FJ4">
        <v>0</v>
      </c>
      <c r="FX4">
        <v>0</v>
      </c>
      <c r="GT4">
        <v>0</v>
      </c>
      <c r="GU4">
        <v>0</v>
      </c>
      <c r="GV4">
        <v>0</v>
      </c>
    </row>
    <row r="5" spans="1:226" x14ac:dyDescent="0.3">
      <c r="A5">
        <v>168191</v>
      </c>
      <c r="B5" t="s">
        <v>284</v>
      </c>
      <c r="D5" t="s">
        <v>242</v>
      </c>
      <c r="E5" s="8">
        <v>100</v>
      </c>
      <c r="F5" s="9">
        <f>E5/SUM($E$3:$E$82)</f>
        <v>1.3025803062487084E-2</v>
      </c>
      <c r="G5">
        <v>21.32</v>
      </c>
      <c r="H5">
        <v>308.47000000000003</v>
      </c>
      <c r="I5">
        <v>1290.6384800000001</v>
      </c>
      <c r="K5">
        <v>1.81</v>
      </c>
      <c r="L5">
        <v>0.15</v>
      </c>
      <c r="M5">
        <v>0.15</v>
      </c>
      <c r="N5">
        <v>1.74</v>
      </c>
      <c r="O5">
        <v>74.97</v>
      </c>
      <c r="P5">
        <v>6.7</v>
      </c>
      <c r="V5">
        <v>66.47</v>
      </c>
      <c r="W5">
        <v>0.53</v>
      </c>
      <c r="X5">
        <v>33.68</v>
      </c>
      <c r="Y5">
        <v>31.95</v>
      </c>
      <c r="Z5">
        <v>0</v>
      </c>
      <c r="AA5">
        <v>0.3</v>
      </c>
      <c r="AB5">
        <v>0</v>
      </c>
      <c r="AF5">
        <v>64</v>
      </c>
      <c r="AG5">
        <v>0.9</v>
      </c>
      <c r="AH5">
        <v>54</v>
      </c>
      <c r="AI5">
        <v>62</v>
      </c>
      <c r="AJ5">
        <v>696</v>
      </c>
      <c r="AK5">
        <v>1</v>
      </c>
      <c r="AL5">
        <v>0.44</v>
      </c>
      <c r="AM5">
        <v>0.36199999999999999</v>
      </c>
      <c r="AN5">
        <v>0.29599999999999999</v>
      </c>
      <c r="AS5">
        <v>0</v>
      </c>
      <c r="AT5">
        <v>0.05</v>
      </c>
      <c r="AU5">
        <v>0.06</v>
      </c>
      <c r="AV5">
        <v>1.61</v>
      </c>
      <c r="AW5">
        <v>0.80500000000000005</v>
      </c>
      <c r="AX5">
        <v>0.249</v>
      </c>
      <c r="AZ5">
        <v>15</v>
      </c>
      <c r="BA5">
        <v>0</v>
      </c>
      <c r="BB5">
        <v>15</v>
      </c>
      <c r="BC5">
        <v>15</v>
      </c>
      <c r="BD5">
        <v>9.9</v>
      </c>
      <c r="BJ5">
        <v>0.4</v>
      </c>
      <c r="BM5">
        <v>7</v>
      </c>
      <c r="BO5">
        <v>89</v>
      </c>
      <c r="BR5">
        <v>0</v>
      </c>
      <c r="BT5">
        <v>0</v>
      </c>
      <c r="BV5">
        <v>149</v>
      </c>
      <c r="BW5">
        <v>0</v>
      </c>
      <c r="BZ5">
        <v>23</v>
      </c>
      <c r="CO5">
        <v>0</v>
      </c>
      <c r="CP5">
        <v>0</v>
      </c>
      <c r="CT5">
        <v>2.7</v>
      </c>
      <c r="FK5">
        <v>0</v>
      </c>
      <c r="FZ5">
        <v>7.0000000000000001E-3</v>
      </c>
      <c r="GA5">
        <v>4.2000000000000003E-2</v>
      </c>
      <c r="GB5">
        <v>4.4999999999999998E-2</v>
      </c>
      <c r="GC5">
        <v>8.2000000000000003E-2</v>
      </c>
      <c r="GD5">
        <v>5.3999999999999999E-2</v>
      </c>
      <c r="GE5">
        <v>1.7000000000000001E-2</v>
      </c>
      <c r="GF5">
        <v>4.5999999999999999E-2</v>
      </c>
      <c r="GG5">
        <v>4.8000000000000001E-2</v>
      </c>
      <c r="GH5">
        <v>1.6E-2</v>
      </c>
      <c r="GI5">
        <v>6.6000000000000003E-2</v>
      </c>
      <c r="GJ5">
        <v>0.06</v>
      </c>
      <c r="GK5">
        <v>2.9000000000000001E-2</v>
      </c>
      <c r="GL5">
        <v>7.8E-2</v>
      </c>
      <c r="GM5">
        <v>0.22</v>
      </c>
      <c r="GN5">
        <v>0.26500000000000001</v>
      </c>
      <c r="GO5">
        <v>0.09</v>
      </c>
      <c r="GP5">
        <v>0.111</v>
      </c>
      <c r="GQ5">
        <v>6.2E-2</v>
      </c>
      <c r="GW5">
        <v>0</v>
      </c>
    </row>
    <row r="6" spans="1:226" x14ac:dyDescent="0.3">
      <c r="A6">
        <v>168482</v>
      </c>
      <c r="B6" t="s">
        <v>296</v>
      </c>
      <c r="D6" t="s">
        <v>242</v>
      </c>
      <c r="E6" s="8">
        <v>100</v>
      </c>
      <c r="F6" s="9">
        <f>E6/SUM($E$3:$E$82)</f>
        <v>1.3025803062487084E-2</v>
      </c>
      <c r="G6">
        <v>77.28</v>
      </c>
      <c r="H6">
        <v>87.210000000000008</v>
      </c>
      <c r="I6">
        <v>364.88664000000011</v>
      </c>
      <c r="K6">
        <v>1.57</v>
      </c>
      <c r="L6">
        <v>0.05</v>
      </c>
      <c r="M6">
        <v>0.05</v>
      </c>
      <c r="N6">
        <v>0.99</v>
      </c>
      <c r="O6">
        <v>20.12</v>
      </c>
      <c r="P6">
        <v>3</v>
      </c>
      <c r="V6">
        <v>4.18</v>
      </c>
      <c r="W6">
        <v>2.52</v>
      </c>
      <c r="X6">
        <v>0.96</v>
      </c>
      <c r="Y6">
        <v>0.7</v>
      </c>
      <c r="Z6">
        <v>0</v>
      </c>
      <c r="AA6">
        <v>0</v>
      </c>
      <c r="AB6">
        <v>0</v>
      </c>
      <c r="AC6">
        <v>12.65</v>
      </c>
      <c r="AF6">
        <v>30</v>
      </c>
      <c r="AG6">
        <v>0.61</v>
      </c>
      <c r="AH6">
        <v>25</v>
      </c>
      <c r="AI6">
        <v>47</v>
      </c>
      <c r="AJ6">
        <v>337</v>
      </c>
      <c r="AK6">
        <v>55</v>
      </c>
      <c r="AL6">
        <v>0.3</v>
      </c>
      <c r="AM6">
        <v>0.151</v>
      </c>
      <c r="AN6">
        <v>0.25800000000000001</v>
      </c>
      <c r="AP6">
        <v>0.6</v>
      </c>
      <c r="AS6">
        <v>2.4</v>
      </c>
      <c r="AT6">
        <v>7.8E-2</v>
      </c>
      <c r="AU6">
        <v>6.0999999999999999E-2</v>
      </c>
      <c r="AV6">
        <v>0.55700000000000005</v>
      </c>
      <c r="AW6">
        <v>0.8</v>
      </c>
      <c r="AX6">
        <v>0.20899999999999999</v>
      </c>
      <c r="AZ6">
        <v>11</v>
      </c>
      <c r="BA6">
        <v>0</v>
      </c>
      <c r="BB6">
        <v>11</v>
      </c>
      <c r="BC6">
        <v>11</v>
      </c>
      <c r="BD6">
        <v>12.3</v>
      </c>
      <c r="BK6">
        <v>0</v>
      </c>
      <c r="BL6">
        <v>0</v>
      </c>
      <c r="BM6">
        <v>709</v>
      </c>
      <c r="BN6">
        <v>0</v>
      </c>
      <c r="BO6">
        <v>8509</v>
      </c>
      <c r="BR6">
        <v>7</v>
      </c>
      <c r="BT6">
        <v>0</v>
      </c>
      <c r="BV6">
        <v>14187</v>
      </c>
      <c r="BW6">
        <v>0</v>
      </c>
      <c r="BZ6">
        <v>0</v>
      </c>
      <c r="CF6">
        <v>0.26</v>
      </c>
      <c r="CG6">
        <v>0</v>
      </c>
      <c r="CH6">
        <v>0.01</v>
      </c>
      <c r="CI6">
        <v>0</v>
      </c>
      <c r="CJ6">
        <v>0</v>
      </c>
      <c r="CK6">
        <v>0.01</v>
      </c>
      <c r="CL6">
        <v>0</v>
      </c>
      <c r="CM6">
        <v>0</v>
      </c>
      <c r="CN6">
        <v>0</v>
      </c>
      <c r="CO6">
        <v>0</v>
      </c>
      <c r="CP6">
        <v>0</v>
      </c>
      <c r="CT6">
        <v>1.8</v>
      </c>
      <c r="CU6">
        <v>1.7999999999999999E-2</v>
      </c>
      <c r="CV6">
        <v>0</v>
      </c>
      <c r="CX6">
        <v>0</v>
      </c>
      <c r="CZ6">
        <v>0</v>
      </c>
      <c r="DB6">
        <v>0</v>
      </c>
      <c r="DD6">
        <v>0</v>
      </c>
      <c r="DF6">
        <v>0</v>
      </c>
      <c r="DG6">
        <v>0</v>
      </c>
      <c r="DH6">
        <v>1.7999999999999999E-2</v>
      </c>
      <c r="DI6">
        <v>0</v>
      </c>
      <c r="DJ6">
        <v>1E-3</v>
      </c>
      <c r="DK6">
        <v>0</v>
      </c>
      <c r="DM6">
        <v>0</v>
      </c>
      <c r="DO6">
        <v>0</v>
      </c>
      <c r="DP6">
        <v>1E-3</v>
      </c>
      <c r="DR6">
        <v>0</v>
      </c>
      <c r="DT6">
        <v>0</v>
      </c>
      <c r="DU6">
        <v>0</v>
      </c>
      <c r="DW6">
        <v>0</v>
      </c>
      <c r="DY6">
        <v>1E-3</v>
      </c>
      <c r="EA6">
        <v>0</v>
      </c>
      <c r="EC6">
        <v>0</v>
      </c>
      <c r="EH6">
        <v>1.4E-2</v>
      </c>
      <c r="EI6">
        <v>1.2999999999999999E-2</v>
      </c>
      <c r="EN6">
        <v>1E-3</v>
      </c>
      <c r="ER6">
        <v>0</v>
      </c>
      <c r="ET6">
        <v>0</v>
      </c>
      <c r="EU6">
        <v>0</v>
      </c>
      <c r="FA6">
        <v>0</v>
      </c>
      <c r="FD6">
        <v>0</v>
      </c>
      <c r="FH6">
        <v>0</v>
      </c>
      <c r="FJ6">
        <v>0</v>
      </c>
      <c r="FK6">
        <v>0</v>
      </c>
      <c r="FX6">
        <v>0</v>
      </c>
      <c r="FY6">
        <v>12</v>
      </c>
      <c r="FZ6">
        <v>3.1E-2</v>
      </c>
      <c r="GA6">
        <v>8.3000000000000004E-2</v>
      </c>
      <c r="GB6">
        <v>5.5E-2</v>
      </c>
      <c r="GC6">
        <v>9.1999999999999998E-2</v>
      </c>
      <c r="GD6">
        <v>6.6000000000000003E-2</v>
      </c>
      <c r="GE6">
        <v>2.9000000000000001E-2</v>
      </c>
      <c r="GF6">
        <v>2.1999999999999999E-2</v>
      </c>
      <c r="GG6">
        <v>8.8999999999999996E-2</v>
      </c>
      <c r="GH6">
        <v>3.4000000000000002E-2</v>
      </c>
      <c r="GI6">
        <v>8.5999999999999993E-2</v>
      </c>
      <c r="GJ6">
        <v>5.5E-2</v>
      </c>
      <c r="GK6">
        <v>3.1E-2</v>
      </c>
      <c r="GL6">
        <v>7.6999999999999999E-2</v>
      </c>
      <c r="GM6">
        <v>0.38200000000000001</v>
      </c>
      <c r="GN6">
        <v>0.155</v>
      </c>
      <c r="GO6">
        <v>6.3E-2</v>
      </c>
      <c r="GP6">
        <v>5.1999999999999998E-2</v>
      </c>
      <c r="GQ6">
        <v>8.7999999999999995E-2</v>
      </c>
      <c r="GT6">
        <v>0</v>
      </c>
      <c r="GU6">
        <v>0</v>
      </c>
      <c r="GV6">
        <v>0</v>
      </c>
      <c r="GW6">
        <v>0</v>
      </c>
    </row>
    <row r="7" spans="1:226" x14ac:dyDescent="0.3">
      <c r="A7">
        <v>168483</v>
      </c>
      <c r="B7" t="s">
        <v>276</v>
      </c>
      <c r="D7" t="s">
        <v>242</v>
      </c>
      <c r="E7" s="8">
        <v>100</v>
      </c>
      <c r="F7" s="9">
        <f>E7/SUM($E$3:$E$82)</f>
        <v>1.3025803062487084E-2</v>
      </c>
      <c r="G7">
        <v>75.78</v>
      </c>
      <c r="H7">
        <v>92.22999999999999</v>
      </c>
      <c r="I7">
        <v>385.89031999999997</v>
      </c>
      <c r="K7">
        <v>2.0099999999999998</v>
      </c>
      <c r="L7">
        <v>0.15</v>
      </c>
      <c r="M7">
        <v>0.15</v>
      </c>
      <c r="N7">
        <v>1.35</v>
      </c>
      <c r="O7">
        <v>20.71</v>
      </c>
      <c r="P7">
        <v>3.3</v>
      </c>
      <c r="V7">
        <v>6.48</v>
      </c>
      <c r="W7">
        <v>2.2799999999999998</v>
      </c>
      <c r="X7">
        <v>0.56999999999999995</v>
      </c>
      <c r="Y7">
        <v>0.5</v>
      </c>
      <c r="Z7">
        <v>0</v>
      </c>
      <c r="AA7">
        <v>3.12</v>
      </c>
      <c r="AB7">
        <v>0</v>
      </c>
      <c r="AC7">
        <v>7.05</v>
      </c>
      <c r="AF7">
        <v>38</v>
      </c>
      <c r="AG7">
        <v>0.69</v>
      </c>
      <c r="AH7">
        <v>27</v>
      </c>
      <c r="AI7">
        <v>54</v>
      </c>
      <c r="AJ7">
        <v>475</v>
      </c>
      <c r="AK7">
        <v>36</v>
      </c>
      <c r="AL7">
        <v>0.32</v>
      </c>
      <c r="AM7">
        <v>0.161</v>
      </c>
      <c r="AN7">
        <v>0.497</v>
      </c>
      <c r="AP7">
        <v>0.2</v>
      </c>
      <c r="AS7">
        <v>19.600000000000001</v>
      </c>
      <c r="AT7">
        <v>0.107</v>
      </c>
      <c r="AU7">
        <v>0.106</v>
      </c>
      <c r="AV7">
        <v>1.4870000000000001</v>
      </c>
      <c r="AW7">
        <v>0.88400000000000001</v>
      </c>
      <c r="AX7">
        <v>0.28599999999999998</v>
      </c>
      <c r="AZ7">
        <v>6</v>
      </c>
      <c r="BA7">
        <v>0</v>
      </c>
      <c r="BB7">
        <v>6</v>
      </c>
      <c r="BC7">
        <v>6</v>
      </c>
      <c r="BD7">
        <v>13.1</v>
      </c>
      <c r="BJ7">
        <v>34.6</v>
      </c>
      <c r="BK7">
        <v>0</v>
      </c>
      <c r="BL7">
        <v>0</v>
      </c>
      <c r="BM7">
        <v>961</v>
      </c>
      <c r="BN7">
        <v>0</v>
      </c>
      <c r="BO7">
        <v>11509</v>
      </c>
      <c r="BR7">
        <v>43</v>
      </c>
      <c r="BT7">
        <v>0</v>
      </c>
      <c r="BV7">
        <v>19218</v>
      </c>
      <c r="BW7">
        <v>0</v>
      </c>
      <c r="BZ7">
        <v>0</v>
      </c>
      <c r="CF7">
        <v>0.71</v>
      </c>
      <c r="CG7">
        <v>0</v>
      </c>
      <c r="CH7">
        <v>0</v>
      </c>
      <c r="CI7">
        <v>0.01</v>
      </c>
      <c r="CJ7">
        <v>0</v>
      </c>
      <c r="CK7">
        <v>0.02</v>
      </c>
      <c r="CL7">
        <v>0</v>
      </c>
      <c r="CM7">
        <v>0</v>
      </c>
      <c r="CN7">
        <v>0</v>
      </c>
      <c r="CO7">
        <v>0</v>
      </c>
      <c r="CP7">
        <v>0</v>
      </c>
      <c r="CT7">
        <v>2.2999999999999998</v>
      </c>
      <c r="CU7">
        <v>5.1999999999999998E-2</v>
      </c>
      <c r="CV7">
        <v>0</v>
      </c>
      <c r="CX7">
        <v>0</v>
      </c>
      <c r="CZ7">
        <v>0</v>
      </c>
      <c r="DB7">
        <v>0</v>
      </c>
      <c r="DD7">
        <v>0</v>
      </c>
      <c r="DF7">
        <v>0</v>
      </c>
      <c r="DG7">
        <v>0</v>
      </c>
      <c r="DH7">
        <v>0.05</v>
      </c>
      <c r="DI7">
        <v>0</v>
      </c>
      <c r="DJ7">
        <v>2E-3</v>
      </c>
      <c r="DK7">
        <v>0</v>
      </c>
      <c r="DM7">
        <v>0</v>
      </c>
      <c r="DO7">
        <v>0</v>
      </c>
      <c r="DP7">
        <v>2E-3</v>
      </c>
      <c r="DR7">
        <v>0</v>
      </c>
      <c r="DT7">
        <v>0</v>
      </c>
      <c r="DU7">
        <v>0</v>
      </c>
      <c r="DW7">
        <v>0</v>
      </c>
      <c r="DY7">
        <v>2E-3</v>
      </c>
      <c r="EA7">
        <v>0</v>
      </c>
      <c r="EC7">
        <v>0</v>
      </c>
      <c r="EH7">
        <v>9.1999999999999998E-2</v>
      </c>
      <c r="EI7">
        <v>0.09</v>
      </c>
      <c r="EN7">
        <v>6.0000000000000001E-3</v>
      </c>
      <c r="ER7">
        <v>0</v>
      </c>
      <c r="ET7">
        <v>0</v>
      </c>
      <c r="EU7">
        <v>0</v>
      </c>
      <c r="FA7">
        <v>0</v>
      </c>
      <c r="FD7">
        <v>0</v>
      </c>
      <c r="FH7">
        <v>0</v>
      </c>
      <c r="FJ7">
        <v>0</v>
      </c>
      <c r="FK7">
        <v>0</v>
      </c>
      <c r="FX7">
        <v>0</v>
      </c>
      <c r="FZ7">
        <v>0.04</v>
      </c>
      <c r="GA7">
        <v>0.107</v>
      </c>
      <c r="GB7">
        <v>7.0000000000000007E-2</v>
      </c>
      <c r="GC7">
        <v>0.11799999999999999</v>
      </c>
      <c r="GD7">
        <v>8.4000000000000005E-2</v>
      </c>
      <c r="GE7">
        <v>3.6999999999999998E-2</v>
      </c>
      <c r="GF7">
        <v>2.8000000000000001E-2</v>
      </c>
      <c r="GG7">
        <v>0.114</v>
      </c>
      <c r="GH7">
        <v>4.3999999999999997E-2</v>
      </c>
      <c r="GI7">
        <v>0.11</v>
      </c>
      <c r="GJ7">
        <v>7.0000000000000007E-2</v>
      </c>
      <c r="GK7">
        <v>3.9E-2</v>
      </c>
      <c r="GL7">
        <v>9.9000000000000005E-2</v>
      </c>
      <c r="GM7">
        <v>0.48799999999999999</v>
      </c>
      <c r="GN7">
        <v>0.19800000000000001</v>
      </c>
      <c r="GO7">
        <v>8.1000000000000003E-2</v>
      </c>
      <c r="GP7">
        <v>6.7000000000000004E-2</v>
      </c>
      <c r="GQ7">
        <v>0.113</v>
      </c>
      <c r="GT7">
        <v>0</v>
      </c>
      <c r="GU7">
        <v>0</v>
      </c>
      <c r="GV7">
        <v>0</v>
      </c>
      <c r="GW7">
        <v>0</v>
      </c>
    </row>
    <row r="8" spans="1:226" x14ac:dyDescent="0.3">
      <c r="A8">
        <v>168746</v>
      </c>
      <c r="B8" t="s">
        <v>264</v>
      </c>
      <c r="D8" t="s">
        <v>242</v>
      </c>
      <c r="E8" s="8">
        <v>100</v>
      </c>
      <c r="F8" s="9">
        <f>E8/SUM($E$3:$E$82)</f>
        <v>1.3025803062487084E-2</v>
      </c>
      <c r="G8">
        <v>91.96</v>
      </c>
      <c r="H8">
        <v>16.04</v>
      </c>
      <c r="I8">
        <v>67.111360000000005</v>
      </c>
      <c r="K8">
        <v>0.46</v>
      </c>
      <c r="L8">
        <v>0</v>
      </c>
      <c r="M8">
        <v>0</v>
      </c>
      <c r="N8">
        <v>0.16</v>
      </c>
      <c r="O8">
        <v>3.55</v>
      </c>
      <c r="P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F8">
        <v>4</v>
      </c>
      <c r="AG8">
        <v>0.02</v>
      </c>
      <c r="AH8">
        <v>6</v>
      </c>
      <c r="AI8">
        <v>14</v>
      </c>
      <c r="AJ8">
        <v>27</v>
      </c>
      <c r="AK8">
        <v>4</v>
      </c>
      <c r="AL8">
        <v>0.01</v>
      </c>
      <c r="AM8">
        <v>5.0000000000000001E-3</v>
      </c>
      <c r="AN8">
        <v>8.0000000000000002E-3</v>
      </c>
      <c r="AP8">
        <v>0.6</v>
      </c>
      <c r="AQ8">
        <v>44.2</v>
      </c>
      <c r="AS8">
        <v>0</v>
      </c>
      <c r="AT8">
        <v>5.0000000000000001E-3</v>
      </c>
      <c r="AU8">
        <v>2.5000000000000001E-2</v>
      </c>
      <c r="AV8">
        <v>0.51300000000000001</v>
      </c>
      <c r="AW8">
        <v>4.1000000000000002E-2</v>
      </c>
      <c r="AX8">
        <v>4.5999999999999999E-2</v>
      </c>
      <c r="AZ8">
        <v>6</v>
      </c>
      <c r="BA8">
        <v>0</v>
      </c>
      <c r="BB8">
        <v>6</v>
      </c>
      <c r="BC8">
        <v>6</v>
      </c>
      <c r="BD8">
        <v>10.1</v>
      </c>
      <c r="BK8">
        <v>0.02</v>
      </c>
      <c r="BL8">
        <v>0</v>
      </c>
      <c r="BM8">
        <v>0</v>
      </c>
      <c r="BN8">
        <v>0</v>
      </c>
      <c r="BO8">
        <v>0</v>
      </c>
      <c r="BR8">
        <v>0</v>
      </c>
      <c r="BT8">
        <v>0</v>
      </c>
      <c r="BV8">
        <v>0</v>
      </c>
      <c r="BW8">
        <v>0</v>
      </c>
      <c r="BZ8">
        <v>0</v>
      </c>
      <c r="CF8">
        <v>0</v>
      </c>
      <c r="CG8">
        <v>0</v>
      </c>
      <c r="CH8">
        <v>0</v>
      </c>
      <c r="CI8">
        <v>0</v>
      </c>
      <c r="CJ8">
        <v>0</v>
      </c>
      <c r="CO8">
        <v>0</v>
      </c>
      <c r="CP8">
        <v>0</v>
      </c>
      <c r="CT8">
        <v>0</v>
      </c>
      <c r="CU8">
        <v>0</v>
      </c>
      <c r="CV8">
        <v>0</v>
      </c>
      <c r="CX8">
        <v>0</v>
      </c>
      <c r="CZ8">
        <v>0</v>
      </c>
      <c r="DB8">
        <v>0</v>
      </c>
      <c r="DD8">
        <v>0</v>
      </c>
      <c r="DF8">
        <v>0</v>
      </c>
      <c r="DH8">
        <v>0</v>
      </c>
      <c r="DJ8">
        <v>0</v>
      </c>
      <c r="DP8">
        <v>0</v>
      </c>
      <c r="DU8">
        <v>0</v>
      </c>
      <c r="DY8">
        <v>0</v>
      </c>
      <c r="EA8">
        <v>0</v>
      </c>
      <c r="EC8">
        <v>0</v>
      </c>
      <c r="EH8">
        <v>0</v>
      </c>
      <c r="EI8">
        <v>0</v>
      </c>
      <c r="EN8">
        <v>0</v>
      </c>
      <c r="ER8">
        <v>0</v>
      </c>
      <c r="FA8">
        <v>0</v>
      </c>
      <c r="FD8">
        <v>0</v>
      </c>
      <c r="FH8">
        <v>0</v>
      </c>
      <c r="FJ8">
        <v>0</v>
      </c>
      <c r="FK8">
        <v>0</v>
      </c>
      <c r="FX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1.2E-2</v>
      </c>
      <c r="GM8">
        <v>1.6E-2</v>
      </c>
      <c r="GN8">
        <v>4.7E-2</v>
      </c>
      <c r="GO8">
        <v>1.2999999999999999E-2</v>
      </c>
      <c r="GP8">
        <v>3.5000000000000003E-2</v>
      </c>
      <c r="GQ8">
        <v>0</v>
      </c>
      <c r="GT8">
        <v>3.9</v>
      </c>
      <c r="GU8">
        <v>0</v>
      </c>
      <c r="GV8">
        <v>0</v>
      </c>
      <c r="GW8">
        <v>0</v>
      </c>
    </row>
    <row r="9" spans="1:226" x14ac:dyDescent="0.3">
      <c r="A9">
        <v>169102</v>
      </c>
      <c r="B9" t="s">
        <v>320</v>
      </c>
      <c r="D9" t="s">
        <v>242</v>
      </c>
      <c r="E9" s="8">
        <v>100</v>
      </c>
      <c r="F9" s="9">
        <f>E9/SUM($E$3:$E$82)</f>
        <v>1.3025803062487084E-2</v>
      </c>
      <c r="G9">
        <v>90.07</v>
      </c>
      <c r="H9">
        <v>38.14</v>
      </c>
      <c r="I9">
        <v>159.57776000000001</v>
      </c>
      <c r="K9">
        <v>0.6</v>
      </c>
      <c r="L9">
        <v>0.06</v>
      </c>
      <c r="M9">
        <v>0.06</v>
      </c>
      <c r="N9">
        <v>0.47</v>
      </c>
      <c r="O9">
        <v>8.8000000000000007</v>
      </c>
      <c r="P9">
        <v>0.2</v>
      </c>
      <c r="V9">
        <v>7.42</v>
      </c>
      <c r="AF9">
        <v>12</v>
      </c>
      <c r="AG9">
        <v>0.08</v>
      </c>
      <c r="AH9">
        <v>10</v>
      </c>
      <c r="AI9">
        <v>15</v>
      </c>
      <c r="AJ9">
        <v>158</v>
      </c>
      <c r="AK9">
        <v>4</v>
      </c>
      <c r="AL9">
        <v>0.04</v>
      </c>
      <c r="AM9">
        <v>2.1000000000000001E-2</v>
      </c>
      <c r="AP9">
        <v>0.1</v>
      </c>
      <c r="AS9">
        <v>36.200000000000003</v>
      </c>
      <c r="AT9">
        <v>6.9000000000000006E-2</v>
      </c>
      <c r="AU9">
        <v>4.3999999999999997E-2</v>
      </c>
      <c r="AV9">
        <v>0.27300000000000002</v>
      </c>
      <c r="AX9">
        <v>6.5000000000000002E-2</v>
      </c>
      <c r="AZ9">
        <v>19</v>
      </c>
      <c r="BA9">
        <v>0</v>
      </c>
      <c r="BB9">
        <v>19</v>
      </c>
      <c r="BC9">
        <v>19</v>
      </c>
      <c r="BD9">
        <v>5</v>
      </c>
      <c r="BK9">
        <v>0</v>
      </c>
      <c r="BL9">
        <v>0</v>
      </c>
      <c r="BM9">
        <v>3</v>
      </c>
      <c r="BN9">
        <v>0</v>
      </c>
      <c r="BO9">
        <v>13</v>
      </c>
      <c r="BR9">
        <v>5</v>
      </c>
      <c r="BT9">
        <v>48</v>
      </c>
      <c r="BV9">
        <v>66</v>
      </c>
      <c r="BW9">
        <v>0</v>
      </c>
      <c r="BZ9">
        <v>83</v>
      </c>
      <c r="CF9">
        <v>0.15</v>
      </c>
      <c r="CG9">
        <v>0</v>
      </c>
      <c r="CO9">
        <v>0</v>
      </c>
      <c r="CP9">
        <v>0</v>
      </c>
      <c r="CT9">
        <v>0.1</v>
      </c>
      <c r="CU9">
        <v>1.4999999999999999E-2</v>
      </c>
      <c r="CV9">
        <v>0</v>
      </c>
      <c r="CX9">
        <v>0</v>
      </c>
      <c r="CZ9">
        <v>0</v>
      </c>
      <c r="DB9">
        <v>0</v>
      </c>
      <c r="DD9">
        <v>1E-3</v>
      </c>
      <c r="DF9">
        <v>1E-3</v>
      </c>
      <c r="DH9">
        <v>1.0999999999999999E-2</v>
      </c>
      <c r="DJ9">
        <v>2E-3</v>
      </c>
      <c r="DP9">
        <v>1.2E-2</v>
      </c>
      <c r="DU9">
        <v>2E-3</v>
      </c>
      <c r="DY9">
        <v>1.0999999999999999E-2</v>
      </c>
      <c r="EA9">
        <v>0</v>
      </c>
      <c r="EC9">
        <v>0</v>
      </c>
      <c r="EH9">
        <v>1.6E-2</v>
      </c>
      <c r="EI9">
        <v>1.2E-2</v>
      </c>
      <c r="EN9">
        <v>4.0000000000000001E-3</v>
      </c>
      <c r="ER9">
        <v>0</v>
      </c>
      <c r="FA9">
        <v>0</v>
      </c>
      <c r="FD9">
        <v>0</v>
      </c>
      <c r="FH9">
        <v>0</v>
      </c>
      <c r="FJ9">
        <v>0</v>
      </c>
      <c r="FK9">
        <v>0</v>
      </c>
      <c r="FX9">
        <v>0</v>
      </c>
      <c r="GT9">
        <v>0</v>
      </c>
      <c r="GU9">
        <v>0</v>
      </c>
      <c r="GV9">
        <v>0</v>
      </c>
    </row>
    <row r="10" spans="1:226" x14ac:dyDescent="0.3">
      <c r="A10">
        <v>169707</v>
      </c>
      <c r="B10" t="s">
        <v>281</v>
      </c>
      <c r="D10" t="s">
        <v>242</v>
      </c>
      <c r="E10" s="8">
        <v>100</v>
      </c>
      <c r="F10" s="9">
        <f>E10/SUM($E$3:$E$82)</f>
        <v>1.3025803062487084E-2</v>
      </c>
      <c r="G10">
        <v>9.86</v>
      </c>
      <c r="H10">
        <v>362.87</v>
      </c>
      <c r="I10">
        <v>1518.2480800000001</v>
      </c>
      <c r="K10">
        <v>7.51</v>
      </c>
      <c r="L10">
        <v>1.03</v>
      </c>
      <c r="M10">
        <v>1.03</v>
      </c>
      <c r="N10">
        <v>0.71</v>
      </c>
      <c r="O10">
        <v>80.89</v>
      </c>
      <c r="P10">
        <v>1.8</v>
      </c>
      <c r="V10">
        <v>0.33</v>
      </c>
      <c r="W10">
        <v>0.21</v>
      </c>
      <c r="X10">
        <v>0.11</v>
      </c>
      <c r="Y10">
        <v>0.02</v>
      </c>
      <c r="Z10">
        <v>0</v>
      </c>
      <c r="AA10">
        <v>0</v>
      </c>
      <c r="AB10">
        <v>0</v>
      </c>
      <c r="AC10">
        <v>68.290000000000006</v>
      </c>
      <c r="AF10">
        <v>71</v>
      </c>
      <c r="AG10">
        <v>3.33</v>
      </c>
      <c r="AH10">
        <v>27</v>
      </c>
      <c r="AI10">
        <v>153</v>
      </c>
      <c r="AJ10">
        <v>174</v>
      </c>
      <c r="AK10">
        <v>2</v>
      </c>
      <c r="AL10">
        <v>1.02</v>
      </c>
      <c r="AM10">
        <v>0.28399999999999997</v>
      </c>
      <c r="AN10">
        <v>1.0349999999999999</v>
      </c>
      <c r="AP10">
        <v>19.899999999999999</v>
      </c>
      <c r="AS10">
        <v>0</v>
      </c>
      <c r="AT10">
        <v>0.60299999999999998</v>
      </c>
      <c r="AU10">
        <v>0.05</v>
      </c>
      <c r="AV10">
        <v>5.048</v>
      </c>
      <c r="AW10">
        <v>0.67200000000000004</v>
      </c>
      <c r="AX10">
        <v>0.45200000000000001</v>
      </c>
      <c r="AZ10">
        <v>257</v>
      </c>
      <c r="BA10">
        <v>249</v>
      </c>
      <c r="BB10">
        <v>8</v>
      </c>
      <c r="BC10">
        <v>431</v>
      </c>
      <c r="BD10">
        <v>6</v>
      </c>
      <c r="BK10">
        <v>0</v>
      </c>
      <c r="BL10">
        <v>0</v>
      </c>
      <c r="BM10">
        <v>0</v>
      </c>
      <c r="BN10">
        <v>0</v>
      </c>
      <c r="BO10">
        <v>0</v>
      </c>
      <c r="BR10">
        <v>0</v>
      </c>
      <c r="BT10">
        <v>0</v>
      </c>
      <c r="BV10">
        <v>0</v>
      </c>
      <c r="BW10">
        <v>0</v>
      </c>
      <c r="BZ10">
        <v>0</v>
      </c>
      <c r="CF10">
        <v>0.03</v>
      </c>
      <c r="CG10">
        <v>0</v>
      </c>
      <c r="CH10">
        <v>0.02</v>
      </c>
      <c r="CI10">
        <v>0.17</v>
      </c>
      <c r="CJ10">
        <v>0</v>
      </c>
      <c r="CK10">
        <v>0.05</v>
      </c>
      <c r="CL10">
        <v>0</v>
      </c>
      <c r="CM10">
        <v>0</v>
      </c>
      <c r="CN10">
        <v>0</v>
      </c>
      <c r="CO10">
        <v>0</v>
      </c>
      <c r="CP10">
        <v>0</v>
      </c>
      <c r="CT10">
        <v>0.1</v>
      </c>
      <c r="CU10">
        <v>0.29399999999999998</v>
      </c>
      <c r="CV10">
        <v>0</v>
      </c>
      <c r="CX10">
        <v>0</v>
      </c>
      <c r="CZ10">
        <v>0</v>
      </c>
      <c r="DB10">
        <v>0</v>
      </c>
      <c r="DD10">
        <v>0</v>
      </c>
      <c r="DF10">
        <v>0</v>
      </c>
      <c r="DG10">
        <v>0</v>
      </c>
      <c r="DH10">
        <v>0.27700000000000002</v>
      </c>
      <c r="DI10">
        <v>0</v>
      </c>
      <c r="DJ10">
        <v>1.7000000000000001E-2</v>
      </c>
      <c r="DK10">
        <v>0</v>
      </c>
      <c r="DM10">
        <v>0</v>
      </c>
      <c r="DO10">
        <v>0</v>
      </c>
      <c r="DP10">
        <v>0.25800000000000001</v>
      </c>
      <c r="DR10">
        <v>0</v>
      </c>
      <c r="DU10">
        <v>0</v>
      </c>
      <c r="DY10">
        <v>0.25800000000000001</v>
      </c>
      <c r="EA10">
        <v>0</v>
      </c>
      <c r="EC10">
        <v>0</v>
      </c>
      <c r="EH10">
        <v>0.32200000000000001</v>
      </c>
      <c r="EI10">
        <v>0.30499999999999999</v>
      </c>
      <c r="EN10">
        <v>1.7000000000000001E-2</v>
      </c>
      <c r="ER10">
        <v>0</v>
      </c>
      <c r="FA10">
        <v>0</v>
      </c>
      <c r="FD10">
        <v>0</v>
      </c>
      <c r="FH10">
        <v>0</v>
      </c>
      <c r="FJ10">
        <v>0</v>
      </c>
      <c r="FX10">
        <v>0</v>
      </c>
      <c r="FZ10">
        <v>0.10299999999999999</v>
      </c>
      <c r="GA10">
        <v>0.27100000000000002</v>
      </c>
      <c r="GB10">
        <v>0.33900000000000002</v>
      </c>
      <c r="GC10">
        <v>0.65600000000000003</v>
      </c>
      <c r="GD10">
        <v>0.215</v>
      </c>
      <c r="GE10">
        <v>0.183</v>
      </c>
      <c r="GF10">
        <v>0.153</v>
      </c>
      <c r="GG10">
        <v>0.39800000000000002</v>
      </c>
      <c r="GH10">
        <v>0.216</v>
      </c>
      <c r="GI10">
        <v>0.47</v>
      </c>
      <c r="GJ10">
        <v>0.65100000000000002</v>
      </c>
      <c r="GK10">
        <v>0.185</v>
      </c>
      <c r="GL10">
        <v>0.433</v>
      </c>
      <c r="GM10">
        <v>0.79500000000000004</v>
      </c>
      <c r="GN10">
        <v>1.395</v>
      </c>
      <c r="GO10">
        <v>0.35799999999999998</v>
      </c>
      <c r="GP10">
        <v>0.48399999999999999</v>
      </c>
      <c r="GQ10">
        <v>0.36599999999999999</v>
      </c>
      <c r="GT10">
        <v>0</v>
      </c>
      <c r="GU10">
        <v>0</v>
      </c>
      <c r="GV10">
        <v>0</v>
      </c>
    </row>
    <row r="11" spans="1:226" x14ac:dyDescent="0.3">
      <c r="A11">
        <v>169758</v>
      </c>
      <c r="B11" t="s">
        <v>248</v>
      </c>
      <c r="D11" t="s">
        <v>242</v>
      </c>
      <c r="E11" s="8">
        <v>100</v>
      </c>
      <c r="F11" s="9">
        <f>E11/SUM($E$3:$E$82)</f>
        <v>1.3025803062487084E-2</v>
      </c>
      <c r="G11">
        <v>9.86</v>
      </c>
      <c r="H11">
        <v>362.87</v>
      </c>
      <c r="I11">
        <v>1518.2480800000001</v>
      </c>
      <c r="K11">
        <v>7.51</v>
      </c>
      <c r="L11">
        <v>1.03</v>
      </c>
      <c r="M11">
        <v>1.03</v>
      </c>
      <c r="N11">
        <v>0.71</v>
      </c>
      <c r="O11">
        <v>80.89</v>
      </c>
      <c r="P11">
        <v>1.8</v>
      </c>
      <c r="V11">
        <v>0.33</v>
      </c>
      <c r="W11">
        <v>0.21</v>
      </c>
      <c r="X11">
        <v>0.11</v>
      </c>
      <c r="Y11">
        <v>0.02</v>
      </c>
      <c r="Z11">
        <v>0</v>
      </c>
      <c r="AA11">
        <v>0</v>
      </c>
      <c r="AB11">
        <v>0</v>
      </c>
      <c r="AC11">
        <v>68.290000000000006</v>
      </c>
      <c r="AF11">
        <v>71</v>
      </c>
      <c r="AG11">
        <v>0.74</v>
      </c>
      <c r="AH11">
        <v>27</v>
      </c>
      <c r="AI11">
        <v>153</v>
      </c>
      <c r="AJ11">
        <v>174</v>
      </c>
      <c r="AK11">
        <v>2</v>
      </c>
      <c r="AL11">
        <v>1.02</v>
      </c>
      <c r="AM11">
        <v>0.28399999999999997</v>
      </c>
      <c r="AN11">
        <v>1.0349999999999999</v>
      </c>
      <c r="AP11">
        <v>19.899999999999999</v>
      </c>
      <c r="AS11">
        <v>0</v>
      </c>
      <c r="AT11">
        <v>0.224</v>
      </c>
      <c r="AU11">
        <v>0.05</v>
      </c>
      <c r="AV11">
        <v>5.048</v>
      </c>
      <c r="AW11">
        <v>0.67200000000000004</v>
      </c>
      <c r="AX11">
        <v>0.45200000000000001</v>
      </c>
      <c r="AZ11">
        <v>8</v>
      </c>
      <c r="BA11">
        <v>0</v>
      </c>
      <c r="BB11">
        <v>8</v>
      </c>
      <c r="BC11">
        <v>8</v>
      </c>
      <c r="BK11">
        <v>0</v>
      </c>
      <c r="BL11">
        <v>0</v>
      </c>
      <c r="BN11">
        <v>0</v>
      </c>
      <c r="BV11">
        <v>0</v>
      </c>
      <c r="CF11">
        <v>0.03</v>
      </c>
      <c r="CG11">
        <v>0</v>
      </c>
      <c r="CH11">
        <v>0.02</v>
      </c>
      <c r="CI11">
        <v>0.17</v>
      </c>
      <c r="CJ11">
        <v>0</v>
      </c>
      <c r="CK11">
        <v>0.05</v>
      </c>
      <c r="CL11">
        <v>0</v>
      </c>
      <c r="CM11">
        <v>0</v>
      </c>
      <c r="CN11">
        <v>0</v>
      </c>
      <c r="CO11">
        <v>0</v>
      </c>
      <c r="CP11">
        <v>0</v>
      </c>
      <c r="CT11">
        <v>0.1</v>
      </c>
      <c r="CU11">
        <v>0.29399999999999998</v>
      </c>
      <c r="CV11">
        <v>0</v>
      </c>
      <c r="CX11">
        <v>0</v>
      </c>
      <c r="CZ11">
        <v>0</v>
      </c>
      <c r="DB11">
        <v>0</v>
      </c>
      <c r="DD11">
        <v>0</v>
      </c>
      <c r="DF11">
        <v>0</v>
      </c>
      <c r="DG11">
        <v>0</v>
      </c>
      <c r="DH11">
        <v>0.27700000000000002</v>
      </c>
      <c r="DI11">
        <v>0</v>
      </c>
      <c r="DJ11">
        <v>1.7000000000000001E-2</v>
      </c>
      <c r="DK11">
        <v>0</v>
      </c>
      <c r="DM11">
        <v>0</v>
      </c>
      <c r="DO11">
        <v>0</v>
      </c>
      <c r="DP11">
        <v>0.25800000000000001</v>
      </c>
      <c r="DR11">
        <v>0</v>
      </c>
      <c r="DU11">
        <v>0</v>
      </c>
      <c r="DY11">
        <v>0.25800000000000001</v>
      </c>
      <c r="EA11">
        <v>0</v>
      </c>
      <c r="EC11">
        <v>0</v>
      </c>
      <c r="EH11">
        <v>0.32200000000000001</v>
      </c>
      <c r="EI11">
        <v>0.30499999999999999</v>
      </c>
      <c r="EN11">
        <v>1.7000000000000001E-2</v>
      </c>
      <c r="ER11">
        <v>0</v>
      </c>
      <c r="FA11">
        <v>0</v>
      </c>
      <c r="FD11">
        <v>0</v>
      </c>
      <c r="FH11">
        <v>0</v>
      </c>
      <c r="FJ11">
        <v>0</v>
      </c>
      <c r="FX11">
        <v>0</v>
      </c>
      <c r="FZ11">
        <v>0.10299999999999999</v>
      </c>
      <c r="GA11">
        <v>0.27100000000000002</v>
      </c>
      <c r="GB11">
        <v>0.33900000000000002</v>
      </c>
      <c r="GC11">
        <v>0.65600000000000003</v>
      </c>
      <c r="GD11">
        <v>0.215</v>
      </c>
      <c r="GE11">
        <v>0.183</v>
      </c>
      <c r="GF11">
        <v>0.153</v>
      </c>
      <c r="GG11">
        <v>0.39800000000000002</v>
      </c>
      <c r="GH11">
        <v>0.216</v>
      </c>
      <c r="GI11">
        <v>0.47</v>
      </c>
      <c r="GJ11">
        <v>0.65100000000000002</v>
      </c>
      <c r="GK11">
        <v>0.185</v>
      </c>
      <c r="GL11">
        <v>0.433</v>
      </c>
      <c r="GM11">
        <v>0.79500000000000004</v>
      </c>
      <c r="GN11">
        <v>1.395</v>
      </c>
      <c r="GO11">
        <v>0.35799999999999998</v>
      </c>
      <c r="GP11">
        <v>0.48399999999999999</v>
      </c>
      <c r="GQ11">
        <v>0.36599999999999999</v>
      </c>
      <c r="GT11">
        <v>0</v>
      </c>
    </row>
    <row r="12" spans="1:226" x14ac:dyDescent="0.3">
      <c r="A12">
        <v>169802</v>
      </c>
      <c r="B12" t="s">
        <v>267</v>
      </c>
      <c r="D12" t="s">
        <v>242</v>
      </c>
      <c r="E12" s="8">
        <v>100</v>
      </c>
      <c r="F12" s="9">
        <f>E12/SUM($E$3:$E$82)</f>
        <v>1.3025803062487084E-2</v>
      </c>
      <c r="G12">
        <v>87</v>
      </c>
      <c r="H12">
        <v>51.2</v>
      </c>
      <c r="I12">
        <v>214.2208</v>
      </c>
      <c r="K12">
        <v>2.4</v>
      </c>
      <c r="L12">
        <v>0.8</v>
      </c>
      <c r="M12">
        <v>0.8</v>
      </c>
      <c r="N12">
        <v>1.2</v>
      </c>
      <c r="O12">
        <v>8.6</v>
      </c>
      <c r="AF12">
        <v>18</v>
      </c>
      <c r="AG12">
        <v>0.7</v>
      </c>
      <c r="AI12">
        <v>35</v>
      </c>
      <c r="AS12">
        <v>158</v>
      </c>
      <c r="AT12">
        <v>0.05</v>
      </c>
      <c r="AU12">
        <v>7.0000000000000007E-2</v>
      </c>
      <c r="AV12">
        <v>0.9</v>
      </c>
      <c r="BV12">
        <v>210</v>
      </c>
    </row>
    <row r="13" spans="1:226" x14ac:dyDescent="0.3">
      <c r="A13">
        <v>169913</v>
      </c>
      <c r="B13" t="s">
        <v>262</v>
      </c>
      <c r="D13" t="s">
        <v>242</v>
      </c>
      <c r="E13" s="8">
        <v>100</v>
      </c>
      <c r="F13" s="9">
        <f>E13/SUM($E$3:$E$82)</f>
        <v>1.3025803062487084E-2</v>
      </c>
      <c r="G13">
        <v>87.68</v>
      </c>
      <c r="H13">
        <v>48.47</v>
      </c>
      <c r="I13">
        <v>202.79848000000001</v>
      </c>
      <c r="K13">
        <v>1.44</v>
      </c>
      <c r="L13">
        <v>0.39</v>
      </c>
      <c r="M13">
        <v>0.39</v>
      </c>
      <c r="N13">
        <v>0.69</v>
      </c>
      <c r="O13">
        <v>9.8000000000000007</v>
      </c>
      <c r="P13">
        <v>1.7</v>
      </c>
      <c r="V13">
        <v>8.1</v>
      </c>
      <c r="AF13">
        <v>39</v>
      </c>
      <c r="AG13">
        <v>1.85</v>
      </c>
      <c r="AH13">
        <v>18</v>
      </c>
      <c r="AI13">
        <v>38</v>
      </c>
      <c r="AJ13">
        <v>194</v>
      </c>
      <c r="AK13">
        <v>10</v>
      </c>
      <c r="AL13">
        <v>0.12</v>
      </c>
      <c r="AM13">
        <v>0.06</v>
      </c>
      <c r="AP13">
        <v>0.6</v>
      </c>
      <c r="AS13">
        <v>36.4</v>
      </c>
      <c r="AT13">
        <v>2.9000000000000001E-2</v>
      </c>
      <c r="AU13">
        <v>0.10100000000000001</v>
      </c>
      <c r="AV13">
        <v>0.62</v>
      </c>
      <c r="AX13">
        <v>0.05</v>
      </c>
      <c r="AZ13">
        <v>6</v>
      </c>
      <c r="BA13">
        <v>0</v>
      </c>
      <c r="BB13">
        <v>6</v>
      </c>
      <c r="BC13">
        <v>6</v>
      </c>
      <c r="BD13">
        <v>12.3</v>
      </c>
      <c r="BK13">
        <v>0</v>
      </c>
      <c r="BL13">
        <v>0</v>
      </c>
      <c r="BM13">
        <v>1</v>
      </c>
      <c r="BN13">
        <v>0</v>
      </c>
      <c r="BO13">
        <v>9</v>
      </c>
      <c r="BR13">
        <v>12</v>
      </c>
      <c r="BT13">
        <v>0</v>
      </c>
      <c r="BV13">
        <v>25</v>
      </c>
      <c r="BW13">
        <v>0</v>
      </c>
      <c r="BZ13">
        <v>136</v>
      </c>
      <c r="CF13">
        <v>0.87</v>
      </c>
      <c r="CG13">
        <v>0</v>
      </c>
      <c r="CO13">
        <v>0</v>
      </c>
      <c r="CP13">
        <v>0</v>
      </c>
      <c r="CT13">
        <v>7.8</v>
      </c>
      <c r="CU13">
        <v>2.7E-2</v>
      </c>
      <c r="CV13">
        <v>0</v>
      </c>
      <c r="CX13">
        <v>0</v>
      </c>
      <c r="CZ13">
        <v>0</v>
      </c>
      <c r="DB13">
        <v>0</v>
      </c>
      <c r="DD13">
        <v>0</v>
      </c>
      <c r="DF13">
        <v>0</v>
      </c>
      <c r="DH13">
        <v>6.0000000000000001E-3</v>
      </c>
      <c r="DJ13">
        <v>0.02</v>
      </c>
      <c r="DP13">
        <v>4.1000000000000002E-2</v>
      </c>
      <c r="DU13">
        <v>0</v>
      </c>
      <c r="DY13">
        <v>4.1000000000000002E-2</v>
      </c>
      <c r="EA13">
        <v>0</v>
      </c>
      <c r="EC13">
        <v>0</v>
      </c>
      <c r="EH13">
        <v>0.20699999999999999</v>
      </c>
      <c r="EI13">
        <v>0.20599999999999999</v>
      </c>
      <c r="EN13">
        <v>1E-3</v>
      </c>
      <c r="ER13">
        <v>0</v>
      </c>
      <c r="FA13">
        <v>0</v>
      </c>
      <c r="FD13">
        <v>0</v>
      </c>
      <c r="FH13">
        <v>0</v>
      </c>
      <c r="FJ13">
        <v>0</v>
      </c>
      <c r="FK13">
        <v>0</v>
      </c>
      <c r="FX13">
        <v>0</v>
      </c>
      <c r="GT13">
        <v>0</v>
      </c>
      <c r="GU13">
        <v>0</v>
      </c>
      <c r="GV13">
        <v>0</v>
      </c>
    </row>
    <row r="14" spans="1:226" x14ac:dyDescent="0.3">
      <c r="A14">
        <v>169967</v>
      </c>
      <c r="B14" t="s">
        <v>318</v>
      </c>
      <c r="D14" t="s">
        <v>242</v>
      </c>
      <c r="E14" s="8">
        <v>100</v>
      </c>
      <c r="F14" s="9">
        <f>E14/SUM($E$3:$E$82)</f>
        <v>1.3025803062487084E-2</v>
      </c>
      <c r="G14">
        <v>89.25</v>
      </c>
      <c r="H14">
        <v>41.929999999999993</v>
      </c>
      <c r="I14">
        <v>175.43512000000001</v>
      </c>
      <c r="K14">
        <v>2.38</v>
      </c>
      <c r="L14">
        <v>0.41</v>
      </c>
      <c r="M14">
        <v>0.41</v>
      </c>
      <c r="N14">
        <v>0.77</v>
      </c>
      <c r="O14">
        <v>7.18</v>
      </c>
      <c r="P14">
        <v>3.3</v>
      </c>
      <c r="V14">
        <v>1.39</v>
      </c>
      <c r="W14">
        <v>0.08</v>
      </c>
      <c r="X14">
        <v>0.49</v>
      </c>
      <c r="Y14">
        <v>0.74</v>
      </c>
      <c r="Z14">
        <v>0</v>
      </c>
      <c r="AA14">
        <v>0</v>
      </c>
      <c r="AB14">
        <v>0</v>
      </c>
      <c r="AC14">
        <v>0</v>
      </c>
      <c r="AF14">
        <v>40</v>
      </c>
      <c r="AG14">
        <v>0.67</v>
      </c>
      <c r="AH14">
        <v>21</v>
      </c>
      <c r="AI14">
        <v>67</v>
      </c>
      <c r="AJ14">
        <v>293</v>
      </c>
      <c r="AK14">
        <v>41</v>
      </c>
      <c r="AL14">
        <v>0.45</v>
      </c>
      <c r="AM14">
        <v>6.0999999999999999E-2</v>
      </c>
      <c r="AN14">
        <v>0.19400000000000001</v>
      </c>
      <c r="AP14">
        <v>1.6</v>
      </c>
      <c r="AQ14">
        <v>4</v>
      </c>
      <c r="AS14">
        <v>64.900000000000006</v>
      </c>
      <c r="AT14">
        <v>6.3E-2</v>
      </c>
      <c r="AU14">
        <v>0.123</v>
      </c>
      <c r="AV14">
        <v>0.55300000000000005</v>
      </c>
      <c r="AW14">
        <v>0.61599999999999999</v>
      </c>
      <c r="AX14">
        <v>0.2</v>
      </c>
      <c r="AZ14">
        <v>108</v>
      </c>
      <c r="BA14">
        <v>0</v>
      </c>
      <c r="BB14">
        <v>108</v>
      </c>
      <c r="BC14">
        <v>108</v>
      </c>
      <c r="BD14">
        <v>40.1</v>
      </c>
      <c r="BJ14">
        <v>0.1</v>
      </c>
      <c r="BK14">
        <v>0</v>
      </c>
      <c r="BL14">
        <v>0</v>
      </c>
      <c r="BM14">
        <v>77</v>
      </c>
      <c r="BN14">
        <v>0</v>
      </c>
      <c r="BO14">
        <v>929</v>
      </c>
      <c r="BR14">
        <v>0</v>
      </c>
      <c r="BT14">
        <v>0</v>
      </c>
      <c r="BV14">
        <v>1548</v>
      </c>
      <c r="BW14">
        <v>0</v>
      </c>
      <c r="BZ14">
        <v>1080</v>
      </c>
      <c r="CF14">
        <v>1.45</v>
      </c>
      <c r="CG14">
        <v>0</v>
      </c>
      <c r="CH14">
        <v>0.01</v>
      </c>
      <c r="CI14">
        <v>0.25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T14">
        <v>141.1</v>
      </c>
      <c r="CU14">
        <v>7.9000000000000001E-2</v>
      </c>
      <c r="CV14">
        <v>0</v>
      </c>
      <c r="CX14">
        <v>0</v>
      </c>
      <c r="CZ14">
        <v>0</v>
      </c>
      <c r="DB14">
        <v>0</v>
      </c>
      <c r="DD14">
        <v>2E-3</v>
      </c>
      <c r="DF14">
        <v>0</v>
      </c>
      <c r="DG14">
        <v>0</v>
      </c>
      <c r="DH14">
        <v>5.6000000000000001E-2</v>
      </c>
      <c r="DI14">
        <v>0</v>
      </c>
      <c r="DJ14">
        <v>1.2999999999999999E-2</v>
      </c>
      <c r="DK14">
        <v>4.0000000000000001E-3</v>
      </c>
      <c r="DM14">
        <v>5.0000000000000001E-3</v>
      </c>
      <c r="DP14">
        <v>0.04</v>
      </c>
      <c r="DR14">
        <v>0</v>
      </c>
      <c r="DT14">
        <v>0</v>
      </c>
      <c r="DU14">
        <v>8.9999999999999993E-3</v>
      </c>
      <c r="DW14">
        <v>2E-3</v>
      </c>
      <c r="DY14">
        <v>2.9000000000000001E-2</v>
      </c>
      <c r="EA14">
        <v>0</v>
      </c>
      <c r="EC14">
        <v>0</v>
      </c>
      <c r="EH14">
        <v>0.17</v>
      </c>
      <c r="EI14">
        <v>5.0999999999999997E-2</v>
      </c>
      <c r="EN14">
        <v>0.11899999999999999</v>
      </c>
      <c r="EQ14">
        <v>0</v>
      </c>
      <c r="ER14">
        <v>0</v>
      </c>
      <c r="ET14">
        <v>0</v>
      </c>
      <c r="EU14">
        <v>0</v>
      </c>
      <c r="FA14">
        <v>0</v>
      </c>
      <c r="FD14">
        <v>0</v>
      </c>
      <c r="FH14">
        <v>0</v>
      </c>
      <c r="FJ14">
        <v>0</v>
      </c>
      <c r="FK14">
        <v>0</v>
      </c>
      <c r="FX14">
        <v>0</v>
      </c>
      <c r="FZ14">
        <v>3.4000000000000002E-2</v>
      </c>
      <c r="GA14">
        <v>9.6000000000000002E-2</v>
      </c>
      <c r="GB14">
        <v>9.1999999999999998E-2</v>
      </c>
      <c r="GC14">
        <v>0.14699999999999999</v>
      </c>
      <c r="GD14">
        <v>0.155</v>
      </c>
      <c r="GE14">
        <v>4.2999999999999997E-2</v>
      </c>
      <c r="GF14">
        <v>3.1E-2</v>
      </c>
      <c r="GG14">
        <v>0.11600000000000001</v>
      </c>
      <c r="GH14">
        <v>0.06</v>
      </c>
      <c r="GI14">
        <v>0.13800000000000001</v>
      </c>
      <c r="GJ14">
        <v>0.2</v>
      </c>
      <c r="GK14">
        <v>6.3E-2</v>
      </c>
      <c r="GL14">
        <v>0.114</v>
      </c>
      <c r="GM14">
        <v>0.32900000000000001</v>
      </c>
      <c r="GN14">
        <v>0.54900000000000004</v>
      </c>
      <c r="GO14">
        <v>0.10100000000000001</v>
      </c>
      <c r="GP14">
        <v>0.111</v>
      </c>
      <c r="GQ14">
        <v>0.129</v>
      </c>
      <c r="GT14">
        <v>0</v>
      </c>
      <c r="GU14">
        <v>0</v>
      </c>
      <c r="GV14">
        <v>0</v>
      </c>
      <c r="GW14">
        <v>0</v>
      </c>
    </row>
    <row r="15" spans="1:226" x14ac:dyDescent="0.3">
      <c r="A15">
        <v>169969</v>
      </c>
      <c r="B15" t="s">
        <v>244</v>
      </c>
      <c r="D15" t="s">
        <v>242</v>
      </c>
      <c r="E15" s="8">
        <v>100</v>
      </c>
      <c r="F15" s="9">
        <f>E15/SUM($E$3:$E$82)</f>
        <v>1.3025803062487084E-2</v>
      </c>
      <c r="G15">
        <v>90.72</v>
      </c>
      <c r="H15">
        <v>34.880000000000003</v>
      </c>
      <c r="I15">
        <v>145.93791999999999</v>
      </c>
      <c r="K15">
        <v>3.1</v>
      </c>
      <c r="L15">
        <v>0.12</v>
      </c>
      <c r="M15">
        <v>0.12</v>
      </c>
      <c r="N15">
        <v>0.71</v>
      </c>
      <c r="O15">
        <v>5.35</v>
      </c>
      <c r="P15">
        <v>3</v>
      </c>
      <c r="V15">
        <v>1.47</v>
      </c>
      <c r="AF15">
        <v>33</v>
      </c>
      <c r="AG15">
        <v>0.61</v>
      </c>
      <c r="AH15">
        <v>13</v>
      </c>
      <c r="AI15">
        <v>49</v>
      </c>
      <c r="AJ15">
        <v>142</v>
      </c>
      <c r="AK15">
        <v>11</v>
      </c>
      <c r="AL15">
        <v>0.28000000000000003</v>
      </c>
      <c r="AM15">
        <v>3.4000000000000002E-2</v>
      </c>
      <c r="AN15">
        <v>0.223</v>
      </c>
      <c r="AP15">
        <v>0.7</v>
      </c>
      <c r="AS15">
        <v>40.1</v>
      </c>
      <c r="AT15">
        <v>5.5E-2</v>
      </c>
      <c r="AU15">
        <v>8.1000000000000003E-2</v>
      </c>
      <c r="AV15">
        <v>0.45800000000000002</v>
      </c>
      <c r="AW15">
        <v>0.27400000000000002</v>
      </c>
      <c r="AX15">
        <v>0.13</v>
      </c>
      <c r="AZ15">
        <v>56</v>
      </c>
      <c r="BA15">
        <v>0</v>
      </c>
      <c r="BB15">
        <v>56</v>
      </c>
      <c r="BC15">
        <v>56</v>
      </c>
      <c r="BD15">
        <v>16.2</v>
      </c>
      <c r="BK15">
        <v>0</v>
      </c>
      <c r="BL15">
        <v>0</v>
      </c>
      <c r="BM15">
        <v>51</v>
      </c>
      <c r="BN15">
        <v>0</v>
      </c>
      <c r="BO15">
        <v>597</v>
      </c>
      <c r="BR15">
        <v>19</v>
      </c>
      <c r="BT15">
        <v>1</v>
      </c>
      <c r="BV15">
        <v>1011</v>
      </c>
      <c r="BW15">
        <v>0</v>
      </c>
      <c r="BZ15">
        <v>1095</v>
      </c>
      <c r="CF15">
        <v>1.32</v>
      </c>
      <c r="CG15">
        <v>0</v>
      </c>
      <c r="CO15">
        <v>0</v>
      </c>
      <c r="CP15">
        <v>0</v>
      </c>
      <c r="CT15">
        <v>88.1</v>
      </c>
      <c r="CU15">
        <v>1.7999999999999999E-2</v>
      </c>
      <c r="CV15">
        <v>0</v>
      </c>
      <c r="CX15">
        <v>0</v>
      </c>
      <c r="CZ15">
        <v>0</v>
      </c>
      <c r="DB15">
        <v>0</v>
      </c>
      <c r="DD15">
        <v>0</v>
      </c>
      <c r="DF15">
        <v>0</v>
      </c>
      <c r="DH15">
        <v>1.6E-2</v>
      </c>
      <c r="DJ15">
        <v>2E-3</v>
      </c>
      <c r="DP15">
        <v>8.0000000000000002E-3</v>
      </c>
      <c r="DU15">
        <v>0</v>
      </c>
      <c r="DY15">
        <v>8.0000000000000002E-3</v>
      </c>
      <c r="EA15">
        <v>0</v>
      </c>
      <c r="EC15">
        <v>0</v>
      </c>
      <c r="EH15">
        <v>5.5E-2</v>
      </c>
      <c r="EI15">
        <v>1.2999999999999999E-2</v>
      </c>
      <c r="EN15">
        <v>4.2000000000000003E-2</v>
      </c>
      <c r="ER15">
        <v>0</v>
      </c>
      <c r="FA15">
        <v>0</v>
      </c>
      <c r="FD15">
        <v>0</v>
      </c>
      <c r="FH15">
        <v>0</v>
      </c>
      <c r="FJ15">
        <v>0</v>
      </c>
      <c r="FK15">
        <v>0</v>
      </c>
      <c r="FX15">
        <v>0</v>
      </c>
      <c r="FZ15">
        <v>3.2000000000000001E-2</v>
      </c>
      <c r="GA15">
        <v>0.10100000000000001</v>
      </c>
      <c r="GB15">
        <v>0.121</v>
      </c>
      <c r="GC15">
        <v>0.14499999999999999</v>
      </c>
      <c r="GD15">
        <v>0.156</v>
      </c>
      <c r="GE15">
        <v>3.6999999999999998E-2</v>
      </c>
      <c r="GF15">
        <v>2.1999999999999999E-2</v>
      </c>
      <c r="GG15">
        <v>9.4E-2</v>
      </c>
      <c r="GH15">
        <v>7.0000000000000007E-2</v>
      </c>
      <c r="GI15">
        <v>0.14199999999999999</v>
      </c>
      <c r="GJ15">
        <v>0.161</v>
      </c>
      <c r="GK15">
        <v>5.5E-2</v>
      </c>
      <c r="GL15">
        <v>0.13</v>
      </c>
      <c r="GM15">
        <v>0.23599999999999999</v>
      </c>
      <c r="GN15">
        <v>0.41699999999999998</v>
      </c>
      <c r="GO15">
        <v>0.105</v>
      </c>
      <c r="GP15">
        <v>0.127</v>
      </c>
      <c r="GQ15">
        <v>0.111</v>
      </c>
      <c r="GT15">
        <v>0</v>
      </c>
      <c r="GU15">
        <v>0</v>
      </c>
      <c r="GV15">
        <v>0</v>
      </c>
    </row>
    <row r="16" spans="1:226" x14ac:dyDescent="0.3">
      <c r="A16">
        <v>170330</v>
      </c>
      <c r="B16" t="s">
        <v>306</v>
      </c>
      <c r="D16" t="s">
        <v>242</v>
      </c>
      <c r="E16" s="8">
        <v>100</v>
      </c>
      <c r="F16" s="9">
        <f>E16/SUM($E$3:$E$82)</f>
        <v>1.3025803062487084E-2</v>
      </c>
      <c r="G16">
        <v>48.44</v>
      </c>
      <c r="H16">
        <v>259.97000000000003</v>
      </c>
      <c r="I16">
        <v>1087.7144800000001</v>
      </c>
      <c r="K16">
        <v>10.29</v>
      </c>
      <c r="L16">
        <v>12.45</v>
      </c>
      <c r="M16">
        <v>12.45</v>
      </c>
      <c r="N16">
        <v>2.13</v>
      </c>
      <c r="O16">
        <v>26.69</v>
      </c>
      <c r="P16">
        <v>0.9</v>
      </c>
      <c r="V16">
        <v>3.53</v>
      </c>
      <c r="W16">
        <v>0</v>
      </c>
      <c r="X16">
        <v>1.2</v>
      </c>
      <c r="Y16">
        <v>1.47</v>
      </c>
      <c r="Z16">
        <v>0</v>
      </c>
      <c r="AA16">
        <v>0.87</v>
      </c>
      <c r="AB16">
        <v>0</v>
      </c>
      <c r="AF16">
        <v>37</v>
      </c>
      <c r="AG16">
        <v>1.5</v>
      </c>
      <c r="AH16">
        <v>25</v>
      </c>
      <c r="AI16">
        <v>116</v>
      </c>
      <c r="AJ16">
        <v>206</v>
      </c>
      <c r="AK16">
        <v>602</v>
      </c>
      <c r="AL16">
        <v>0.49</v>
      </c>
      <c r="AM16">
        <v>7.4999999999999997E-2</v>
      </c>
      <c r="AN16">
        <v>0.26400000000000001</v>
      </c>
      <c r="AP16">
        <v>24.3</v>
      </c>
      <c r="AS16">
        <v>0.2</v>
      </c>
      <c r="AT16">
        <v>0.19700000000000001</v>
      </c>
      <c r="AU16">
        <v>0.18</v>
      </c>
      <c r="AV16">
        <v>2.09</v>
      </c>
      <c r="AW16">
        <v>0.17</v>
      </c>
      <c r="AX16">
        <v>3.5999999999999997E-2</v>
      </c>
      <c r="CT16">
        <v>22.5</v>
      </c>
      <c r="CU16">
        <v>1.9490000000000001</v>
      </c>
      <c r="CV16">
        <v>1E-3</v>
      </c>
      <c r="CX16">
        <v>0</v>
      </c>
      <c r="CZ16">
        <v>2E-3</v>
      </c>
      <c r="DB16">
        <v>4.0000000000000001E-3</v>
      </c>
      <c r="DD16">
        <v>1E-3</v>
      </c>
      <c r="DF16">
        <v>2.1999999999999999E-2</v>
      </c>
      <c r="DG16">
        <v>3.0000000000000001E-3</v>
      </c>
      <c r="DH16">
        <v>1.4350000000000001</v>
      </c>
      <c r="DI16">
        <v>1.2E-2</v>
      </c>
      <c r="DJ16">
        <v>0.38900000000000001</v>
      </c>
      <c r="DK16">
        <v>3.6999999999999998E-2</v>
      </c>
      <c r="DM16">
        <v>2.9000000000000001E-2</v>
      </c>
      <c r="DO16">
        <v>1.4999999999999999E-2</v>
      </c>
      <c r="DP16">
        <v>2.5950000000000002</v>
      </c>
      <c r="DR16">
        <v>0</v>
      </c>
      <c r="DT16">
        <v>0</v>
      </c>
      <c r="DU16">
        <v>2.8000000000000001E-2</v>
      </c>
      <c r="DV16">
        <v>2.8000000000000001E-2</v>
      </c>
      <c r="DW16">
        <v>6.0000000000000001E-3</v>
      </c>
      <c r="DY16">
        <v>2.4980000000000002</v>
      </c>
      <c r="DZ16">
        <v>2.4710000000000001</v>
      </c>
      <c r="EA16">
        <v>5.5E-2</v>
      </c>
      <c r="EC16">
        <v>4.0000000000000001E-3</v>
      </c>
      <c r="ED16">
        <v>4.0000000000000001E-3</v>
      </c>
      <c r="EG16">
        <v>3.0000000000000001E-3</v>
      </c>
      <c r="EH16">
        <v>6.2569999999999997</v>
      </c>
      <c r="EI16">
        <v>5.6269999999999998</v>
      </c>
      <c r="EK16">
        <v>5.5609999999999999</v>
      </c>
      <c r="EL16">
        <v>1.2999999999999999E-2</v>
      </c>
      <c r="EN16">
        <v>0.51200000000000001</v>
      </c>
      <c r="EP16">
        <v>0.48899999999999999</v>
      </c>
      <c r="EQ16">
        <v>2.3E-2</v>
      </c>
      <c r="ER16">
        <v>2E-3</v>
      </c>
      <c r="ET16">
        <v>5.0000000000000001E-3</v>
      </c>
      <c r="EU16">
        <v>3.0000000000000001E-3</v>
      </c>
      <c r="EW16">
        <v>1E-3</v>
      </c>
      <c r="EX16">
        <v>2E-3</v>
      </c>
      <c r="FA16">
        <v>8.0000000000000002E-3</v>
      </c>
      <c r="FD16">
        <v>2.9000000000000001E-2</v>
      </c>
      <c r="FG16">
        <v>4.0000000000000001E-3</v>
      </c>
      <c r="FH16">
        <v>3.0000000000000001E-3</v>
      </c>
      <c r="FJ16">
        <v>6.4000000000000001E-2</v>
      </c>
      <c r="FK16">
        <v>0.08</v>
      </c>
      <c r="FL16">
        <v>2.8000000000000001E-2</v>
      </c>
      <c r="FN16">
        <v>0</v>
      </c>
      <c r="FO16">
        <v>2.7E-2</v>
      </c>
      <c r="FQ16">
        <v>0</v>
      </c>
      <c r="FS16">
        <v>5.2999999999999999E-2</v>
      </c>
      <c r="FV16">
        <v>5.2999999999999999E-2</v>
      </c>
      <c r="FX16">
        <v>31</v>
      </c>
      <c r="FZ16">
        <v>8.1000000000000003E-2</v>
      </c>
      <c r="GA16">
        <v>0.35599999999999998</v>
      </c>
      <c r="GB16">
        <v>0.38600000000000001</v>
      </c>
      <c r="GC16">
        <v>0.80300000000000005</v>
      </c>
      <c r="GD16">
        <v>0.66100000000000003</v>
      </c>
      <c r="GE16">
        <v>0.23400000000000001</v>
      </c>
      <c r="GF16">
        <v>0.153</v>
      </c>
      <c r="GG16">
        <v>0.47799999999999998</v>
      </c>
      <c r="GH16">
        <v>0.33600000000000002</v>
      </c>
      <c r="GI16">
        <v>0.45800000000000002</v>
      </c>
      <c r="GJ16">
        <v>0.48799999999999999</v>
      </c>
      <c r="GK16">
        <v>0.21299999999999999</v>
      </c>
      <c r="GL16">
        <v>0.376</v>
      </c>
      <c r="GM16">
        <v>0.71199999999999997</v>
      </c>
      <c r="GN16">
        <v>2.4710000000000001</v>
      </c>
      <c r="GO16">
        <v>0.40699999999999997</v>
      </c>
      <c r="GP16">
        <v>0.71199999999999997</v>
      </c>
      <c r="GQ16">
        <v>0.48799999999999999</v>
      </c>
      <c r="GR16">
        <v>0</v>
      </c>
      <c r="GW16">
        <v>9.1</v>
      </c>
    </row>
    <row r="17" spans="1:210" x14ac:dyDescent="0.3">
      <c r="A17">
        <v>170331</v>
      </c>
      <c r="B17" t="s">
        <v>271</v>
      </c>
      <c r="D17" t="s">
        <v>242</v>
      </c>
      <c r="E17" s="8">
        <v>100</v>
      </c>
      <c r="F17" s="9">
        <f>E17/SUM($E$3:$E$82)</f>
        <v>1.3025803062487084E-2</v>
      </c>
      <c r="G17">
        <v>44.7</v>
      </c>
      <c r="H17">
        <v>285.64999999999998</v>
      </c>
      <c r="I17">
        <v>1195.1596</v>
      </c>
      <c r="K17">
        <v>12.14</v>
      </c>
      <c r="L17">
        <v>14.69</v>
      </c>
      <c r="M17">
        <v>14.69</v>
      </c>
      <c r="N17">
        <v>2.25</v>
      </c>
      <c r="O17">
        <v>26.22</v>
      </c>
      <c r="P17">
        <v>2.4</v>
      </c>
      <c r="V17">
        <v>3.02</v>
      </c>
      <c r="W17">
        <v>7.0000000000000007E-2</v>
      </c>
      <c r="X17">
        <v>1</v>
      </c>
      <c r="Y17">
        <v>1.37</v>
      </c>
      <c r="Z17">
        <v>0.02</v>
      </c>
      <c r="AA17">
        <v>0.56999999999999995</v>
      </c>
      <c r="AB17">
        <v>0</v>
      </c>
      <c r="AF17">
        <v>46</v>
      </c>
      <c r="AG17">
        <v>1.79</v>
      </c>
      <c r="AH17">
        <v>23</v>
      </c>
      <c r="AI17">
        <v>128</v>
      </c>
      <c r="AJ17">
        <v>196</v>
      </c>
      <c r="AK17">
        <v>638</v>
      </c>
      <c r="AL17">
        <v>0.62</v>
      </c>
      <c r="AM17">
        <v>8.8999999999999996E-2</v>
      </c>
      <c r="AN17">
        <v>0.40100000000000002</v>
      </c>
      <c r="AP17">
        <v>23.4</v>
      </c>
      <c r="AS17">
        <v>0.2</v>
      </c>
      <c r="AT17">
        <v>0.28100000000000003</v>
      </c>
      <c r="AU17">
        <v>0.16</v>
      </c>
      <c r="AV17">
        <v>4.71</v>
      </c>
      <c r="AW17">
        <v>0.43</v>
      </c>
      <c r="AX17">
        <v>0.154</v>
      </c>
      <c r="AZ17">
        <v>33</v>
      </c>
      <c r="BA17">
        <v>21</v>
      </c>
      <c r="BB17">
        <v>12</v>
      </c>
      <c r="BC17">
        <v>48</v>
      </c>
      <c r="CT17">
        <v>23.7</v>
      </c>
      <c r="CU17">
        <v>2.7229999999999999</v>
      </c>
      <c r="CV17">
        <v>1E-3</v>
      </c>
      <c r="CX17">
        <v>0</v>
      </c>
      <c r="CZ17">
        <v>3.0000000000000001E-3</v>
      </c>
      <c r="DB17">
        <v>5.0000000000000001E-3</v>
      </c>
      <c r="DD17">
        <v>3.0000000000000001E-3</v>
      </c>
      <c r="DF17">
        <v>0.03</v>
      </c>
      <c r="DG17">
        <v>5.0000000000000001E-3</v>
      </c>
      <c r="DH17">
        <v>1.95</v>
      </c>
      <c r="DI17">
        <v>1.4999999999999999E-2</v>
      </c>
      <c r="DJ17">
        <v>0.61599999999999999</v>
      </c>
      <c r="DK17">
        <v>4.2000000000000003E-2</v>
      </c>
      <c r="DM17">
        <v>3.6999999999999998E-2</v>
      </c>
      <c r="DO17">
        <v>1.7000000000000001E-2</v>
      </c>
      <c r="DP17">
        <v>3.7040000000000002</v>
      </c>
      <c r="DR17">
        <v>4.0000000000000001E-3</v>
      </c>
      <c r="DT17">
        <v>0</v>
      </c>
      <c r="DU17">
        <v>0.14399999999999999</v>
      </c>
      <c r="DV17">
        <v>0.14299999999999999</v>
      </c>
      <c r="DW17">
        <v>8.9999999999999993E-3</v>
      </c>
      <c r="DY17">
        <v>3.4750000000000001</v>
      </c>
      <c r="DZ17">
        <v>3.4529999999999998</v>
      </c>
      <c r="EA17">
        <v>6.8000000000000005E-2</v>
      </c>
      <c r="EC17">
        <v>1E-3</v>
      </c>
      <c r="ED17">
        <v>1E-3</v>
      </c>
      <c r="EG17">
        <v>3.0000000000000001E-3</v>
      </c>
      <c r="EH17">
        <v>7.22</v>
      </c>
      <c r="EI17">
        <v>6.4909999999999997</v>
      </c>
      <c r="EK17">
        <v>6.4169999999999998</v>
      </c>
      <c r="EL17">
        <v>1.4999999999999999E-2</v>
      </c>
      <c r="EN17">
        <v>0.66800000000000004</v>
      </c>
      <c r="EP17">
        <v>0.64900000000000002</v>
      </c>
      <c r="EQ17">
        <v>1.7999999999999999E-2</v>
      </c>
      <c r="ER17">
        <v>1E-3</v>
      </c>
      <c r="ET17">
        <v>8.9999999999999993E-3</v>
      </c>
      <c r="EU17">
        <v>0.01</v>
      </c>
      <c r="EW17">
        <v>2E-3</v>
      </c>
      <c r="EX17">
        <v>8.0000000000000002E-3</v>
      </c>
      <c r="FA17">
        <v>2.7E-2</v>
      </c>
      <c r="FD17">
        <v>1E-3</v>
      </c>
      <c r="FG17">
        <v>0.01</v>
      </c>
      <c r="FH17">
        <v>2E-3</v>
      </c>
      <c r="FJ17">
        <v>2E-3</v>
      </c>
      <c r="FK17">
        <v>8.2000000000000003E-2</v>
      </c>
      <c r="FL17">
        <v>2.3E-2</v>
      </c>
      <c r="FN17">
        <v>1E-3</v>
      </c>
      <c r="FO17">
        <v>2.1999999999999999E-2</v>
      </c>
      <c r="FQ17">
        <v>0</v>
      </c>
      <c r="FS17">
        <v>5.8999999999999997E-2</v>
      </c>
      <c r="FV17">
        <v>5.8999999999999997E-2</v>
      </c>
      <c r="FX17">
        <v>31</v>
      </c>
      <c r="FZ17">
        <v>0.14499999999999999</v>
      </c>
      <c r="GA17">
        <v>0.36699999999999999</v>
      </c>
      <c r="GB17">
        <v>0.55000000000000004</v>
      </c>
      <c r="GC17">
        <v>0.93600000000000005</v>
      </c>
      <c r="GD17">
        <v>0.81100000000000005</v>
      </c>
      <c r="GE17">
        <v>0.27</v>
      </c>
      <c r="GF17">
        <v>0.21199999999999999</v>
      </c>
      <c r="GG17">
        <v>0.56000000000000005</v>
      </c>
      <c r="GH17">
        <v>0.32800000000000001</v>
      </c>
      <c r="GI17">
        <v>0.60799999999999998</v>
      </c>
      <c r="GJ17">
        <v>0.68500000000000005</v>
      </c>
      <c r="GK17">
        <v>0.36699999999999999</v>
      </c>
      <c r="GL17">
        <v>0.52100000000000002</v>
      </c>
      <c r="GM17">
        <v>0.879</v>
      </c>
      <c r="GN17">
        <v>2.7320000000000002</v>
      </c>
      <c r="GO17">
        <v>0.63700000000000001</v>
      </c>
      <c r="GP17">
        <v>1.091</v>
      </c>
      <c r="GQ17">
        <v>0.35699999999999998</v>
      </c>
      <c r="GR17">
        <v>0.08</v>
      </c>
      <c r="GW17">
        <v>7.7</v>
      </c>
    </row>
    <row r="18" spans="1:210" x14ac:dyDescent="0.3">
      <c r="A18">
        <v>170571</v>
      </c>
      <c r="B18" t="s">
        <v>300</v>
      </c>
      <c r="D18" t="s">
        <v>242</v>
      </c>
      <c r="E18" s="8">
        <v>100</v>
      </c>
      <c r="F18" s="9">
        <f>E18/SUM($E$3:$E$82)</f>
        <v>1.3025803062487084E-2</v>
      </c>
      <c r="G18">
        <v>1.7</v>
      </c>
      <c r="H18">
        <v>609.15000000000009</v>
      </c>
      <c r="I18">
        <v>2548.6835999999998</v>
      </c>
      <c r="K18">
        <v>15.31</v>
      </c>
      <c r="L18">
        <v>46.35</v>
      </c>
      <c r="M18">
        <v>46.35</v>
      </c>
      <c r="N18">
        <v>3.95</v>
      </c>
      <c r="O18">
        <v>32.69</v>
      </c>
      <c r="P18">
        <v>3</v>
      </c>
      <c r="V18">
        <v>5.01</v>
      </c>
      <c r="AF18">
        <v>45</v>
      </c>
      <c r="AG18">
        <v>6</v>
      </c>
      <c r="AH18">
        <v>260</v>
      </c>
      <c r="AI18">
        <v>490</v>
      </c>
      <c r="AJ18">
        <v>565</v>
      </c>
      <c r="AK18">
        <v>16</v>
      </c>
      <c r="AL18">
        <v>5.6</v>
      </c>
      <c r="AM18">
        <v>2.2200000000000002</v>
      </c>
      <c r="AN18">
        <v>0.82599999999999996</v>
      </c>
      <c r="AP18">
        <v>11.7</v>
      </c>
      <c r="AS18">
        <v>0</v>
      </c>
      <c r="AT18">
        <v>0.2</v>
      </c>
      <c r="AU18">
        <v>0.2</v>
      </c>
      <c r="AV18">
        <v>1.4</v>
      </c>
      <c r="AW18">
        <v>1.2170000000000001</v>
      </c>
      <c r="AX18">
        <v>0.25600000000000001</v>
      </c>
      <c r="AZ18">
        <v>69</v>
      </c>
      <c r="BA18">
        <v>0</v>
      </c>
      <c r="BB18">
        <v>69</v>
      </c>
      <c r="BC18">
        <v>69</v>
      </c>
      <c r="BD18">
        <v>61</v>
      </c>
      <c r="BK18">
        <v>0</v>
      </c>
      <c r="BL18">
        <v>0</v>
      </c>
      <c r="BM18">
        <v>0</v>
      </c>
      <c r="BN18">
        <v>0</v>
      </c>
      <c r="BO18">
        <v>0</v>
      </c>
      <c r="BR18">
        <v>0</v>
      </c>
      <c r="BT18">
        <v>0</v>
      </c>
      <c r="BV18">
        <v>0</v>
      </c>
      <c r="BW18">
        <v>0</v>
      </c>
      <c r="BZ18">
        <v>23</v>
      </c>
      <c r="CF18">
        <v>0.92</v>
      </c>
      <c r="CG18">
        <v>0</v>
      </c>
      <c r="CO18">
        <v>0</v>
      </c>
      <c r="CP18">
        <v>0</v>
      </c>
      <c r="CT18">
        <v>34.700000000000003</v>
      </c>
      <c r="CU18">
        <v>9.157</v>
      </c>
      <c r="CV18">
        <v>0</v>
      </c>
      <c r="CX18">
        <v>0</v>
      </c>
      <c r="CZ18">
        <v>0.13200000000000001</v>
      </c>
      <c r="DB18">
        <v>0.13200000000000001</v>
      </c>
      <c r="DD18">
        <v>0.78400000000000003</v>
      </c>
      <c r="DF18">
        <v>0.34699999999999998</v>
      </c>
      <c r="DH18">
        <v>4.351</v>
      </c>
      <c r="DJ18">
        <v>2.972</v>
      </c>
      <c r="DP18">
        <v>27.317</v>
      </c>
      <c r="DU18">
        <v>0.318</v>
      </c>
      <c r="DY18">
        <v>26.808</v>
      </c>
      <c r="EA18">
        <v>0.13900000000000001</v>
      </c>
      <c r="EC18">
        <v>0</v>
      </c>
      <c r="EH18">
        <v>7.8360000000000003</v>
      </c>
      <c r="EI18">
        <v>7.66</v>
      </c>
      <c r="EN18">
        <v>0.161</v>
      </c>
      <c r="ER18">
        <v>0</v>
      </c>
      <c r="FA18">
        <v>0</v>
      </c>
      <c r="FD18">
        <v>0</v>
      </c>
      <c r="FH18">
        <v>0</v>
      </c>
      <c r="FJ18">
        <v>0</v>
      </c>
      <c r="FX18">
        <v>0</v>
      </c>
      <c r="FY18">
        <v>158</v>
      </c>
      <c r="FZ18">
        <v>0.23699999999999999</v>
      </c>
      <c r="GA18">
        <v>0.59199999999999997</v>
      </c>
      <c r="GB18">
        <v>0.73099999999999998</v>
      </c>
      <c r="GC18">
        <v>1.2849999999999999</v>
      </c>
      <c r="GD18">
        <v>0.81699999999999995</v>
      </c>
      <c r="GE18">
        <v>0.27400000000000002</v>
      </c>
      <c r="GF18">
        <v>0.28299999999999997</v>
      </c>
      <c r="GG18">
        <v>0.79100000000000004</v>
      </c>
      <c r="GH18">
        <v>0.49099999999999999</v>
      </c>
      <c r="GI18">
        <v>1.04</v>
      </c>
      <c r="GJ18">
        <v>1.7410000000000001</v>
      </c>
      <c r="GK18">
        <v>0.39900000000000002</v>
      </c>
      <c r="GL18">
        <v>0.70199999999999996</v>
      </c>
      <c r="GM18">
        <v>1.5049999999999999</v>
      </c>
      <c r="GN18">
        <v>3.6240000000000001</v>
      </c>
      <c r="GO18">
        <v>0.80300000000000005</v>
      </c>
      <c r="GP18">
        <v>0.69</v>
      </c>
      <c r="GQ18">
        <v>0.84899999999999998</v>
      </c>
      <c r="GT18">
        <v>0</v>
      </c>
      <c r="GU18">
        <v>0</v>
      </c>
      <c r="GV18">
        <v>0</v>
      </c>
    </row>
    <row r="19" spans="1:210" x14ac:dyDescent="0.3">
      <c r="A19">
        <v>171320</v>
      </c>
      <c r="B19" t="s">
        <v>278</v>
      </c>
      <c r="D19" t="s">
        <v>242</v>
      </c>
      <c r="E19" s="8">
        <v>39.666666666666693</v>
      </c>
      <c r="F19" s="9">
        <f>E19/SUM($E$3:$E$82)</f>
        <v>5.1669018814532132E-3</v>
      </c>
      <c r="G19">
        <v>10.58</v>
      </c>
      <c r="H19">
        <v>349.48</v>
      </c>
      <c r="I19">
        <v>1462.22432</v>
      </c>
      <c r="K19">
        <v>3.99</v>
      </c>
      <c r="L19">
        <v>1.24</v>
      </c>
      <c r="M19">
        <v>1.24</v>
      </c>
      <c r="N19">
        <v>3.6</v>
      </c>
      <c r="O19">
        <v>80.59</v>
      </c>
      <c r="P19">
        <v>53.1</v>
      </c>
      <c r="V19">
        <v>2.17</v>
      </c>
      <c r="W19">
        <v>0.02</v>
      </c>
      <c r="X19">
        <v>1.04</v>
      </c>
      <c r="Y19">
        <v>1.1100000000000001</v>
      </c>
      <c r="Z19">
        <v>0</v>
      </c>
      <c r="AA19">
        <v>0</v>
      </c>
      <c r="AB19">
        <v>0</v>
      </c>
      <c r="AF19">
        <v>1002</v>
      </c>
      <c r="AG19">
        <v>8.32</v>
      </c>
      <c r="AH19">
        <v>60</v>
      </c>
      <c r="AI19">
        <v>64</v>
      </c>
      <c r="AJ19">
        <v>431</v>
      </c>
      <c r="AK19">
        <v>10</v>
      </c>
      <c r="AL19">
        <v>1.83</v>
      </c>
      <c r="AM19">
        <v>0.33900000000000002</v>
      </c>
      <c r="AN19">
        <v>17.466000000000001</v>
      </c>
      <c r="AP19">
        <v>3.1</v>
      </c>
      <c r="AS19">
        <v>3.8</v>
      </c>
      <c r="AT19">
        <v>2.1999999999999999E-2</v>
      </c>
      <c r="AU19">
        <v>4.1000000000000002E-2</v>
      </c>
      <c r="AV19">
        <v>1.3320000000000001</v>
      </c>
      <c r="AW19">
        <v>0.35799999999999998</v>
      </c>
      <c r="AX19">
        <v>0.158</v>
      </c>
      <c r="AZ19">
        <v>6</v>
      </c>
      <c r="BA19">
        <v>0</v>
      </c>
      <c r="BB19">
        <v>6</v>
      </c>
      <c r="BC19">
        <v>6</v>
      </c>
      <c r="BD19">
        <v>11</v>
      </c>
      <c r="BJ19">
        <v>3.9</v>
      </c>
      <c r="BK19">
        <v>0</v>
      </c>
      <c r="BL19">
        <v>0</v>
      </c>
      <c r="BM19">
        <v>15</v>
      </c>
      <c r="BN19">
        <v>0</v>
      </c>
      <c r="BO19">
        <v>112</v>
      </c>
      <c r="BR19">
        <v>1</v>
      </c>
      <c r="BT19">
        <v>129</v>
      </c>
      <c r="BV19">
        <v>295</v>
      </c>
      <c r="BW19">
        <v>15</v>
      </c>
      <c r="BZ19">
        <v>222</v>
      </c>
      <c r="CF19">
        <v>2.3199999999999998</v>
      </c>
      <c r="CG19">
        <v>0</v>
      </c>
      <c r="CH19">
        <v>0</v>
      </c>
      <c r="CI19">
        <v>10.44</v>
      </c>
      <c r="CJ19">
        <v>0.26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T19">
        <v>31.2</v>
      </c>
      <c r="CU19">
        <v>0.34499999999999997</v>
      </c>
      <c r="CV19">
        <v>0</v>
      </c>
      <c r="CX19">
        <v>0</v>
      </c>
      <c r="CZ19">
        <v>0</v>
      </c>
      <c r="DB19">
        <v>3.0000000000000001E-3</v>
      </c>
      <c r="DD19">
        <v>6.0000000000000001E-3</v>
      </c>
      <c r="DE19">
        <v>0</v>
      </c>
      <c r="DF19">
        <v>8.9999999999999993E-3</v>
      </c>
      <c r="DG19">
        <v>0</v>
      </c>
      <c r="DH19">
        <v>0.104</v>
      </c>
      <c r="DI19">
        <v>0.13600000000000001</v>
      </c>
      <c r="DJ19">
        <v>8.2000000000000003E-2</v>
      </c>
      <c r="DK19">
        <v>0</v>
      </c>
      <c r="DM19">
        <v>0</v>
      </c>
      <c r="DO19">
        <v>0</v>
      </c>
      <c r="DP19">
        <v>0.246</v>
      </c>
      <c r="DR19">
        <v>0</v>
      </c>
      <c r="DT19">
        <v>0</v>
      </c>
      <c r="DU19">
        <v>1E-3</v>
      </c>
      <c r="DW19">
        <v>0</v>
      </c>
      <c r="DY19">
        <v>0.246</v>
      </c>
      <c r="DZ19">
        <v>0.246</v>
      </c>
      <c r="EA19">
        <v>0</v>
      </c>
      <c r="EC19">
        <v>0</v>
      </c>
      <c r="EG19">
        <v>0</v>
      </c>
      <c r="EH19">
        <v>6.8000000000000005E-2</v>
      </c>
      <c r="EI19">
        <v>4.3999999999999997E-2</v>
      </c>
      <c r="EN19">
        <v>1.0999999999999999E-2</v>
      </c>
      <c r="EP19">
        <v>1.0999999999999999E-2</v>
      </c>
      <c r="EQ19">
        <v>0</v>
      </c>
      <c r="ER19">
        <v>0</v>
      </c>
      <c r="ET19">
        <v>0</v>
      </c>
      <c r="EU19">
        <v>0</v>
      </c>
      <c r="FA19">
        <v>0</v>
      </c>
      <c r="FD19">
        <v>0</v>
      </c>
      <c r="FH19">
        <v>0</v>
      </c>
      <c r="FJ19">
        <v>0</v>
      </c>
      <c r="FK19">
        <v>0</v>
      </c>
      <c r="FL19">
        <v>0</v>
      </c>
      <c r="FO19">
        <v>0</v>
      </c>
      <c r="FX19">
        <v>0</v>
      </c>
      <c r="FY19">
        <v>26</v>
      </c>
      <c r="FZ19">
        <v>4.9000000000000002E-2</v>
      </c>
      <c r="GA19">
        <v>0.13600000000000001</v>
      </c>
      <c r="GB19">
        <v>0.14599999999999999</v>
      </c>
      <c r="GC19">
        <v>0.253</v>
      </c>
      <c r="GD19">
        <v>0.24299999999999999</v>
      </c>
      <c r="GE19">
        <v>7.8E-2</v>
      </c>
      <c r="GF19">
        <v>5.8000000000000003E-2</v>
      </c>
      <c r="GG19">
        <v>0.14599999999999999</v>
      </c>
      <c r="GH19">
        <v>0.13600000000000001</v>
      </c>
      <c r="GI19">
        <v>0.224</v>
      </c>
      <c r="GJ19">
        <v>0.16600000000000001</v>
      </c>
      <c r="GK19">
        <v>0.11700000000000001</v>
      </c>
      <c r="GL19">
        <v>0.16600000000000001</v>
      </c>
      <c r="GM19">
        <v>0.438</v>
      </c>
      <c r="GN19">
        <v>0.37</v>
      </c>
      <c r="GO19">
        <v>0.19500000000000001</v>
      </c>
      <c r="GP19">
        <v>0.41899999999999998</v>
      </c>
      <c r="GQ19">
        <v>0.19500000000000001</v>
      </c>
      <c r="GR19">
        <v>0</v>
      </c>
      <c r="GT19">
        <v>0</v>
      </c>
      <c r="GU19">
        <v>0</v>
      </c>
      <c r="GV19">
        <v>0</v>
      </c>
      <c r="GW19">
        <v>0</v>
      </c>
    </row>
    <row r="20" spans="1:210" x14ac:dyDescent="0.3">
      <c r="A20">
        <v>171354</v>
      </c>
      <c r="B20" t="s">
        <v>261</v>
      </c>
      <c r="D20" t="s">
        <v>242</v>
      </c>
      <c r="E20" s="8">
        <v>100</v>
      </c>
      <c r="F20" s="9">
        <f>E20/SUM($E$3:$E$82)</f>
        <v>1.3025803062487084E-2</v>
      </c>
      <c r="G20">
        <v>88.5</v>
      </c>
      <c r="H20">
        <v>45.9</v>
      </c>
      <c r="I20">
        <v>192.04560000000001</v>
      </c>
      <c r="K20">
        <v>0.6</v>
      </c>
      <c r="L20">
        <v>0.3</v>
      </c>
      <c r="M20">
        <v>0.3</v>
      </c>
      <c r="N20">
        <v>0.4</v>
      </c>
      <c r="O20">
        <v>10.199999999999999</v>
      </c>
      <c r="P20">
        <v>0.1</v>
      </c>
      <c r="V20">
        <v>8.26</v>
      </c>
      <c r="AF20">
        <v>12</v>
      </c>
      <c r="AG20">
        <v>0.17</v>
      </c>
      <c r="AH20">
        <v>9</v>
      </c>
      <c r="AI20">
        <v>11</v>
      </c>
      <c r="AJ20">
        <v>184</v>
      </c>
      <c r="AK20">
        <v>0</v>
      </c>
      <c r="AL20">
        <v>0.06</v>
      </c>
      <c r="AM20">
        <v>4.5999999999999999E-2</v>
      </c>
      <c r="AP20">
        <v>0.1</v>
      </c>
      <c r="AS20">
        <v>62.5</v>
      </c>
      <c r="AT20">
        <v>4.4999999999999998E-2</v>
      </c>
      <c r="AU20">
        <v>2.8000000000000001E-2</v>
      </c>
      <c r="AV20">
        <v>0.23899999999999999</v>
      </c>
      <c r="AW20">
        <v>0.13700000000000001</v>
      </c>
      <c r="AX20">
        <v>5.3999999999999999E-2</v>
      </c>
      <c r="AZ20">
        <v>26</v>
      </c>
      <c r="BA20">
        <v>0</v>
      </c>
      <c r="BB20">
        <v>26</v>
      </c>
      <c r="BC20">
        <v>26</v>
      </c>
      <c r="BD20">
        <v>6.2</v>
      </c>
      <c r="BK20">
        <v>0</v>
      </c>
      <c r="BL20">
        <v>0</v>
      </c>
      <c r="BM20">
        <v>3</v>
      </c>
      <c r="BN20">
        <v>0</v>
      </c>
      <c r="BO20">
        <v>9</v>
      </c>
      <c r="BR20">
        <v>2</v>
      </c>
      <c r="BT20">
        <v>47</v>
      </c>
      <c r="BV20">
        <v>55</v>
      </c>
      <c r="BW20">
        <v>0</v>
      </c>
      <c r="BZ20">
        <v>113</v>
      </c>
      <c r="CF20">
        <v>0.04</v>
      </c>
      <c r="CG20">
        <v>0</v>
      </c>
      <c r="CO20">
        <v>0</v>
      </c>
      <c r="CP20">
        <v>0</v>
      </c>
      <c r="CT20">
        <v>0.1</v>
      </c>
      <c r="CU20">
        <v>3.5000000000000003E-2</v>
      </c>
      <c r="CV20">
        <v>0</v>
      </c>
      <c r="CX20">
        <v>0</v>
      </c>
      <c r="CZ20">
        <v>0</v>
      </c>
      <c r="DB20">
        <v>0</v>
      </c>
      <c r="DD20">
        <v>0</v>
      </c>
      <c r="DF20">
        <v>0</v>
      </c>
      <c r="DH20">
        <v>3.5000000000000003E-2</v>
      </c>
      <c r="DJ20">
        <v>0</v>
      </c>
      <c r="DP20">
        <v>0.05</v>
      </c>
      <c r="DU20">
        <v>5.0000000000000001E-3</v>
      </c>
      <c r="DY20">
        <v>4.4999999999999998E-2</v>
      </c>
      <c r="EA20">
        <v>0</v>
      </c>
      <c r="EC20">
        <v>0</v>
      </c>
      <c r="EH20">
        <v>0.06</v>
      </c>
      <c r="EI20">
        <v>4.4999999999999998E-2</v>
      </c>
      <c r="EN20">
        <v>1.4999999999999999E-2</v>
      </c>
      <c r="ER20">
        <v>0</v>
      </c>
      <c r="FA20">
        <v>0</v>
      </c>
      <c r="FD20">
        <v>0</v>
      </c>
      <c r="FH20">
        <v>0</v>
      </c>
      <c r="FJ20">
        <v>0</v>
      </c>
      <c r="FX20">
        <v>0</v>
      </c>
      <c r="GT20">
        <v>0</v>
      </c>
      <c r="GU20">
        <v>0</v>
      </c>
      <c r="GV20">
        <v>0</v>
      </c>
    </row>
    <row r="21" spans="1:210" x14ac:dyDescent="0.3">
      <c r="A21">
        <v>171711</v>
      </c>
      <c r="B21" t="s">
        <v>302</v>
      </c>
      <c r="D21" t="s">
        <v>242</v>
      </c>
      <c r="E21" s="8">
        <v>100</v>
      </c>
      <c r="F21" s="9">
        <f>E21/SUM($E$3:$E$82)</f>
        <v>1.3025803062487084E-2</v>
      </c>
      <c r="G21">
        <v>84.21</v>
      </c>
      <c r="H21">
        <v>63.89</v>
      </c>
      <c r="I21">
        <v>267.31576000000001</v>
      </c>
      <c r="K21">
        <v>0.74</v>
      </c>
      <c r="L21">
        <v>0.33</v>
      </c>
      <c r="M21">
        <v>0.33</v>
      </c>
      <c r="N21">
        <v>0.24</v>
      </c>
      <c r="O21">
        <v>14.49</v>
      </c>
      <c r="P21">
        <v>2.4</v>
      </c>
      <c r="V21">
        <v>9.9600000000000009</v>
      </c>
      <c r="W21">
        <v>0.11</v>
      </c>
      <c r="X21">
        <v>4.88</v>
      </c>
      <c r="Y21">
        <v>4.97</v>
      </c>
      <c r="Z21">
        <v>0</v>
      </c>
      <c r="AA21">
        <v>0</v>
      </c>
      <c r="AB21">
        <v>0</v>
      </c>
      <c r="AC21">
        <v>0.03</v>
      </c>
      <c r="AF21">
        <v>6</v>
      </c>
      <c r="AG21">
        <v>0.28000000000000003</v>
      </c>
      <c r="AH21">
        <v>6</v>
      </c>
      <c r="AI21">
        <v>12</v>
      </c>
      <c r="AJ21">
        <v>77</v>
      </c>
      <c r="AK21">
        <v>1</v>
      </c>
      <c r="AL21">
        <v>0.16</v>
      </c>
      <c r="AM21">
        <v>5.7000000000000002E-2</v>
      </c>
      <c r="AN21">
        <v>0.33600000000000002</v>
      </c>
      <c r="AP21">
        <v>0.1</v>
      </c>
      <c r="AS21">
        <v>9.6999999999999993</v>
      </c>
      <c r="AT21">
        <v>3.6999999999999998E-2</v>
      </c>
      <c r="AU21">
        <v>4.1000000000000002E-2</v>
      </c>
      <c r="AV21">
        <v>0.41799999999999998</v>
      </c>
      <c r="AW21">
        <v>0.124</v>
      </c>
      <c r="AX21">
        <v>5.1999999999999998E-2</v>
      </c>
      <c r="AZ21">
        <v>6</v>
      </c>
      <c r="BA21">
        <v>0</v>
      </c>
      <c r="BB21">
        <v>6</v>
      </c>
      <c r="BC21">
        <v>6</v>
      </c>
      <c r="BD21">
        <v>6</v>
      </c>
      <c r="BJ21">
        <v>0.2</v>
      </c>
      <c r="BK21">
        <v>0</v>
      </c>
      <c r="BL21">
        <v>0</v>
      </c>
      <c r="BM21">
        <v>3</v>
      </c>
      <c r="BN21">
        <v>0</v>
      </c>
      <c r="BO21">
        <v>32</v>
      </c>
      <c r="BR21">
        <v>0</v>
      </c>
      <c r="BT21">
        <v>0</v>
      </c>
      <c r="BV21">
        <v>54</v>
      </c>
      <c r="BW21">
        <v>0</v>
      </c>
      <c r="BZ21">
        <v>80</v>
      </c>
      <c r="CF21">
        <v>0.56999999999999995</v>
      </c>
      <c r="CG21">
        <v>0</v>
      </c>
      <c r="CH21">
        <v>0.01</v>
      </c>
      <c r="CI21">
        <v>0.36</v>
      </c>
      <c r="CJ21">
        <v>0.03</v>
      </c>
      <c r="CK21">
        <v>0</v>
      </c>
      <c r="CL21">
        <v>0</v>
      </c>
      <c r="CM21">
        <v>7.0000000000000007E-2</v>
      </c>
      <c r="CN21">
        <v>0</v>
      </c>
      <c r="CO21">
        <v>0</v>
      </c>
      <c r="CP21">
        <v>0</v>
      </c>
      <c r="CT21">
        <v>19.3</v>
      </c>
      <c r="CU21">
        <v>2.8000000000000001E-2</v>
      </c>
      <c r="CV21">
        <v>0</v>
      </c>
      <c r="CX21">
        <v>0</v>
      </c>
      <c r="CZ21">
        <v>0</v>
      </c>
      <c r="DB21">
        <v>0</v>
      </c>
      <c r="DD21">
        <v>0</v>
      </c>
      <c r="DF21">
        <v>0</v>
      </c>
      <c r="DH21">
        <v>1.7000000000000001E-2</v>
      </c>
      <c r="DJ21">
        <v>5.0000000000000001E-3</v>
      </c>
      <c r="DP21">
        <v>4.7E-2</v>
      </c>
      <c r="DU21">
        <v>2E-3</v>
      </c>
      <c r="DY21">
        <v>4.7E-2</v>
      </c>
      <c r="EA21">
        <v>0</v>
      </c>
      <c r="EC21">
        <v>0</v>
      </c>
      <c r="EH21">
        <v>0.14599999999999999</v>
      </c>
      <c r="EI21">
        <v>8.7999999999999995E-2</v>
      </c>
      <c r="EN21">
        <v>5.8000000000000003E-2</v>
      </c>
      <c r="ER21">
        <v>0</v>
      </c>
      <c r="FA21">
        <v>0</v>
      </c>
      <c r="FD21">
        <v>0</v>
      </c>
      <c r="FH21">
        <v>0</v>
      </c>
      <c r="FJ21">
        <v>0</v>
      </c>
      <c r="FK21">
        <v>0</v>
      </c>
      <c r="FX21">
        <v>0</v>
      </c>
      <c r="FZ21">
        <v>3.0000000000000001E-3</v>
      </c>
      <c r="GA21">
        <v>0.02</v>
      </c>
      <c r="GB21">
        <v>2.3E-2</v>
      </c>
      <c r="GC21">
        <v>4.3999999999999997E-2</v>
      </c>
      <c r="GD21">
        <v>1.2999999999999999E-2</v>
      </c>
      <c r="GE21">
        <v>1.2E-2</v>
      </c>
      <c r="GF21">
        <v>8.0000000000000002E-3</v>
      </c>
      <c r="GG21">
        <v>2.5999999999999999E-2</v>
      </c>
      <c r="GH21">
        <v>8.9999999999999993E-3</v>
      </c>
      <c r="GI21">
        <v>3.1E-2</v>
      </c>
      <c r="GJ21">
        <v>3.6999999999999998E-2</v>
      </c>
      <c r="GK21">
        <v>1.0999999999999999E-2</v>
      </c>
      <c r="GL21">
        <v>3.1E-2</v>
      </c>
      <c r="GM21">
        <v>5.7000000000000002E-2</v>
      </c>
      <c r="GN21">
        <v>9.0999999999999998E-2</v>
      </c>
      <c r="GO21">
        <v>3.1E-2</v>
      </c>
      <c r="GP21">
        <v>2.8000000000000001E-2</v>
      </c>
      <c r="GQ21">
        <v>2.1999999999999999E-2</v>
      </c>
      <c r="GT21">
        <v>0</v>
      </c>
      <c r="GU21">
        <v>0</v>
      </c>
      <c r="GV21">
        <v>0</v>
      </c>
      <c r="GW21">
        <v>0</v>
      </c>
    </row>
    <row r="22" spans="1:210" x14ac:dyDescent="0.3">
      <c r="A22">
        <v>171722</v>
      </c>
      <c r="B22" t="s">
        <v>295</v>
      </c>
      <c r="D22" t="s">
        <v>242</v>
      </c>
      <c r="E22" s="8">
        <v>100</v>
      </c>
      <c r="F22" s="9">
        <f>E22/SUM($E$3:$E$82)</f>
        <v>1.3025803062487084E-2</v>
      </c>
      <c r="G22">
        <v>87.32</v>
      </c>
      <c r="H22">
        <v>50.890000000000008</v>
      </c>
      <c r="I22">
        <v>212.92375999999999</v>
      </c>
      <c r="K22">
        <v>0.46</v>
      </c>
      <c r="L22">
        <v>0.13</v>
      </c>
      <c r="M22">
        <v>0.13</v>
      </c>
      <c r="N22">
        <v>0.12</v>
      </c>
      <c r="O22">
        <v>11.97</v>
      </c>
      <c r="P22">
        <v>3.6</v>
      </c>
      <c r="V22">
        <v>4.2699999999999996</v>
      </c>
      <c r="W22">
        <v>0.16</v>
      </c>
      <c r="X22">
        <v>3.44</v>
      </c>
      <c r="Y22">
        <v>0.67</v>
      </c>
      <c r="Z22">
        <v>0</v>
      </c>
      <c r="AA22">
        <v>0</v>
      </c>
      <c r="AB22">
        <v>0</v>
      </c>
      <c r="AC22">
        <v>0</v>
      </c>
      <c r="AF22">
        <v>8</v>
      </c>
      <c r="AG22">
        <v>0.23</v>
      </c>
      <c r="AH22">
        <v>6</v>
      </c>
      <c r="AI22">
        <v>11</v>
      </c>
      <c r="AJ22">
        <v>80</v>
      </c>
      <c r="AK22">
        <v>2</v>
      </c>
      <c r="AL22">
        <v>0.09</v>
      </c>
      <c r="AM22">
        <v>5.6000000000000001E-2</v>
      </c>
      <c r="AN22">
        <v>0.26700000000000002</v>
      </c>
      <c r="AP22">
        <v>0.1</v>
      </c>
      <c r="AS22">
        <v>14</v>
      </c>
      <c r="AT22">
        <v>1.2E-2</v>
      </c>
      <c r="AU22">
        <v>0.02</v>
      </c>
      <c r="AV22">
        <v>0.10100000000000001</v>
      </c>
      <c r="AW22">
        <v>0.29499999999999998</v>
      </c>
      <c r="AX22">
        <v>5.7000000000000002E-2</v>
      </c>
      <c r="AZ22">
        <v>1</v>
      </c>
      <c r="BA22">
        <v>0</v>
      </c>
      <c r="BB22">
        <v>1</v>
      </c>
      <c r="BC22">
        <v>1</v>
      </c>
      <c r="BD22">
        <v>5.5</v>
      </c>
      <c r="BJ22">
        <v>0.2</v>
      </c>
      <c r="BK22">
        <v>0</v>
      </c>
      <c r="BL22">
        <v>0</v>
      </c>
      <c r="BM22">
        <v>3</v>
      </c>
      <c r="BN22">
        <v>0</v>
      </c>
      <c r="BO22">
        <v>38</v>
      </c>
      <c r="BR22">
        <v>0</v>
      </c>
      <c r="BT22">
        <v>0</v>
      </c>
      <c r="BV22">
        <v>63</v>
      </c>
      <c r="BW22">
        <v>0</v>
      </c>
      <c r="BZ22">
        <v>91</v>
      </c>
      <c r="CF22">
        <v>1.32</v>
      </c>
      <c r="CG22">
        <v>0</v>
      </c>
      <c r="CH22">
        <v>0</v>
      </c>
      <c r="CI22">
        <v>0.04</v>
      </c>
      <c r="CJ22">
        <v>0</v>
      </c>
      <c r="CK22">
        <v>0</v>
      </c>
      <c r="CL22">
        <v>0</v>
      </c>
      <c r="CM22">
        <v>0.28999999999999998</v>
      </c>
      <c r="CN22">
        <v>0</v>
      </c>
      <c r="CO22">
        <v>0</v>
      </c>
      <c r="CP22">
        <v>0</v>
      </c>
      <c r="CT22">
        <v>5</v>
      </c>
      <c r="CU22">
        <v>8.0000000000000002E-3</v>
      </c>
      <c r="CV22">
        <v>0</v>
      </c>
      <c r="CX22">
        <v>0</v>
      </c>
      <c r="CZ22">
        <v>0</v>
      </c>
      <c r="DB22">
        <v>0</v>
      </c>
      <c r="DD22">
        <v>0</v>
      </c>
      <c r="DF22">
        <v>0</v>
      </c>
      <c r="DH22">
        <v>6.0000000000000001E-3</v>
      </c>
      <c r="DJ22">
        <v>2E-3</v>
      </c>
      <c r="DP22">
        <v>1.7999999999999999E-2</v>
      </c>
      <c r="DU22">
        <v>1E-3</v>
      </c>
      <c r="DY22">
        <v>1.7999999999999999E-2</v>
      </c>
      <c r="EA22">
        <v>0</v>
      </c>
      <c r="EC22">
        <v>0</v>
      </c>
      <c r="EH22">
        <v>5.5E-2</v>
      </c>
      <c r="EI22">
        <v>3.3000000000000002E-2</v>
      </c>
      <c r="EN22">
        <v>2.1999999999999999E-2</v>
      </c>
      <c r="ER22">
        <v>0</v>
      </c>
      <c r="FA22">
        <v>0</v>
      </c>
      <c r="FD22">
        <v>0</v>
      </c>
      <c r="FH22">
        <v>0</v>
      </c>
      <c r="FJ22">
        <v>0</v>
      </c>
      <c r="FK22">
        <v>0</v>
      </c>
      <c r="FX22">
        <v>0</v>
      </c>
      <c r="FZ22">
        <v>3.0000000000000001E-3</v>
      </c>
      <c r="GA22">
        <v>2.8000000000000001E-2</v>
      </c>
      <c r="GB22">
        <v>3.3000000000000002E-2</v>
      </c>
      <c r="GC22">
        <v>5.2999999999999999E-2</v>
      </c>
      <c r="GD22">
        <v>3.9E-2</v>
      </c>
      <c r="GE22">
        <v>3.0000000000000001E-3</v>
      </c>
      <c r="GF22">
        <v>3.0000000000000001E-3</v>
      </c>
      <c r="GG22">
        <v>3.5999999999999997E-2</v>
      </c>
      <c r="GH22">
        <v>3.2000000000000001E-2</v>
      </c>
      <c r="GI22">
        <v>4.4999999999999998E-2</v>
      </c>
      <c r="GJ22">
        <v>5.6000000000000001E-2</v>
      </c>
      <c r="GK22">
        <v>1.7999999999999999E-2</v>
      </c>
      <c r="GL22">
        <v>4.9000000000000002E-2</v>
      </c>
      <c r="GM22">
        <v>0.188</v>
      </c>
      <c r="GN22">
        <v>0.14599999999999999</v>
      </c>
      <c r="GO22">
        <v>4.8000000000000001E-2</v>
      </c>
      <c r="GP22">
        <v>3.1E-2</v>
      </c>
      <c r="GQ22">
        <v>5.0999999999999997E-2</v>
      </c>
      <c r="GT22">
        <v>0</v>
      </c>
      <c r="GU22">
        <v>0</v>
      </c>
      <c r="GV22">
        <v>0</v>
      </c>
      <c r="GW22">
        <v>0</v>
      </c>
    </row>
    <row r="23" spans="1:210" x14ac:dyDescent="0.3">
      <c r="A23">
        <v>172336</v>
      </c>
      <c r="B23" t="s">
        <v>241</v>
      </c>
      <c r="D23" t="s">
        <v>242</v>
      </c>
      <c r="E23" s="8">
        <v>30</v>
      </c>
      <c r="F23" s="9">
        <f>E23/SUM($E$3:$E$82)</f>
        <v>3.907740918746125E-3</v>
      </c>
      <c r="G23">
        <v>0</v>
      </c>
      <c r="H23">
        <v>900</v>
      </c>
      <c r="I23">
        <v>3765.6</v>
      </c>
      <c r="K23">
        <v>0</v>
      </c>
      <c r="L23">
        <v>100</v>
      </c>
      <c r="M23">
        <v>100</v>
      </c>
      <c r="N23">
        <v>0</v>
      </c>
      <c r="O23">
        <v>0</v>
      </c>
      <c r="P23">
        <v>0</v>
      </c>
      <c r="V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Z23">
        <v>0</v>
      </c>
      <c r="BA23">
        <v>0</v>
      </c>
      <c r="BB23">
        <v>0</v>
      </c>
      <c r="BC23">
        <v>0</v>
      </c>
      <c r="BD23">
        <v>0.2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R23">
        <v>0</v>
      </c>
      <c r="BT23">
        <v>0</v>
      </c>
      <c r="BV23">
        <v>0</v>
      </c>
      <c r="BW23">
        <v>0</v>
      </c>
      <c r="BZ23">
        <v>0</v>
      </c>
      <c r="CF23">
        <v>17.46</v>
      </c>
      <c r="CG23">
        <v>0</v>
      </c>
      <c r="CH23">
        <v>0.01</v>
      </c>
      <c r="CI23">
        <v>27.34</v>
      </c>
      <c r="CJ23">
        <v>0.99</v>
      </c>
      <c r="CK23">
        <v>0.03</v>
      </c>
      <c r="CL23">
        <v>0</v>
      </c>
      <c r="CM23">
        <v>0</v>
      </c>
      <c r="CN23">
        <v>0.01</v>
      </c>
      <c r="CO23">
        <v>0</v>
      </c>
      <c r="CP23">
        <v>0</v>
      </c>
      <c r="CT23">
        <v>71.3</v>
      </c>
      <c r="CU23">
        <v>7.3650000000000002</v>
      </c>
      <c r="CV23">
        <v>0</v>
      </c>
      <c r="CX23">
        <v>0</v>
      </c>
      <c r="CZ23">
        <v>0</v>
      </c>
      <c r="DB23">
        <v>0</v>
      </c>
      <c r="DD23">
        <v>0</v>
      </c>
      <c r="DF23">
        <v>0</v>
      </c>
      <c r="DG23">
        <v>0</v>
      </c>
      <c r="DH23">
        <v>4.298</v>
      </c>
      <c r="DI23">
        <v>0</v>
      </c>
      <c r="DJ23">
        <v>2.0870000000000002</v>
      </c>
      <c r="DK23">
        <v>0.65</v>
      </c>
      <c r="DM23">
        <v>0.33</v>
      </c>
      <c r="DP23">
        <v>63.276000000000003</v>
      </c>
      <c r="DR23">
        <v>0</v>
      </c>
      <c r="DT23">
        <v>0</v>
      </c>
      <c r="DU23">
        <v>0.214</v>
      </c>
      <c r="DW23">
        <v>0</v>
      </c>
      <c r="DY23">
        <v>61.744</v>
      </c>
      <c r="DZ23">
        <v>61.713999999999999</v>
      </c>
      <c r="EA23">
        <v>1.3169999999999999</v>
      </c>
      <c r="EC23">
        <v>0</v>
      </c>
      <c r="EH23">
        <v>28.141999999999999</v>
      </c>
      <c r="EI23">
        <v>19.004999999999999</v>
      </c>
      <c r="EK23">
        <v>18.64</v>
      </c>
      <c r="EN23">
        <v>9.1370000000000005</v>
      </c>
      <c r="EP23">
        <v>9.1370000000000005</v>
      </c>
      <c r="EQ23">
        <v>0</v>
      </c>
      <c r="ER23">
        <v>0</v>
      </c>
      <c r="ET23">
        <v>0</v>
      </c>
      <c r="EU23">
        <v>0</v>
      </c>
      <c r="FA23">
        <v>0</v>
      </c>
      <c r="FD23">
        <v>0</v>
      </c>
      <c r="FH23">
        <v>0</v>
      </c>
      <c r="FJ23">
        <v>0</v>
      </c>
      <c r="FK23">
        <v>0.39500000000000002</v>
      </c>
      <c r="FL23">
        <v>0.03</v>
      </c>
      <c r="FO23">
        <v>0.03</v>
      </c>
      <c r="FU23">
        <v>0.36499999999999999</v>
      </c>
      <c r="FV23">
        <v>0.36499999999999999</v>
      </c>
      <c r="FX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3</v>
      </c>
      <c r="GZ23">
        <v>241</v>
      </c>
      <c r="HB23">
        <v>413</v>
      </c>
    </row>
    <row r="24" spans="1:210" x14ac:dyDescent="0.3">
      <c r="A24">
        <v>173410</v>
      </c>
      <c r="B24" t="s">
        <v>313</v>
      </c>
      <c r="D24" t="s">
        <v>242</v>
      </c>
      <c r="E24" s="8">
        <v>100</v>
      </c>
      <c r="F24" s="9">
        <f>E24/SUM($E$3:$E$82)</f>
        <v>1.3025803062487084E-2</v>
      </c>
      <c r="G24">
        <v>16.170000000000002</v>
      </c>
      <c r="H24">
        <v>733.63</v>
      </c>
      <c r="I24">
        <v>3069.50792</v>
      </c>
      <c r="K24">
        <v>0.85</v>
      </c>
      <c r="L24">
        <v>81.11</v>
      </c>
      <c r="M24">
        <v>81.11</v>
      </c>
      <c r="N24">
        <v>2.11</v>
      </c>
      <c r="O24">
        <v>0.06</v>
      </c>
      <c r="P24">
        <v>0</v>
      </c>
      <c r="V24">
        <v>0.06</v>
      </c>
      <c r="AF24">
        <v>24</v>
      </c>
      <c r="AG24">
        <v>0.02</v>
      </c>
      <c r="AH24">
        <v>2</v>
      </c>
      <c r="AI24">
        <v>24</v>
      </c>
      <c r="AJ24">
        <v>24</v>
      </c>
      <c r="AK24">
        <v>643</v>
      </c>
      <c r="AL24">
        <v>0.09</v>
      </c>
      <c r="AM24">
        <v>0</v>
      </c>
      <c r="AN24">
        <v>0</v>
      </c>
      <c r="AP24">
        <v>1</v>
      </c>
      <c r="AQ24">
        <v>2.8</v>
      </c>
      <c r="AS24">
        <v>0</v>
      </c>
      <c r="AT24">
        <v>5.0000000000000001E-3</v>
      </c>
      <c r="AU24">
        <v>3.4000000000000002E-2</v>
      </c>
      <c r="AV24">
        <v>4.2000000000000003E-2</v>
      </c>
      <c r="AW24">
        <v>0.11</v>
      </c>
      <c r="AX24">
        <v>3.0000000000000001E-3</v>
      </c>
      <c r="AZ24">
        <v>3</v>
      </c>
      <c r="BA24">
        <v>0</v>
      </c>
      <c r="BB24">
        <v>3</v>
      </c>
      <c r="BC24">
        <v>3</v>
      </c>
      <c r="BD24">
        <v>18.8</v>
      </c>
      <c r="BJ24">
        <v>0.3</v>
      </c>
      <c r="BK24">
        <v>0.17</v>
      </c>
      <c r="BL24">
        <v>0</v>
      </c>
      <c r="BM24">
        <v>684</v>
      </c>
      <c r="BN24">
        <v>671</v>
      </c>
      <c r="BO24">
        <v>158</v>
      </c>
      <c r="BR24">
        <v>0</v>
      </c>
      <c r="BT24">
        <v>0</v>
      </c>
      <c r="BV24">
        <v>2499</v>
      </c>
      <c r="BW24">
        <v>0</v>
      </c>
      <c r="BZ24">
        <v>0</v>
      </c>
      <c r="CF24">
        <v>2.3199999999999998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T24">
        <v>7</v>
      </c>
      <c r="CU24">
        <v>51.368000000000002</v>
      </c>
      <c r="CV24">
        <v>3.226</v>
      </c>
      <c r="CX24">
        <v>2.0070000000000001</v>
      </c>
      <c r="CZ24">
        <v>1.19</v>
      </c>
      <c r="DB24">
        <v>2.5289999999999999</v>
      </c>
      <c r="DD24">
        <v>2.5870000000000002</v>
      </c>
      <c r="DF24">
        <v>7.4359999999999999</v>
      </c>
      <c r="DH24">
        <v>21.696999999999999</v>
      </c>
      <c r="DI24">
        <v>0.56000000000000005</v>
      </c>
      <c r="DJ24">
        <v>9.9990000000000006</v>
      </c>
      <c r="DK24">
        <v>0.13800000000000001</v>
      </c>
      <c r="DP24">
        <v>21.021000000000001</v>
      </c>
      <c r="DU24">
        <v>0.96099999999999997</v>
      </c>
      <c r="DV24">
        <v>0.96099999999999997</v>
      </c>
      <c r="DY24">
        <v>19.960999999999999</v>
      </c>
      <c r="DZ24">
        <v>16.978000000000002</v>
      </c>
      <c r="EA24">
        <v>0.1</v>
      </c>
      <c r="EC24">
        <v>0</v>
      </c>
      <c r="EH24">
        <v>3.0430000000000001</v>
      </c>
      <c r="EI24">
        <v>2.7280000000000002</v>
      </c>
      <c r="EK24">
        <v>2.1659999999999999</v>
      </c>
      <c r="EL24">
        <v>0.26700000000000002</v>
      </c>
      <c r="EM24">
        <v>0.29599999999999999</v>
      </c>
      <c r="EN24">
        <v>0.315</v>
      </c>
      <c r="EP24">
        <v>0.315</v>
      </c>
      <c r="ER24">
        <v>0</v>
      </c>
      <c r="FA24">
        <v>0</v>
      </c>
      <c r="FD24">
        <v>0</v>
      </c>
      <c r="FH24">
        <v>0</v>
      </c>
      <c r="FJ24">
        <v>0</v>
      </c>
      <c r="FK24">
        <v>3.278</v>
      </c>
      <c r="FL24">
        <v>2.9820000000000002</v>
      </c>
      <c r="FO24">
        <v>2.9820000000000002</v>
      </c>
      <c r="FV24">
        <v>0.29599999999999999</v>
      </c>
      <c r="FX24">
        <v>215</v>
      </c>
      <c r="FZ24">
        <v>1.2E-2</v>
      </c>
      <c r="GA24">
        <v>3.7999999999999999E-2</v>
      </c>
      <c r="GB24">
        <v>5.0999999999999997E-2</v>
      </c>
      <c r="GC24">
        <v>8.3000000000000004E-2</v>
      </c>
      <c r="GD24">
        <v>6.7000000000000004E-2</v>
      </c>
      <c r="GE24">
        <v>2.1000000000000001E-2</v>
      </c>
      <c r="GF24">
        <v>8.0000000000000002E-3</v>
      </c>
      <c r="GG24">
        <v>4.1000000000000002E-2</v>
      </c>
      <c r="GH24">
        <v>4.1000000000000002E-2</v>
      </c>
      <c r="GI24">
        <v>5.7000000000000002E-2</v>
      </c>
      <c r="GJ24">
        <v>3.1E-2</v>
      </c>
      <c r="GK24">
        <v>2.3E-2</v>
      </c>
      <c r="GL24">
        <v>2.9000000000000001E-2</v>
      </c>
      <c r="GM24">
        <v>6.4000000000000001E-2</v>
      </c>
      <c r="GN24">
        <v>0.17799999999999999</v>
      </c>
      <c r="GO24">
        <v>1.7999999999999999E-2</v>
      </c>
      <c r="GP24">
        <v>8.2000000000000003E-2</v>
      </c>
      <c r="GQ24">
        <v>4.5999999999999999E-2</v>
      </c>
      <c r="GT24">
        <v>0</v>
      </c>
      <c r="GU24">
        <v>0</v>
      </c>
      <c r="GV24">
        <v>0</v>
      </c>
      <c r="GY24">
        <v>0</v>
      </c>
      <c r="GZ24">
        <v>0</v>
      </c>
      <c r="HB24">
        <v>4</v>
      </c>
    </row>
    <row r="25" spans="1:210" x14ac:dyDescent="0.3">
      <c r="A25">
        <v>173468</v>
      </c>
      <c r="B25" t="s">
        <v>288</v>
      </c>
      <c r="D25" t="s">
        <v>242</v>
      </c>
      <c r="E25" s="8">
        <v>3.1301471638805571</v>
      </c>
      <c r="F25" s="9">
        <f>E25/SUM($E$3:$E$82)</f>
        <v>4.077268051331062E-4</v>
      </c>
      <c r="G25">
        <v>0.2</v>
      </c>
      <c r="H25">
        <v>0</v>
      </c>
      <c r="I25">
        <v>0</v>
      </c>
      <c r="K25">
        <v>0</v>
      </c>
      <c r="L25">
        <v>0</v>
      </c>
      <c r="M25">
        <v>0</v>
      </c>
      <c r="N25">
        <v>99.8</v>
      </c>
      <c r="O25">
        <v>0</v>
      </c>
      <c r="P25">
        <v>0</v>
      </c>
      <c r="V25">
        <v>0</v>
      </c>
      <c r="AF25">
        <v>24</v>
      </c>
      <c r="AG25">
        <v>0.33</v>
      </c>
      <c r="AH25">
        <v>1</v>
      </c>
      <c r="AI25">
        <v>0</v>
      </c>
      <c r="AJ25">
        <v>8</v>
      </c>
      <c r="AK25">
        <v>38758</v>
      </c>
      <c r="AL25">
        <v>0.1</v>
      </c>
      <c r="AM25">
        <v>0.03</v>
      </c>
      <c r="AN25">
        <v>0.1</v>
      </c>
      <c r="AP25">
        <v>0.1</v>
      </c>
      <c r="AQ25">
        <v>2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R25">
        <v>0</v>
      </c>
      <c r="BT25">
        <v>0</v>
      </c>
      <c r="BV25">
        <v>0</v>
      </c>
      <c r="BW25">
        <v>0</v>
      </c>
      <c r="BZ25">
        <v>0</v>
      </c>
      <c r="CF25">
        <v>0</v>
      </c>
      <c r="CG25">
        <v>0</v>
      </c>
      <c r="CO25">
        <v>0</v>
      </c>
      <c r="CP25">
        <v>0</v>
      </c>
      <c r="CT25">
        <v>0</v>
      </c>
      <c r="CU25">
        <v>0</v>
      </c>
      <c r="CV25">
        <v>0</v>
      </c>
      <c r="CX25">
        <v>0</v>
      </c>
      <c r="CZ25">
        <v>0</v>
      </c>
      <c r="DB25">
        <v>0</v>
      </c>
      <c r="DD25">
        <v>0</v>
      </c>
      <c r="DF25">
        <v>0</v>
      </c>
      <c r="DH25">
        <v>0</v>
      </c>
      <c r="DJ25">
        <v>0</v>
      </c>
      <c r="DP25">
        <v>0</v>
      </c>
      <c r="DU25">
        <v>0</v>
      </c>
      <c r="DY25">
        <v>0</v>
      </c>
      <c r="EA25">
        <v>0</v>
      </c>
      <c r="EC25">
        <v>0</v>
      </c>
      <c r="EH25">
        <v>0</v>
      </c>
      <c r="EI25">
        <v>0</v>
      </c>
      <c r="EN25">
        <v>0</v>
      </c>
      <c r="ER25">
        <v>0</v>
      </c>
      <c r="FA25">
        <v>0</v>
      </c>
      <c r="FD25">
        <v>0</v>
      </c>
      <c r="FH25">
        <v>0</v>
      </c>
      <c r="FJ25">
        <v>0</v>
      </c>
      <c r="FK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T25">
        <v>0</v>
      </c>
      <c r="GU25">
        <v>0</v>
      </c>
      <c r="GV25">
        <v>0</v>
      </c>
    </row>
    <row r="26" spans="1:210" x14ac:dyDescent="0.3">
      <c r="A26">
        <v>173532</v>
      </c>
      <c r="B26" t="s">
        <v>256</v>
      </c>
      <c r="D26" t="s">
        <v>242</v>
      </c>
      <c r="E26" s="8">
        <v>100</v>
      </c>
      <c r="F26" s="9">
        <f>E26/SUM($E$3:$E$82)</f>
        <v>1.3025803062487084E-2</v>
      </c>
      <c r="G26">
        <v>74.2</v>
      </c>
      <c r="H26">
        <v>116</v>
      </c>
      <c r="I26">
        <v>485.34399999999999</v>
      </c>
      <c r="K26">
        <v>5</v>
      </c>
      <c r="L26">
        <v>3.6</v>
      </c>
      <c r="M26">
        <v>3.6</v>
      </c>
      <c r="N26">
        <v>1.2</v>
      </c>
      <c r="O26">
        <v>15.9</v>
      </c>
      <c r="AF26">
        <v>294</v>
      </c>
      <c r="AG26">
        <v>11.27</v>
      </c>
      <c r="AH26">
        <v>28</v>
      </c>
      <c r="AI26">
        <v>184</v>
      </c>
      <c r="AJ26">
        <v>171</v>
      </c>
      <c r="AK26">
        <v>48</v>
      </c>
      <c r="AL26">
        <v>0.72</v>
      </c>
      <c r="AM26">
        <v>6.4000000000000001E-2</v>
      </c>
      <c r="AT26">
        <v>0.44700000000000001</v>
      </c>
      <c r="AU26">
        <v>0.58299999999999996</v>
      </c>
      <c r="AV26">
        <v>6.26</v>
      </c>
      <c r="AW26">
        <v>0.443</v>
      </c>
      <c r="AX26">
        <v>6.7000000000000004E-2</v>
      </c>
      <c r="AZ26">
        <v>11</v>
      </c>
      <c r="BA26">
        <v>0</v>
      </c>
      <c r="BB26">
        <v>11</v>
      </c>
      <c r="BC26">
        <v>11</v>
      </c>
      <c r="BK26">
        <v>0.3</v>
      </c>
    </row>
    <row r="27" spans="1:210" x14ac:dyDescent="0.3">
      <c r="A27">
        <v>173534</v>
      </c>
      <c r="B27" t="s">
        <v>287</v>
      </c>
      <c r="D27" t="s">
        <v>242</v>
      </c>
      <c r="E27" s="8">
        <v>100</v>
      </c>
      <c r="F27" s="9">
        <f>E27/SUM($E$3:$E$82)</f>
        <v>1.3025803062487084E-2</v>
      </c>
      <c r="G27">
        <v>81.81</v>
      </c>
      <c r="H27">
        <v>86.12</v>
      </c>
      <c r="I27">
        <v>360.32607999999999</v>
      </c>
      <c r="K27">
        <v>3.57</v>
      </c>
      <c r="L27">
        <v>3.32</v>
      </c>
      <c r="M27">
        <v>3.32</v>
      </c>
      <c r="N27">
        <v>0.81</v>
      </c>
      <c r="O27">
        <v>10.49</v>
      </c>
      <c r="P27">
        <v>0.1</v>
      </c>
      <c r="V27">
        <v>6.13</v>
      </c>
      <c r="W27">
        <v>0</v>
      </c>
      <c r="X27">
        <v>0</v>
      </c>
      <c r="Y27">
        <v>0</v>
      </c>
      <c r="Z27">
        <v>4.67</v>
      </c>
      <c r="AA27">
        <v>0</v>
      </c>
      <c r="AB27">
        <v>0</v>
      </c>
      <c r="AF27">
        <v>156</v>
      </c>
      <c r="AG27">
        <v>3.63</v>
      </c>
      <c r="AH27">
        <v>20</v>
      </c>
      <c r="AI27">
        <v>109</v>
      </c>
      <c r="AJ27">
        <v>180</v>
      </c>
      <c r="AK27">
        <v>47</v>
      </c>
      <c r="AL27">
        <v>0.46</v>
      </c>
      <c r="AM27">
        <v>4.2000000000000003E-2</v>
      </c>
      <c r="AN27">
        <v>4.0000000000000001E-3</v>
      </c>
      <c r="AP27">
        <v>4.3</v>
      </c>
      <c r="AS27">
        <v>0.2</v>
      </c>
      <c r="AT27">
        <v>0.68400000000000005</v>
      </c>
      <c r="AU27">
        <v>0.44400000000000001</v>
      </c>
      <c r="AV27">
        <v>1.849</v>
      </c>
      <c r="AW27">
        <v>0.34499999999999997</v>
      </c>
      <c r="AX27">
        <v>8.5000000000000006E-2</v>
      </c>
      <c r="AZ27">
        <v>6</v>
      </c>
      <c r="BA27">
        <v>0</v>
      </c>
      <c r="BB27">
        <v>6</v>
      </c>
      <c r="BC27">
        <v>6</v>
      </c>
      <c r="BD27">
        <v>15.2</v>
      </c>
      <c r="BJ27">
        <v>0.6</v>
      </c>
      <c r="BK27">
        <v>0.43</v>
      </c>
      <c r="BL27">
        <v>0</v>
      </c>
      <c r="BM27">
        <v>43</v>
      </c>
      <c r="BN27">
        <v>42</v>
      </c>
      <c r="BO27">
        <v>7</v>
      </c>
      <c r="BR27">
        <v>1</v>
      </c>
      <c r="BT27">
        <v>0</v>
      </c>
      <c r="BV27">
        <v>152</v>
      </c>
      <c r="BW27">
        <v>0</v>
      </c>
      <c r="BZ27">
        <v>3</v>
      </c>
      <c r="CF27">
        <v>0.09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47</v>
      </c>
      <c r="CP27">
        <v>1.2</v>
      </c>
      <c r="CR27">
        <v>1.2</v>
      </c>
      <c r="CT27">
        <v>0.5</v>
      </c>
      <c r="CU27">
        <v>1.798</v>
      </c>
      <c r="CV27">
        <v>6.9000000000000006E-2</v>
      </c>
      <c r="CX27">
        <v>6.9000000000000006E-2</v>
      </c>
      <c r="CZ27">
        <v>6.9000000000000006E-2</v>
      </c>
      <c r="DB27">
        <v>6.9000000000000006E-2</v>
      </c>
      <c r="DD27">
        <v>7.0999999999999994E-2</v>
      </c>
      <c r="DE27">
        <v>0</v>
      </c>
      <c r="DF27">
        <v>0.27600000000000002</v>
      </c>
      <c r="DG27">
        <v>0</v>
      </c>
      <c r="DH27">
        <v>0.82599999999999996</v>
      </c>
      <c r="DI27">
        <v>0</v>
      </c>
      <c r="DJ27">
        <v>0.34499999999999997</v>
      </c>
      <c r="DK27">
        <v>0</v>
      </c>
      <c r="DM27">
        <v>0</v>
      </c>
      <c r="DO27">
        <v>0</v>
      </c>
      <c r="DP27">
        <v>0.82599999999999996</v>
      </c>
      <c r="DR27">
        <v>0</v>
      </c>
      <c r="DU27">
        <v>2E-3</v>
      </c>
      <c r="DY27">
        <v>0.82299999999999995</v>
      </c>
      <c r="EA27">
        <v>0</v>
      </c>
      <c r="EC27">
        <v>0</v>
      </c>
      <c r="EH27">
        <v>0.29399999999999998</v>
      </c>
      <c r="EI27">
        <v>0.20899999999999999</v>
      </c>
      <c r="EN27">
        <v>8.5000000000000006E-2</v>
      </c>
      <c r="ER27">
        <v>0</v>
      </c>
      <c r="FA27">
        <v>0</v>
      </c>
      <c r="FD27">
        <v>0</v>
      </c>
      <c r="FH27">
        <v>0</v>
      </c>
      <c r="FJ27">
        <v>0</v>
      </c>
      <c r="FX27">
        <v>10</v>
      </c>
      <c r="FZ27">
        <v>7.9000000000000001E-2</v>
      </c>
      <c r="GA27">
        <v>0.16300000000000001</v>
      </c>
      <c r="GB27">
        <v>0.184</v>
      </c>
      <c r="GC27">
        <v>0.30199999999999999</v>
      </c>
      <c r="GD27">
        <v>0.161</v>
      </c>
      <c r="GE27">
        <v>8.5000000000000006E-2</v>
      </c>
      <c r="GF27">
        <v>2.9000000000000001E-2</v>
      </c>
      <c r="GG27">
        <v>0.16300000000000001</v>
      </c>
      <c r="GH27">
        <v>0.16500000000000001</v>
      </c>
      <c r="GI27">
        <v>0.215</v>
      </c>
      <c r="GJ27">
        <v>0.113</v>
      </c>
      <c r="GK27">
        <v>8.7999999999999995E-2</v>
      </c>
      <c r="GL27">
        <v>0.13100000000000001</v>
      </c>
      <c r="GM27">
        <v>0.28000000000000003</v>
      </c>
      <c r="GN27">
        <v>0.70199999999999996</v>
      </c>
      <c r="GO27">
        <v>9.5000000000000001E-2</v>
      </c>
      <c r="GP27">
        <v>0.34100000000000003</v>
      </c>
      <c r="GQ27">
        <v>0.13200000000000001</v>
      </c>
      <c r="GT27">
        <v>0</v>
      </c>
      <c r="GU27">
        <v>0</v>
      </c>
      <c r="GV27">
        <v>0</v>
      </c>
      <c r="GW27">
        <v>0</v>
      </c>
      <c r="GX27">
        <v>0.9</v>
      </c>
    </row>
    <row r="28" spans="1:210" x14ac:dyDescent="0.3">
      <c r="A28">
        <v>173944</v>
      </c>
      <c r="B28" t="s">
        <v>293</v>
      </c>
      <c r="D28" t="s">
        <v>242</v>
      </c>
      <c r="E28" s="8">
        <v>100</v>
      </c>
      <c r="F28" s="9">
        <f>E28/SUM($E$3:$E$82)</f>
        <v>1.3025803062487084E-2</v>
      </c>
      <c r="G28">
        <v>74.91</v>
      </c>
      <c r="H28">
        <v>98.69</v>
      </c>
      <c r="I28">
        <v>412.91896000000003</v>
      </c>
      <c r="K28">
        <v>1.0900000000000001</v>
      </c>
      <c r="L28">
        <v>0.33</v>
      </c>
      <c r="M28">
        <v>0.33</v>
      </c>
      <c r="N28">
        <v>0.82</v>
      </c>
      <c r="O28">
        <v>22.84</v>
      </c>
      <c r="P28">
        <v>2.6</v>
      </c>
      <c r="V28">
        <v>12.23</v>
      </c>
      <c r="W28">
        <v>2.39</v>
      </c>
      <c r="X28">
        <v>4.9800000000000004</v>
      </c>
      <c r="Y28">
        <v>4.8499999999999996</v>
      </c>
      <c r="Z28">
        <v>0</v>
      </c>
      <c r="AA28">
        <v>0.01</v>
      </c>
      <c r="AB28">
        <v>0</v>
      </c>
      <c r="AC28">
        <v>5.38</v>
      </c>
      <c r="AF28">
        <v>5</v>
      </c>
      <c r="AG28">
        <v>0.26</v>
      </c>
      <c r="AH28">
        <v>27</v>
      </c>
      <c r="AI28">
        <v>22</v>
      </c>
      <c r="AJ28">
        <v>358</v>
      </c>
      <c r="AK28">
        <v>1</v>
      </c>
      <c r="AL28">
        <v>0.15</v>
      </c>
      <c r="AM28">
        <v>7.8E-2</v>
      </c>
      <c r="AN28">
        <v>0.27</v>
      </c>
      <c r="AP28">
        <v>1</v>
      </c>
      <c r="AQ28">
        <v>2.2000000000000002</v>
      </c>
      <c r="AS28">
        <v>8.6999999999999993</v>
      </c>
      <c r="AT28">
        <v>3.1E-2</v>
      </c>
      <c r="AU28">
        <v>7.2999999999999995E-2</v>
      </c>
      <c r="AV28">
        <v>0.66500000000000004</v>
      </c>
      <c r="AW28">
        <v>0.33400000000000002</v>
      </c>
      <c r="AX28">
        <v>0.36699999999999999</v>
      </c>
      <c r="AZ28">
        <v>20</v>
      </c>
      <c r="BA28">
        <v>0</v>
      </c>
      <c r="BB28">
        <v>20</v>
      </c>
      <c r="BC28">
        <v>20</v>
      </c>
      <c r="BD28">
        <v>9.8000000000000007</v>
      </c>
      <c r="BJ28">
        <v>0.1</v>
      </c>
      <c r="BK28">
        <v>0</v>
      </c>
      <c r="BL28">
        <v>0</v>
      </c>
      <c r="BM28">
        <v>3</v>
      </c>
      <c r="BN28">
        <v>0</v>
      </c>
      <c r="BO28">
        <v>26</v>
      </c>
      <c r="BR28">
        <v>25</v>
      </c>
      <c r="BT28">
        <v>0</v>
      </c>
      <c r="BV28">
        <v>64</v>
      </c>
      <c r="BW28">
        <v>0</v>
      </c>
      <c r="BZ28">
        <v>22</v>
      </c>
      <c r="CF28">
        <v>0.1</v>
      </c>
      <c r="CG28">
        <v>0</v>
      </c>
      <c r="CH28">
        <v>0</v>
      </c>
      <c r="CI28">
        <v>0.02</v>
      </c>
      <c r="CJ28">
        <v>0.01</v>
      </c>
      <c r="CK28">
        <v>0.06</v>
      </c>
      <c r="CL28">
        <v>0</v>
      </c>
      <c r="CM28">
        <v>0</v>
      </c>
      <c r="CN28">
        <v>0</v>
      </c>
      <c r="CO28">
        <v>0</v>
      </c>
      <c r="CP28">
        <v>0</v>
      </c>
      <c r="CT28">
        <v>0.5</v>
      </c>
      <c r="CU28">
        <v>0.112</v>
      </c>
      <c r="CV28">
        <v>0</v>
      </c>
      <c r="CX28">
        <v>0</v>
      </c>
      <c r="CZ28">
        <v>0</v>
      </c>
      <c r="DB28">
        <v>1E-3</v>
      </c>
      <c r="DD28">
        <v>2E-3</v>
      </c>
      <c r="DF28">
        <v>2E-3</v>
      </c>
      <c r="DH28">
        <v>0.10199999999999999</v>
      </c>
      <c r="DJ28">
        <v>5.0000000000000001E-3</v>
      </c>
      <c r="DP28">
        <v>3.2000000000000001E-2</v>
      </c>
      <c r="DU28">
        <v>0.01</v>
      </c>
      <c r="DY28">
        <v>2.1999999999999999E-2</v>
      </c>
      <c r="EA28">
        <v>0</v>
      </c>
      <c r="EC28">
        <v>0</v>
      </c>
      <c r="EH28">
        <v>7.2999999999999995E-2</v>
      </c>
      <c r="EI28">
        <v>4.5999999999999999E-2</v>
      </c>
      <c r="EN28">
        <v>2.7E-2</v>
      </c>
      <c r="ER28">
        <v>0</v>
      </c>
      <c r="FA28">
        <v>0</v>
      </c>
      <c r="FD28">
        <v>0</v>
      </c>
      <c r="FH28">
        <v>0</v>
      </c>
      <c r="FJ28">
        <v>0</v>
      </c>
      <c r="FK28">
        <v>0</v>
      </c>
      <c r="FX28">
        <v>0</v>
      </c>
      <c r="FY28">
        <v>16</v>
      </c>
      <c r="FZ28">
        <v>8.9999999999999993E-3</v>
      </c>
      <c r="GA28">
        <v>2.8000000000000001E-2</v>
      </c>
      <c r="GB28">
        <v>2.8000000000000001E-2</v>
      </c>
      <c r="GC28">
        <v>6.8000000000000005E-2</v>
      </c>
      <c r="GD28">
        <v>0.05</v>
      </c>
      <c r="GE28">
        <v>8.0000000000000002E-3</v>
      </c>
      <c r="GF28">
        <v>8.9999999999999993E-3</v>
      </c>
      <c r="GG28">
        <v>4.9000000000000002E-2</v>
      </c>
      <c r="GH28">
        <v>8.9999999999999993E-3</v>
      </c>
      <c r="GI28">
        <v>4.7E-2</v>
      </c>
      <c r="GJ28">
        <v>4.9000000000000002E-2</v>
      </c>
      <c r="GK28">
        <v>7.6999999999999999E-2</v>
      </c>
      <c r="GL28">
        <v>0.04</v>
      </c>
      <c r="GM28">
        <v>0.124</v>
      </c>
      <c r="GN28">
        <v>0.152</v>
      </c>
      <c r="GO28">
        <v>3.7999999999999999E-2</v>
      </c>
      <c r="GP28">
        <v>2.8000000000000001E-2</v>
      </c>
      <c r="GQ28">
        <v>0.04</v>
      </c>
      <c r="GT28">
        <v>0</v>
      </c>
      <c r="GU28">
        <v>0</v>
      </c>
      <c r="GV28">
        <v>0</v>
      </c>
      <c r="GW28">
        <v>0</v>
      </c>
    </row>
    <row r="29" spans="1:210" x14ac:dyDescent="0.3">
      <c r="A29">
        <v>174158</v>
      </c>
      <c r="B29" t="s">
        <v>245</v>
      </c>
      <c r="D29" t="s">
        <v>242</v>
      </c>
      <c r="E29" s="8">
        <v>116.4730390055723</v>
      </c>
      <c r="F29" s="9">
        <f>E29/SUM($E$3:$E$82)</f>
        <v>1.5171548681759614E-2</v>
      </c>
      <c r="G29">
        <v>99.98</v>
      </c>
      <c r="H29">
        <v>0</v>
      </c>
      <c r="I29">
        <v>0</v>
      </c>
      <c r="K29">
        <v>0</v>
      </c>
      <c r="L29">
        <v>0</v>
      </c>
      <c r="M29">
        <v>0</v>
      </c>
      <c r="N29">
        <v>7.0000000000000007E-2</v>
      </c>
      <c r="O29">
        <v>0</v>
      </c>
      <c r="P29">
        <v>0</v>
      </c>
      <c r="V29">
        <v>0</v>
      </c>
      <c r="AF29">
        <v>10</v>
      </c>
      <c r="AG29">
        <v>0</v>
      </c>
      <c r="AH29">
        <v>2</v>
      </c>
      <c r="AI29">
        <v>0</v>
      </c>
      <c r="AJ29">
        <v>0</v>
      </c>
      <c r="AK29">
        <v>2</v>
      </c>
      <c r="AL29">
        <v>0</v>
      </c>
      <c r="AM29">
        <v>7.0000000000000001E-3</v>
      </c>
      <c r="AP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R29">
        <v>0</v>
      </c>
      <c r="BT29">
        <v>0</v>
      </c>
      <c r="BV29">
        <v>0</v>
      </c>
      <c r="BW29">
        <v>0</v>
      </c>
      <c r="BZ29">
        <v>0</v>
      </c>
      <c r="CF29">
        <v>0</v>
      </c>
      <c r="CG29">
        <v>0</v>
      </c>
      <c r="CO29">
        <v>0</v>
      </c>
      <c r="CP29">
        <v>0</v>
      </c>
      <c r="CT29">
        <v>0</v>
      </c>
      <c r="CU29">
        <v>0</v>
      </c>
      <c r="CV29">
        <v>0</v>
      </c>
      <c r="CX29">
        <v>0</v>
      </c>
      <c r="CZ29">
        <v>0</v>
      </c>
      <c r="DB29">
        <v>0</v>
      </c>
      <c r="DD29">
        <v>0</v>
      </c>
      <c r="DF29">
        <v>0</v>
      </c>
      <c r="DH29">
        <v>0</v>
      </c>
      <c r="DJ29">
        <v>0</v>
      </c>
      <c r="DP29">
        <v>0</v>
      </c>
      <c r="DU29">
        <v>0</v>
      </c>
      <c r="DY29">
        <v>0</v>
      </c>
      <c r="EA29">
        <v>0</v>
      </c>
      <c r="EC29">
        <v>0</v>
      </c>
      <c r="EH29">
        <v>0</v>
      </c>
      <c r="EI29">
        <v>0</v>
      </c>
      <c r="EN29">
        <v>0</v>
      </c>
      <c r="ER29">
        <v>0</v>
      </c>
      <c r="FA29">
        <v>0</v>
      </c>
      <c r="FD29">
        <v>0</v>
      </c>
      <c r="FH29">
        <v>0</v>
      </c>
      <c r="FJ29">
        <v>0</v>
      </c>
      <c r="FK29">
        <v>0</v>
      </c>
      <c r="FX29">
        <v>0</v>
      </c>
      <c r="GT29">
        <v>0</v>
      </c>
      <c r="GU29">
        <v>0</v>
      </c>
      <c r="GV29">
        <v>0</v>
      </c>
    </row>
    <row r="30" spans="1:210" x14ac:dyDescent="0.3">
      <c r="A30">
        <v>175138</v>
      </c>
      <c r="B30" t="s">
        <v>308</v>
      </c>
      <c r="D30" t="s">
        <v>242</v>
      </c>
      <c r="E30" s="8">
        <v>100</v>
      </c>
      <c r="F30" s="9">
        <f>E30/SUM($E$3:$E$82)</f>
        <v>1.3025803062487084E-2</v>
      </c>
      <c r="G30">
        <v>75.52</v>
      </c>
      <c r="H30">
        <v>121.6</v>
      </c>
      <c r="I30">
        <v>508.77440000000001</v>
      </c>
      <c r="K30">
        <v>20.5</v>
      </c>
      <c r="L30">
        <v>4.4000000000000004</v>
      </c>
      <c r="M30">
        <v>4.4000000000000004</v>
      </c>
      <c r="N30">
        <v>1.52</v>
      </c>
      <c r="O30">
        <v>0</v>
      </c>
      <c r="P30">
        <v>0</v>
      </c>
      <c r="V30">
        <v>0</v>
      </c>
      <c r="AF30">
        <v>7</v>
      </c>
      <c r="AG30">
        <v>0.38</v>
      </c>
      <c r="AH30">
        <v>27</v>
      </c>
      <c r="AI30">
        <v>261</v>
      </c>
      <c r="AJ30">
        <v>366</v>
      </c>
      <c r="AK30">
        <v>75</v>
      </c>
      <c r="AL30">
        <v>0.39</v>
      </c>
      <c r="AM30">
        <v>6.3E-2</v>
      </c>
      <c r="AN30">
        <v>1.0999999999999999E-2</v>
      </c>
      <c r="AP30">
        <v>31.4</v>
      </c>
      <c r="AS30">
        <v>0</v>
      </c>
      <c r="AT30">
        <v>0.08</v>
      </c>
      <c r="AU30">
        <v>0.105</v>
      </c>
      <c r="AV30">
        <v>7.9950000000000001</v>
      </c>
      <c r="AW30">
        <v>1.03</v>
      </c>
      <c r="AX30">
        <v>0.61099999999999999</v>
      </c>
      <c r="AZ30">
        <v>4</v>
      </c>
      <c r="BA30">
        <v>0</v>
      </c>
      <c r="BB30">
        <v>4</v>
      </c>
      <c r="BC30">
        <v>4</v>
      </c>
      <c r="BD30">
        <v>94.6</v>
      </c>
      <c r="BK30">
        <v>4.1500000000000004</v>
      </c>
      <c r="BL30">
        <v>0</v>
      </c>
      <c r="BM30">
        <v>35</v>
      </c>
      <c r="BN30">
        <v>35</v>
      </c>
      <c r="BO30">
        <v>0</v>
      </c>
      <c r="BR30">
        <v>0</v>
      </c>
      <c r="BT30">
        <v>0</v>
      </c>
      <c r="BV30">
        <v>117</v>
      </c>
      <c r="BW30">
        <v>0</v>
      </c>
      <c r="BZ30">
        <v>0</v>
      </c>
      <c r="CF30">
        <v>0.4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435</v>
      </c>
      <c r="CP30">
        <v>10.9</v>
      </c>
      <c r="CR30">
        <v>10.9</v>
      </c>
      <c r="CT30">
        <v>0.4</v>
      </c>
      <c r="CU30">
        <v>0.81</v>
      </c>
      <c r="CV30">
        <v>0</v>
      </c>
      <c r="CX30">
        <v>0</v>
      </c>
      <c r="CZ30">
        <v>0</v>
      </c>
      <c r="DB30">
        <v>0</v>
      </c>
      <c r="DD30">
        <v>3.0000000000000001E-3</v>
      </c>
      <c r="DF30">
        <v>0.20300000000000001</v>
      </c>
      <c r="DG30">
        <v>1.2999999999999999E-2</v>
      </c>
      <c r="DH30">
        <v>0.47199999999999998</v>
      </c>
      <c r="DI30">
        <v>0.01</v>
      </c>
      <c r="DJ30">
        <v>0.10199999999999999</v>
      </c>
      <c r="DK30">
        <v>6.0000000000000001E-3</v>
      </c>
      <c r="DM30">
        <v>2E-3</v>
      </c>
      <c r="DO30">
        <v>1E-3</v>
      </c>
      <c r="DP30">
        <v>1.3480000000000001</v>
      </c>
      <c r="DR30">
        <v>3.0000000000000001E-3</v>
      </c>
      <c r="DT30">
        <v>2E-3</v>
      </c>
      <c r="DU30">
        <v>0.18</v>
      </c>
      <c r="DV30">
        <v>0.17499999999999999</v>
      </c>
      <c r="DW30">
        <v>4.0000000000000001E-3</v>
      </c>
      <c r="DY30">
        <v>0.63</v>
      </c>
      <c r="DZ30">
        <v>0.622</v>
      </c>
      <c r="EA30">
        <v>0.44900000000000001</v>
      </c>
      <c r="EC30">
        <v>4.7E-2</v>
      </c>
      <c r="ED30">
        <v>4.4999999999999998E-2</v>
      </c>
      <c r="EG30">
        <v>3.4000000000000002E-2</v>
      </c>
      <c r="EH30">
        <v>0.81100000000000005</v>
      </c>
      <c r="EI30">
        <v>8.1000000000000003E-2</v>
      </c>
      <c r="EK30">
        <v>5.7000000000000002E-2</v>
      </c>
      <c r="EL30">
        <v>5.0000000000000001E-3</v>
      </c>
      <c r="EN30">
        <v>4.7E-2</v>
      </c>
      <c r="EP30">
        <v>4.4999999999999998E-2</v>
      </c>
      <c r="EQ30">
        <v>2E-3</v>
      </c>
      <c r="ER30">
        <v>7.1999999999999995E-2</v>
      </c>
      <c r="ET30">
        <v>1.7999999999999999E-2</v>
      </c>
      <c r="EU30">
        <v>1.2999999999999999E-2</v>
      </c>
      <c r="EW30">
        <v>8.0000000000000002E-3</v>
      </c>
      <c r="EX30">
        <v>4.0000000000000001E-3</v>
      </c>
      <c r="FA30">
        <v>1.4E-2</v>
      </c>
      <c r="FD30">
        <v>0.182</v>
      </c>
      <c r="FG30">
        <v>1E-3</v>
      </c>
      <c r="FH30">
        <v>4.7E-2</v>
      </c>
      <c r="FJ30">
        <v>0.33300000000000002</v>
      </c>
      <c r="FK30">
        <v>3.4000000000000002E-2</v>
      </c>
      <c r="FL30">
        <v>1.4999999999999999E-2</v>
      </c>
      <c r="FN30">
        <v>5.0000000000000001E-3</v>
      </c>
      <c r="FO30">
        <v>8.9999999999999993E-3</v>
      </c>
      <c r="FQ30">
        <v>1E-3</v>
      </c>
      <c r="FS30">
        <v>1.9E-2</v>
      </c>
      <c r="FV30">
        <v>1.9E-2</v>
      </c>
      <c r="FX30">
        <v>46</v>
      </c>
      <c r="FZ30">
        <v>0.221</v>
      </c>
      <c r="GA30">
        <v>1.0660000000000001</v>
      </c>
      <c r="GB30">
        <v>0.95399999999999996</v>
      </c>
      <c r="GC30">
        <v>1.5620000000000001</v>
      </c>
      <c r="GD30">
        <v>1.7589999999999999</v>
      </c>
      <c r="GE30">
        <v>0.57699999999999996</v>
      </c>
      <c r="GF30">
        <v>0.159</v>
      </c>
      <c r="GG30">
        <v>0.84499999999999997</v>
      </c>
      <c r="GH30">
        <v>0.74199999999999999</v>
      </c>
      <c r="GI30">
        <v>1.1000000000000001</v>
      </c>
      <c r="GJ30">
        <v>1.2869999999999999</v>
      </c>
      <c r="GK30">
        <v>0.54300000000000004</v>
      </c>
      <c r="GL30">
        <v>1.3080000000000001</v>
      </c>
      <c r="GM30">
        <v>2.5750000000000002</v>
      </c>
      <c r="GN30">
        <v>2.903</v>
      </c>
      <c r="GO30">
        <v>1.2629999999999999</v>
      </c>
      <c r="GP30">
        <v>0.86699999999999999</v>
      </c>
      <c r="GQ30">
        <v>0.90500000000000003</v>
      </c>
      <c r="GT30">
        <v>0</v>
      </c>
      <c r="GU30">
        <v>0</v>
      </c>
      <c r="GV30">
        <v>0</v>
      </c>
    </row>
    <row r="31" spans="1:210" x14ac:dyDescent="0.3">
      <c r="A31">
        <v>175156</v>
      </c>
      <c r="B31" t="s">
        <v>301</v>
      </c>
      <c r="D31" t="s">
        <v>242</v>
      </c>
      <c r="E31" s="8">
        <v>100</v>
      </c>
      <c r="F31" s="9">
        <f>E31/SUM($E$3:$E$82)</f>
        <v>1.3025803062487084E-2</v>
      </c>
      <c r="G31">
        <v>70.58</v>
      </c>
      <c r="H31">
        <v>97.09</v>
      </c>
      <c r="I31">
        <v>406.22456000000011</v>
      </c>
      <c r="K31">
        <v>22</v>
      </c>
      <c r="L31">
        <v>1.01</v>
      </c>
      <c r="M31">
        <v>1.01</v>
      </c>
      <c r="N31">
        <v>1.3</v>
      </c>
      <c r="O31">
        <v>0</v>
      </c>
      <c r="P31">
        <v>0</v>
      </c>
      <c r="AF31">
        <v>29</v>
      </c>
      <c r="AG31">
        <v>1.25</v>
      </c>
      <c r="AH31">
        <v>34</v>
      </c>
      <c r="AI31">
        <v>222</v>
      </c>
      <c r="AJ31">
        <v>407</v>
      </c>
      <c r="AK31">
        <v>37</v>
      </c>
      <c r="AL31">
        <v>0.82</v>
      </c>
      <c r="AM31">
        <v>8.5999999999999993E-2</v>
      </c>
      <c r="AN31">
        <v>1.4999999999999999E-2</v>
      </c>
      <c r="AP31">
        <v>36.5</v>
      </c>
      <c r="AS31">
        <v>1</v>
      </c>
      <c r="AT31">
        <v>3.3000000000000002E-2</v>
      </c>
      <c r="AU31">
        <v>0.1</v>
      </c>
      <c r="AV31">
        <v>15.4</v>
      </c>
      <c r="AW31">
        <v>0.42</v>
      </c>
      <c r="AX31">
        <v>0.85</v>
      </c>
      <c r="AZ31">
        <v>9</v>
      </c>
      <c r="BA31">
        <v>0</v>
      </c>
      <c r="BB31">
        <v>9</v>
      </c>
      <c r="BC31">
        <v>9</v>
      </c>
      <c r="BK31">
        <v>1.9</v>
      </c>
      <c r="BM31">
        <v>16</v>
      </c>
      <c r="BN31">
        <v>16</v>
      </c>
      <c r="BV31">
        <v>52</v>
      </c>
      <c r="CU31">
        <v>0.32800000000000001</v>
      </c>
      <c r="DF31">
        <v>0.04</v>
      </c>
      <c r="DH31">
        <v>0.23300000000000001</v>
      </c>
      <c r="DJ31">
        <v>5.5E-2</v>
      </c>
      <c r="DP31">
        <v>0.19</v>
      </c>
      <c r="DU31">
        <v>3.5999999999999997E-2</v>
      </c>
      <c r="DY31">
        <v>0.13100000000000001</v>
      </c>
      <c r="EA31">
        <v>1.7000000000000001E-2</v>
      </c>
      <c r="EC31">
        <v>6.0000000000000001E-3</v>
      </c>
      <c r="EH31">
        <v>0.315</v>
      </c>
      <c r="EI31">
        <v>1.6E-2</v>
      </c>
      <c r="ER31">
        <v>4.0000000000000001E-3</v>
      </c>
      <c r="FA31">
        <v>2.5999999999999999E-2</v>
      </c>
      <c r="FD31">
        <v>7.0999999999999994E-2</v>
      </c>
      <c r="FH31">
        <v>1.2999999999999999E-2</v>
      </c>
      <c r="FJ31">
        <v>0.185</v>
      </c>
      <c r="FX31">
        <v>47</v>
      </c>
      <c r="FZ31">
        <v>0.246</v>
      </c>
      <c r="GA31">
        <v>0.96399999999999997</v>
      </c>
      <c r="GB31">
        <v>1.014</v>
      </c>
      <c r="GC31">
        <v>1.788</v>
      </c>
      <c r="GD31">
        <v>2.02</v>
      </c>
      <c r="GE31">
        <v>0.65100000000000002</v>
      </c>
      <c r="GF31">
        <v>0.23599999999999999</v>
      </c>
      <c r="GG31">
        <v>0.85899999999999999</v>
      </c>
      <c r="GH31">
        <v>0.74299999999999999</v>
      </c>
      <c r="GI31">
        <v>1.133</v>
      </c>
      <c r="GJ31">
        <v>1.3160000000000001</v>
      </c>
      <c r="GK31">
        <v>0.64800000000000002</v>
      </c>
      <c r="GL31">
        <v>1.331</v>
      </c>
      <c r="GM31">
        <v>2.2530000000000001</v>
      </c>
      <c r="GN31">
        <v>3.2839999999999998</v>
      </c>
      <c r="GO31">
        <v>1.056</v>
      </c>
      <c r="GP31">
        <v>0.77800000000000002</v>
      </c>
      <c r="GQ31">
        <v>0.89800000000000002</v>
      </c>
    </row>
    <row r="32" spans="1:210" x14ac:dyDescent="0.3">
      <c r="A32">
        <v>175167</v>
      </c>
      <c r="B32" t="s">
        <v>315</v>
      </c>
      <c r="D32" t="s">
        <v>242</v>
      </c>
      <c r="E32" s="8">
        <v>100</v>
      </c>
      <c r="F32" s="9">
        <f>E32/SUM($E$3:$E$82)</f>
        <v>1.3025803062487084E-2</v>
      </c>
      <c r="G32">
        <v>64.89</v>
      </c>
      <c r="H32">
        <v>202.46</v>
      </c>
      <c r="I32">
        <v>847.09264000000007</v>
      </c>
      <c r="K32">
        <v>20.420000000000002</v>
      </c>
      <c r="L32">
        <v>13.42</v>
      </c>
      <c r="M32">
        <v>13.42</v>
      </c>
      <c r="N32">
        <v>1.1299999999999999</v>
      </c>
      <c r="O32">
        <v>0</v>
      </c>
      <c r="P32">
        <v>0</v>
      </c>
      <c r="V32">
        <v>0</v>
      </c>
      <c r="AF32">
        <v>9</v>
      </c>
      <c r="AG32">
        <v>0.34</v>
      </c>
      <c r="AH32">
        <v>27</v>
      </c>
      <c r="AI32">
        <v>240</v>
      </c>
      <c r="AJ32">
        <v>363</v>
      </c>
      <c r="AK32">
        <v>59</v>
      </c>
      <c r="AL32">
        <v>0.36</v>
      </c>
      <c r="AM32">
        <v>4.4999999999999998E-2</v>
      </c>
      <c r="AN32">
        <v>1.0999999999999999E-2</v>
      </c>
      <c r="AP32">
        <v>24</v>
      </c>
      <c r="AS32">
        <v>3.9</v>
      </c>
      <c r="AT32">
        <v>0.20699999999999999</v>
      </c>
      <c r="AU32">
        <v>0.155</v>
      </c>
      <c r="AV32">
        <v>8.6720000000000006</v>
      </c>
      <c r="AW32">
        <v>1.5469999999999999</v>
      </c>
      <c r="AX32">
        <v>0.63600000000000001</v>
      </c>
      <c r="AZ32">
        <v>26</v>
      </c>
      <c r="BA32">
        <v>0</v>
      </c>
      <c r="BB32">
        <v>26</v>
      </c>
      <c r="BC32">
        <v>26</v>
      </c>
      <c r="BD32">
        <v>78.5</v>
      </c>
      <c r="BJ32">
        <v>3</v>
      </c>
      <c r="BK32">
        <v>3.23</v>
      </c>
      <c r="BL32">
        <v>0</v>
      </c>
      <c r="BM32">
        <v>58</v>
      </c>
      <c r="BN32">
        <v>58</v>
      </c>
      <c r="BO32">
        <v>0</v>
      </c>
      <c r="BR32">
        <v>0</v>
      </c>
      <c r="BT32">
        <v>0</v>
      </c>
      <c r="BV32">
        <v>193</v>
      </c>
      <c r="BW32">
        <v>0</v>
      </c>
      <c r="BZ32">
        <v>0</v>
      </c>
      <c r="CF32">
        <v>3.55</v>
      </c>
      <c r="CG32">
        <v>0</v>
      </c>
      <c r="CH32">
        <v>0.01</v>
      </c>
      <c r="CI32">
        <v>0.3</v>
      </c>
      <c r="CJ32">
        <v>0.05</v>
      </c>
      <c r="CK32">
        <v>0.06</v>
      </c>
      <c r="CL32">
        <v>0</v>
      </c>
      <c r="CM32">
        <v>0</v>
      </c>
      <c r="CN32">
        <v>0</v>
      </c>
      <c r="CO32">
        <v>441</v>
      </c>
      <c r="CP32">
        <v>11</v>
      </c>
      <c r="CT32">
        <v>0.5</v>
      </c>
      <c r="CU32">
        <v>3.05</v>
      </c>
      <c r="CV32">
        <v>0</v>
      </c>
      <c r="CX32">
        <v>0</v>
      </c>
      <c r="CZ32">
        <v>0</v>
      </c>
      <c r="DB32">
        <v>0</v>
      </c>
      <c r="DD32">
        <v>0</v>
      </c>
      <c r="DF32">
        <v>0.55600000000000005</v>
      </c>
      <c r="DG32">
        <v>4.5999999999999999E-2</v>
      </c>
      <c r="DH32">
        <v>1.877</v>
      </c>
      <c r="DI32">
        <v>4.2999999999999997E-2</v>
      </c>
      <c r="DJ32">
        <v>0.495</v>
      </c>
      <c r="DK32">
        <v>2.1999999999999999E-2</v>
      </c>
      <c r="DM32">
        <v>1.0999999999999999E-2</v>
      </c>
      <c r="DO32">
        <v>0</v>
      </c>
      <c r="DP32">
        <v>3.77</v>
      </c>
      <c r="DR32">
        <v>0</v>
      </c>
      <c r="DT32">
        <v>0</v>
      </c>
      <c r="DU32">
        <v>0.79100000000000004</v>
      </c>
      <c r="DW32">
        <v>0</v>
      </c>
      <c r="DY32">
        <v>2.7149999999999999</v>
      </c>
      <c r="EA32">
        <v>0.26500000000000001</v>
      </c>
      <c r="EC32">
        <v>0</v>
      </c>
      <c r="EH32">
        <v>3.8860000000000001</v>
      </c>
      <c r="EI32">
        <v>0.9</v>
      </c>
      <c r="EN32">
        <v>0.16700000000000001</v>
      </c>
      <c r="EP32">
        <v>0.14799999999999999</v>
      </c>
      <c r="EQ32">
        <v>0.02</v>
      </c>
      <c r="ER32">
        <v>0.121</v>
      </c>
      <c r="ET32">
        <v>6.2E-2</v>
      </c>
      <c r="EU32">
        <v>1.7999999999999999E-2</v>
      </c>
      <c r="FA32">
        <v>9.1999999999999998E-2</v>
      </c>
      <c r="FD32">
        <v>0.86199999999999999</v>
      </c>
      <c r="FH32">
        <v>0.39300000000000002</v>
      </c>
      <c r="FJ32">
        <v>1.1040000000000001</v>
      </c>
      <c r="FX32">
        <v>55</v>
      </c>
      <c r="FZ32">
        <v>0.20899999999999999</v>
      </c>
      <c r="GA32">
        <v>0.86</v>
      </c>
      <c r="GB32">
        <v>0.96799999999999997</v>
      </c>
      <c r="GC32">
        <v>1.615</v>
      </c>
      <c r="GD32">
        <v>1.87</v>
      </c>
      <c r="GE32">
        <v>0.626</v>
      </c>
      <c r="GF32">
        <v>0.219</v>
      </c>
      <c r="GG32">
        <v>0.84499999999999997</v>
      </c>
      <c r="GH32">
        <v>0.75900000000000001</v>
      </c>
      <c r="GI32">
        <v>1.107</v>
      </c>
      <c r="GJ32">
        <v>1.2210000000000001</v>
      </c>
      <c r="GK32">
        <v>0.54900000000000004</v>
      </c>
      <c r="GL32">
        <v>1.2709999999999999</v>
      </c>
      <c r="GM32">
        <v>2.0249999999999999</v>
      </c>
      <c r="GN32">
        <v>2.83</v>
      </c>
      <c r="GO32">
        <v>0.96</v>
      </c>
      <c r="GP32">
        <v>0.72099999999999997</v>
      </c>
      <c r="GQ32">
        <v>0.89600000000000002</v>
      </c>
      <c r="GR32">
        <v>4.2000000000000003E-2</v>
      </c>
      <c r="GT32">
        <v>0</v>
      </c>
      <c r="GU32">
        <v>0</v>
      </c>
      <c r="GV32">
        <v>0</v>
      </c>
      <c r="GW32">
        <v>0</v>
      </c>
      <c r="GX32">
        <v>0</v>
      </c>
    </row>
    <row r="33" spans="1:214" x14ac:dyDescent="0.3">
      <c r="A33">
        <v>323294</v>
      </c>
      <c r="B33" t="s">
        <v>319</v>
      </c>
      <c r="D33" t="s">
        <v>239</v>
      </c>
      <c r="E33" s="8">
        <v>100</v>
      </c>
      <c r="F33" s="9">
        <f>E33/SUM($E$3:$E$82)</f>
        <v>1.3025803062487084E-2</v>
      </c>
      <c r="G33">
        <v>2.2000000000000002</v>
      </c>
      <c r="H33">
        <v>666.59999999999991</v>
      </c>
      <c r="I33">
        <v>2789.0544</v>
      </c>
      <c r="J33">
        <v>3.94</v>
      </c>
      <c r="K33">
        <v>20.399999999999999</v>
      </c>
      <c r="L33">
        <v>53.4</v>
      </c>
      <c r="M33">
        <v>57.8</v>
      </c>
      <c r="N33">
        <v>3.47</v>
      </c>
      <c r="O33">
        <v>16.2</v>
      </c>
      <c r="P33">
        <v>11</v>
      </c>
      <c r="V33">
        <v>4.17</v>
      </c>
      <c r="W33">
        <v>4.17</v>
      </c>
      <c r="X33">
        <v>0</v>
      </c>
      <c r="Y33">
        <v>0</v>
      </c>
      <c r="Z33">
        <v>0</v>
      </c>
      <c r="AA33">
        <v>0</v>
      </c>
      <c r="AB33">
        <v>0</v>
      </c>
      <c r="AF33">
        <v>273</v>
      </c>
      <c r="AG33">
        <v>3.17</v>
      </c>
      <c r="AH33">
        <v>258</v>
      </c>
      <c r="AI33">
        <v>456</v>
      </c>
      <c r="AJ33">
        <v>684</v>
      </c>
      <c r="AK33">
        <v>256</v>
      </c>
      <c r="AL33">
        <v>2.8</v>
      </c>
      <c r="AM33">
        <v>0.87</v>
      </c>
      <c r="AN33">
        <v>2.02</v>
      </c>
      <c r="AP33">
        <v>0</v>
      </c>
      <c r="AS33">
        <v>0</v>
      </c>
      <c r="AT33">
        <v>7.9000000000000001E-2</v>
      </c>
      <c r="AU33">
        <v>1.57</v>
      </c>
      <c r="AV33">
        <v>3.1</v>
      </c>
      <c r="AW33">
        <v>0.23699999999999999</v>
      </c>
      <c r="AX33">
        <v>7.4999999999999997E-2</v>
      </c>
      <c r="AZ33">
        <v>35</v>
      </c>
      <c r="BD33">
        <v>60.8</v>
      </c>
      <c r="BE33">
        <v>4.3</v>
      </c>
      <c r="BF33">
        <v>56.1</v>
      </c>
      <c r="BG33">
        <v>0</v>
      </c>
      <c r="BH33">
        <v>0.4</v>
      </c>
      <c r="BI33">
        <v>0</v>
      </c>
      <c r="BJ33">
        <v>0</v>
      </c>
      <c r="BM33">
        <v>2</v>
      </c>
      <c r="BO33">
        <v>17</v>
      </c>
      <c r="BR33">
        <v>0</v>
      </c>
      <c r="BT33">
        <v>9</v>
      </c>
      <c r="BW33">
        <v>0</v>
      </c>
      <c r="BZ33">
        <v>25</v>
      </c>
      <c r="CF33">
        <v>19</v>
      </c>
      <c r="CH33">
        <v>0.18</v>
      </c>
      <c r="CI33">
        <v>0.92</v>
      </c>
      <c r="CJ33">
        <v>0</v>
      </c>
      <c r="CK33">
        <v>0.28000000000000003</v>
      </c>
      <c r="CL33">
        <v>0</v>
      </c>
      <c r="CM33">
        <v>0</v>
      </c>
      <c r="CN33">
        <v>0</v>
      </c>
      <c r="CT33">
        <v>0</v>
      </c>
      <c r="CU33">
        <v>4.5599999999999996</v>
      </c>
      <c r="CV33">
        <v>1E-3</v>
      </c>
      <c r="CX33">
        <v>0</v>
      </c>
      <c r="CZ33">
        <v>0</v>
      </c>
      <c r="DB33">
        <v>0</v>
      </c>
      <c r="DC33">
        <v>0</v>
      </c>
      <c r="DD33">
        <v>0</v>
      </c>
      <c r="DF33">
        <v>2.7E-2</v>
      </c>
      <c r="DG33">
        <v>8.0000000000000002E-3</v>
      </c>
      <c r="DH33">
        <v>3.54</v>
      </c>
      <c r="DI33">
        <v>2.8000000000000001E-2</v>
      </c>
      <c r="DJ33">
        <v>0.82799999999999996</v>
      </c>
      <c r="DK33">
        <v>5.8999999999999997E-2</v>
      </c>
      <c r="DM33">
        <v>4.2000000000000003E-2</v>
      </c>
      <c r="DO33">
        <v>2.4E-2</v>
      </c>
      <c r="DP33">
        <v>34.200000000000003</v>
      </c>
      <c r="DS33">
        <v>0</v>
      </c>
      <c r="DT33">
        <v>0</v>
      </c>
      <c r="DV33">
        <v>0.25900000000000001</v>
      </c>
      <c r="DW33">
        <v>6.0999999999999999E-2</v>
      </c>
      <c r="DX33">
        <v>6.0999999999999999E-2</v>
      </c>
      <c r="DZ33">
        <v>33.799999999999997</v>
      </c>
      <c r="EB33">
        <v>7.5999999999999998E-2</v>
      </c>
      <c r="ED33">
        <v>1E-3</v>
      </c>
      <c r="EE33">
        <v>1E-3</v>
      </c>
      <c r="EG33">
        <v>1E-3</v>
      </c>
      <c r="EH33">
        <v>14.5</v>
      </c>
      <c r="EJ33">
        <v>14.5</v>
      </c>
      <c r="EK33">
        <v>14.5</v>
      </c>
      <c r="EL33">
        <v>6.0000000000000001E-3</v>
      </c>
      <c r="EO33">
        <v>5.1999999999999998E-2</v>
      </c>
      <c r="EP33">
        <v>0.05</v>
      </c>
      <c r="EQ33">
        <v>2E-3</v>
      </c>
      <c r="ER33">
        <v>0</v>
      </c>
      <c r="ES33">
        <v>0</v>
      </c>
      <c r="ET33">
        <v>0</v>
      </c>
      <c r="EV33">
        <v>0</v>
      </c>
      <c r="EW33">
        <v>0</v>
      </c>
      <c r="EX33">
        <v>0</v>
      </c>
      <c r="EY33">
        <v>0</v>
      </c>
      <c r="FA33">
        <v>5.0000000000000001E-3</v>
      </c>
      <c r="FB33">
        <v>5.0000000000000001E-3</v>
      </c>
      <c r="FC33">
        <v>2E-3</v>
      </c>
      <c r="FD33">
        <v>2E-3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3.2000000000000001E-2</v>
      </c>
      <c r="FL33">
        <v>1.6E-2</v>
      </c>
      <c r="FN33">
        <v>0</v>
      </c>
      <c r="FO33">
        <v>1.6E-2</v>
      </c>
      <c r="FQ33">
        <v>0</v>
      </c>
      <c r="FR33">
        <v>1.6E-2</v>
      </c>
      <c r="FS33">
        <v>1.6E-2</v>
      </c>
      <c r="FV33">
        <v>0</v>
      </c>
      <c r="FW33">
        <v>0</v>
      </c>
      <c r="GW33">
        <v>0</v>
      </c>
      <c r="GX33">
        <v>0</v>
      </c>
    </row>
    <row r="34" spans="1:214" x14ac:dyDescent="0.3">
      <c r="A34">
        <v>746766</v>
      </c>
      <c r="B34" t="s">
        <v>285</v>
      </c>
      <c r="D34" t="s">
        <v>239</v>
      </c>
      <c r="E34" s="8">
        <v>100</v>
      </c>
      <c r="F34" s="9">
        <f>E34/SUM($E$3:$E$82)</f>
        <v>1.3025803062487084E-2</v>
      </c>
      <c r="G34">
        <v>72.900000000000006</v>
      </c>
      <c r="H34">
        <v>157.68</v>
      </c>
      <c r="I34">
        <v>659.7331200000001</v>
      </c>
      <c r="J34">
        <v>1.22</v>
      </c>
      <c r="K34">
        <v>7.81</v>
      </c>
      <c r="L34">
        <v>10.3</v>
      </c>
      <c r="M34">
        <v>11</v>
      </c>
      <c r="N34">
        <v>1.36</v>
      </c>
      <c r="O34">
        <v>6.86</v>
      </c>
      <c r="AF34">
        <v>224</v>
      </c>
      <c r="AG34">
        <v>0.1</v>
      </c>
      <c r="AH34">
        <v>19.7</v>
      </c>
      <c r="AI34">
        <v>162</v>
      </c>
      <c r="AJ34">
        <v>230</v>
      </c>
      <c r="AK34">
        <v>105</v>
      </c>
      <c r="AL34">
        <v>0.56000000000000005</v>
      </c>
      <c r="AM34">
        <v>0</v>
      </c>
      <c r="AN34">
        <v>0</v>
      </c>
      <c r="AP34">
        <v>5.5</v>
      </c>
      <c r="AT34">
        <v>4.2999999999999997E-2</v>
      </c>
      <c r="AU34">
        <v>0.32700000000000001</v>
      </c>
      <c r="AV34">
        <v>0.16800000000000001</v>
      </c>
      <c r="AW34">
        <v>0.67300000000000004</v>
      </c>
      <c r="AX34">
        <v>9.9000000000000005E-2</v>
      </c>
      <c r="AZ34">
        <v>4</v>
      </c>
      <c r="BK34">
        <v>0.78</v>
      </c>
      <c r="BM34">
        <v>127</v>
      </c>
      <c r="BN34">
        <v>127</v>
      </c>
      <c r="CF34">
        <v>0.27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T34">
        <v>0.6</v>
      </c>
      <c r="CU34">
        <v>6.97</v>
      </c>
      <c r="CV34">
        <v>0.251</v>
      </c>
      <c r="CX34">
        <v>0.19900000000000001</v>
      </c>
      <c r="CZ34">
        <v>0.125</v>
      </c>
      <c r="DB34">
        <v>0.30599999999999999</v>
      </c>
      <c r="DC34">
        <v>0</v>
      </c>
      <c r="DD34">
        <v>0.36</v>
      </c>
      <c r="DF34">
        <v>1.1499999999999999</v>
      </c>
      <c r="DG34">
        <v>0.11600000000000001</v>
      </c>
      <c r="DH34">
        <v>3.36</v>
      </c>
      <c r="DI34">
        <v>6.7000000000000004E-2</v>
      </c>
      <c r="DJ34">
        <v>1.02</v>
      </c>
      <c r="DK34">
        <v>1.4E-2</v>
      </c>
      <c r="DM34">
        <v>6.0000000000000001E-3</v>
      </c>
      <c r="DO34">
        <v>4.0000000000000001E-3</v>
      </c>
      <c r="DP34">
        <v>2.56</v>
      </c>
      <c r="DS34">
        <v>0.11700000000000001</v>
      </c>
      <c r="DT34">
        <v>0</v>
      </c>
      <c r="DV34">
        <v>0.184</v>
      </c>
      <c r="DW34">
        <v>2.1000000000000001E-2</v>
      </c>
      <c r="DX34">
        <v>2.1000000000000001E-2</v>
      </c>
      <c r="DZ34">
        <v>2.2200000000000002</v>
      </c>
      <c r="EB34">
        <v>0.02</v>
      </c>
      <c r="ED34">
        <v>2E-3</v>
      </c>
      <c r="EE34">
        <v>2E-3</v>
      </c>
      <c r="EG34">
        <v>0</v>
      </c>
      <c r="EH34">
        <v>0.38900000000000001</v>
      </c>
      <c r="EJ34">
        <v>0.308</v>
      </c>
      <c r="EK34">
        <v>0.25900000000000001</v>
      </c>
      <c r="EL34">
        <v>4.9000000000000002E-2</v>
      </c>
      <c r="EO34">
        <v>4.2000000000000003E-2</v>
      </c>
      <c r="EP34">
        <v>4.2000000000000003E-2</v>
      </c>
      <c r="EQ34">
        <v>0</v>
      </c>
      <c r="ER34">
        <v>1E-3</v>
      </c>
      <c r="ES34">
        <v>1E-3</v>
      </c>
      <c r="ET34">
        <v>1E-3</v>
      </c>
      <c r="EV34">
        <v>1.2E-2</v>
      </c>
      <c r="EW34">
        <v>0</v>
      </c>
      <c r="EX34">
        <v>1.2E-2</v>
      </c>
      <c r="EY34">
        <v>0</v>
      </c>
      <c r="FA34">
        <v>1.4999999999999999E-2</v>
      </c>
      <c r="FB34">
        <v>1.4999999999999999E-2</v>
      </c>
      <c r="FC34">
        <v>5.0000000000000001E-3</v>
      </c>
      <c r="FD34">
        <v>5.0000000000000001E-3</v>
      </c>
      <c r="FE34">
        <v>0</v>
      </c>
      <c r="FF34">
        <v>7.0000000000000001E-3</v>
      </c>
      <c r="FG34">
        <v>3.0000000000000001E-3</v>
      </c>
      <c r="FH34">
        <v>7.0000000000000001E-3</v>
      </c>
      <c r="FI34">
        <v>0</v>
      </c>
      <c r="FJ34">
        <v>0</v>
      </c>
      <c r="FK34">
        <v>0.35099999999999998</v>
      </c>
      <c r="FL34">
        <v>0.28299999999999997</v>
      </c>
      <c r="FN34">
        <v>3.2000000000000001E-2</v>
      </c>
      <c r="FO34">
        <v>0.251</v>
      </c>
      <c r="FQ34">
        <v>0</v>
      </c>
      <c r="FR34">
        <v>6.8000000000000005E-2</v>
      </c>
      <c r="FS34">
        <v>6.8000000000000005E-2</v>
      </c>
      <c r="FV34">
        <v>1E-3</v>
      </c>
      <c r="FW34">
        <v>1E-3</v>
      </c>
      <c r="FX34">
        <v>48</v>
      </c>
      <c r="FZ34">
        <v>0.115</v>
      </c>
      <c r="GA34">
        <v>0.39500000000000002</v>
      </c>
      <c r="GB34">
        <v>0.36499999999999999</v>
      </c>
      <c r="GC34">
        <v>0.78500000000000003</v>
      </c>
      <c r="GD34">
        <v>0.65500000000000003</v>
      </c>
      <c r="GE34">
        <v>0.17</v>
      </c>
      <c r="GG34">
        <v>0.27</v>
      </c>
      <c r="GH34">
        <v>0.25</v>
      </c>
      <c r="GI34">
        <v>0.32500000000000001</v>
      </c>
      <c r="GJ34">
        <v>0.21</v>
      </c>
      <c r="GK34">
        <v>0.17499999999999999</v>
      </c>
      <c r="GL34">
        <v>0.32500000000000001</v>
      </c>
      <c r="GM34">
        <v>0.73499999999999999</v>
      </c>
      <c r="GN34">
        <v>1.3</v>
      </c>
      <c r="GO34">
        <v>0.13500000000000001</v>
      </c>
      <c r="GP34">
        <v>0.56499999999999995</v>
      </c>
      <c r="GQ34">
        <v>0.36499999999999999</v>
      </c>
      <c r="GR34">
        <v>0</v>
      </c>
      <c r="GS34">
        <v>0.18</v>
      </c>
      <c r="GW34">
        <v>0</v>
      </c>
      <c r="GX34">
        <v>3.1</v>
      </c>
    </row>
    <row r="35" spans="1:214" x14ac:dyDescent="0.3">
      <c r="A35">
        <v>746772</v>
      </c>
      <c r="B35" t="s">
        <v>243</v>
      </c>
      <c r="D35" t="s">
        <v>239</v>
      </c>
      <c r="E35" s="8">
        <v>100</v>
      </c>
      <c r="F35" s="9">
        <f>E35/SUM($E$3:$E$82)</f>
        <v>1.3025803062487084E-2</v>
      </c>
      <c r="G35">
        <v>89.7</v>
      </c>
      <c r="H35">
        <v>42.789999999999992</v>
      </c>
      <c r="I35">
        <v>179.03335999999999</v>
      </c>
      <c r="J35">
        <v>0.53</v>
      </c>
      <c r="K35">
        <v>3.38</v>
      </c>
      <c r="L35">
        <v>0.85</v>
      </c>
      <c r="M35">
        <v>0.95</v>
      </c>
      <c r="N35">
        <v>0.8</v>
      </c>
      <c r="O35">
        <v>5.18</v>
      </c>
      <c r="V35">
        <v>4.96</v>
      </c>
      <c r="W35">
        <v>0</v>
      </c>
      <c r="X35">
        <v>0</v>
      </c>
      <c r="Y35">
        <v>0</v>
      </c>
      <c r="Z35">
        <v>4.96</v>
      </c>
      <c r="AA35">
        <v>0</v>
      </c>
      <c r="AB35">
        <v>0</v>
      </c>
      <c r="AF35">
        <v>126</v>
      </c>
      <c r="AG35">
        <v>0</v>
      </c>
      <c r="AH35">
        <v>12</v>
      </c>
      <c r="AI35">
        <v>103</v>
      </c>
      <c r="AJ35">
        <v>159</v>
      </c>
      <c r="AK35">
        <v>39</v>
      </c>
      <c r="AL35">
        <v>0.43</v>
      </c>
      <c r="AM35">
        <v>1E-3</v>
      </c>
      <c r="AN35">
        <v>0</v>
      </c>
      <c r="AO35">
        <v>36.200000000000003</v>
      </c>
      <c r="AP35">
        <v>2.1</v>
      </c>
      <c r="AT35">
        <v>5.7000000000000002E-2</v>
      </c>
      <c r="AU35">
        <v>0.14000000000000001</v>
      </c>
      <c r="AV35">
        <v>0.113</v>
      </c>
      <c r="AW35">
        <v>0.36799999999999999</v>
      </c>
      <c r="AX35">
        <v>0.06</v>
      </c>
      <c r="AZ35">
        <v>2</v>
      </c>
      <c r="BD35">
        <v>17.399999999999999</v>
      </c>
      <c r="BE35">
        <v>3</v>
      </c>
      <c r="BF35">
        <v>0.9</v>
      </c>
      <c r="BG35">
        <v>1.8</v>
      </c>
      <c r="BH35">
        <v>10.9</v>
      </c>
      <c r="BI35">
        <v>0.8</v>
      </c>
      <c r="BJ35">
        <v>0.9</v>
      </c>
      <c r="BK35">
        <v>0.61</v>
      </c>
      <c r="BM35">
        <v>58</v>
      </c>
      <c r="BN35">
        <v>58</v>
      </c>
      <c r="BO35">
        <v>1</v>
      </c>
      <c r="BP35">
        <v>0</v>
      </c>
      <c r="BQ35">
        <v>1</v>
      </c>
      <c r="BR35">
        <v>0</v>
      </c>
      <c r="BT35">
        <v>0</v>
      </c>
      <c r="BU35">
        <v>0</v>
      </c>
      <c r="BW35">
        <v>0</v>
      </c>
      <c r="BX35">
        <v>0</v>
      </c>
      <c r="BY35">
        <v>0</v>
      </c>
      <c r="CA35">
        <v>0</v>
      </c>
      <c r="CB35">
        <v>0</v>
      </c>
      <c r="CC35">
        <v>0</v>
      </c>
      <c r="CF35">
        <v>0.02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42.4</v>
      </c>
      <c r="CP35">
        <v>1.06</v>
      </c>
      <c r="CQ35">
        <v>0</v>
      </c>
      <c r="CR35">
        <v>1.06</v>
      </c>
      <c r="CS35">
        <v>0</v>
      </c>
      <c r="CU35">
        <v>0.56799999999999995</v>
      </c>
      <c r="CV35">
        <v>2.1999999999999999E-2</v>
      </c>
      <c r="CW35">
        <v>0</v>
      </c>
      <c r="CX35">
        <v>1.4999999999999999E-2</v>
      </c>
      <c r="CY35">
        <v>0</v>
      </c>
      <c r="CZ35">
        <v>1.0999999999999999E-2</v>
      </c>
      <c r="DA35">
        <v>0</v>
      </c>
      <c r="DB35">
        <v>2.3E-2</v>
      </c>
      <c r="DC35">
        <v>0</v>
      </c>
      <c r="DD35">
        <v>2.5999999999999999E-2</v>
      </c>
      <c r="DF35">
        <v>9.2999999999999999E-2</v>
      </c>
      <c r="DG35">
        <v>0.01</v>
      </c>
      <c r="DH35">
        <v>0.26500000000000001</v>
      </c>
      <c r="DI35">
        <v>6.0000000000000001E-3</v>
      </c>
      <c r="DJ35">
        <v>9.6000000000000002E-2</v>
      </c>
      <c r="DK35">
        <v>1E-3</v>
      </c>
      <c r="DL35">
        <v>0</v>
      </c>
      <c r="DM35">
        <v>0</v>
      </c>
      <c r="DN35">
        <v>0</v>
      </c>
      <c r="DO35">
        <v>0</v>
      </c>
      <c r="DP35">
        <v>0.21</v>
      </c>
      <c r="DQ35">
        <v>0</v>
      </c>
      <c r="DS35">
        <v>7.0000000000000001E-3</v>
      </c>
      <c r="DT35">
        <v>0</v>
      </c>
      <c r="DV35">
        <v>1.2E-2</v>
      </c>
      <c r="DW35">
        <v>2E-3</v>
      </c>
      <c r="DX35">
        <v>2E-3</v>
      </c>
      <c r="DZ35">
        <v>0.187</v>
      </c>
      <c r="EB35">
        <v>1E-3</v>
      </c>
      <c r="ED35">
        <v>0</v>
      </c>
      <c r="EE35">
        <v>0</v>
      </c>
      <c r="EF35">
        <v>0</v>
      </c>
      <c r="EG35">
        <v>0</v>
      </c>
      <c r="EH35">
        <v>3.2000000000000001E-2</v>
      </c>
      <c r="EJ35">
        <v>2.9000000000000001E-2</v>
      </c>
      <c r="EK35">
        <v>2.5999999999999999E-2</v>
      </c>
      <c r="EL35">
        <v>4.0000000000000001E-3</v>
      </c>
      <c r="EO35">
        <v>4.0000000000000001E-3</v>
      </c>
      <c r="EP35">
        <v>4.0000000000000001E-3</v>
      </c>
      <c r="EQ35">
        <v>0</v>
      </c>
      <c r="ER35">
        <v>0</v>
      </c>
      <c r="ES35">
        <v>0</v>
      </c>
      <c r="ET35">
        <v>0</v>
      </c>
      <c r="EV35">
        <v>1E-3</v>
      </c>
      <c r="EW35">
        <v>0</v>
      </c>
      <c r="EX35">
        <v>1E-3</v>
      </c>
      <c r="EY35">
        <v>0</v>
      </c>
      <c r="EZ35">
        <v>0</v>
      </c>
      <c r="FA35">
        <v>1E-3</v>
      </c>
      <c r="FB35">
        <v>1E-3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3.5999999999999997E-2</v>
      </c>
      <c r="FL35">
        <v>3.1E-2</v>
      </c>
      <c r="FM35">
        <v>1E-3</v>
      </c>
      <c r="FN35">
        <v>2E-3</v>
      </c>
      <c r="FO35">
        <v>2.7E-2</v>
      </c>
      <c r="FP35">
        <v>0</v>
      </c>
      <c r="FQ35">
        <v>0</v>
      </c>
      <c r="FR35">
        <v>4.0000000000000001E-3</v>
      </c>
      <c r="FS35">
        <v>4.0000000000000001E-3</v>
      </c>
      <c r="FV35">
        <v>0</v>
      </c>
      <c r="FW35">
        <v>0</v>
      </c>
      <c r="FX35">
        <v>5</v>
      </c>
      <c r="FZ35">
        <v>4.4999999999999998E-2</v>
      </c>
      <c r="GA35">
        <v>0.158</v>
      </c>
      <c r="GB35">
        <v>0.17399999999999999</v>
      </c>
      <c r="GC35">
        <v>0.34200000000000003</v>
      </c>
      <c r="GD35">
        <v>0.308</v>
      </c>
      <c r="GE35">
        <v>9.1999999999999998E-2</v>
      </c>
      <c r="GG35">
        <v>0.16800000000000001</v>
      </c>
      <c r="GH35">
        <v>0.16700000000000001</v>
      </c>
      <c r="GI35">
        <v>0.21</v>
      </c>
      <c r="GJ35">
        <v>0.128</v>
      </c>
      <c r="GK35">
        <v>9.9000000000000005E-2</v>
      </c>
      <c r="GL35">
        <v>0.111</v>
      </c>
      <c r="GM35">
        <v>0.28599999999999998</v>
      </c>
      <c r="GN35">
        <v>0.80900000000000005</v>
      </c>
      <c r="GO35">
        <v>6.9000000000000006E-2</v>
      </c>
      <c r="GP35">
        <v>0.34899999999999998</v>
      </c>
      <c r="GQ35">
        <v>0.19400000000000001</v>
      </c>
      <c r="GR35">
        <v>0</v>
      </c>
      <c r="GS35">
        <v>3.5999999999999997E-2</v>
      </c>
    </row>
    <row r="36" spans="1:214" x14ac:dyDescent="0.3">
      <c r="A36">
        <v>746776</v>
      </c>
      <c r="B36" t="s">
        <v>268</v>
      </c>
      <c r="D36" t="s">
        <v>239</v>
      </c>
      <c r="E36" s="8">
        <v>100</v>
      </c>
      <c r="F36" s="9">
        <f>E36/SUM($E$3:$E$82)</f>
        <v>1.3025803062487084E-2</v>
      </c>
      <c r="G36">
        <v>90.8</v>
      </c>
      <c r="H36">
        <v>34.119999999999997</v>
      </c>
      <c r="I36">
        <v>142.75808000000001</v>
      </c>
      <c r="J36">
        <v>0.54</v>
      </c>
      <c r="K36">
        <v>3.43</v>
      </c>
      <c r="L36">
        <v>7.0000000000000007E-2</v>
      </c>
      <c r="M36">
        <v>0.08</v>
      </c>
      <c r="N36">
        <v>0.77</v>
      </c>
      <c r="O36">
        <v>4.92</v>
      </c>
      <c r="V36">
        <v>5.05</v>
      </c>
      <c r="W36">
        <v>0</v>
      </c>
      <c r="X36">
        <v>0</v>
      </c>
      <c r="Y36">
        <v>0</v>
      </c>
      <c r="Z36">
        <v>5.05</v>
      </c>
      <c r="AA36">
        <v>0</v>
      </c>
      <c r="AB36">
        <v>0</v>
      </c>
      <c r="AF36">
        <v>132</v>
      </c>
      <c r="AG36">
        <v>0</v>
      </c>
      <c r="AH36">
        <v>12.5</v>
      </c>
      <c r="AI36">
        <v>107</v>
      </c>
      <c r="AJ36">
        <v>167</v>
      </c>
      <c r="AK36">
        <v>41</v>
      </c>
      <c r="AL36">
        <v>0.45</v>
      </c>
      <c r="AM36">
        <v>2E-3</v>
      </c>
      <c r="AN36">
        <v>1E-3</v>
      </c>
      <c r="AO36">
        <v>35.700000000000003</v>
      </c>
      <c r="AP36">
        <v>2</v>
      </c>
      <c r="AT36">
        <v>5.6000000000000001E-2</v>
      </c>
      <c r="AU36">
        <v>0.13100000000000001</v>
      </c>
      <c r="AV36">
        <v>0.11799999999999999</v>
      </c>
      <c r="AW36">
        <v>0.38800000000000001</v>
      </c>
      <c r="AX36">
        <v>5.8000000000000003E-2</v>
      </c>
      <c r="AZ36">
        <v>2</v>
      </c>
      <c r="BD36">
        <v>18.2</v>
      </c>
      <c r="BE36">
        <v>3.1</v>
      </c>
      <c r="BF36">
        <v>0.8</v>
      </c>
      <c r="BG36">
        <v>2</v>
      </c>
      <c r="BH36">
        <v>11.5</v>
      </c>
      <c r="BI36">
        <v>0.9</v>
      </c>
      <c r="BJ36">
        <v>0.9</v>
      </c>
      <c r="BK36">
        <v>0.57999999999999996</v>
      </c>
      <c r="BM36">
        <v>64</v>
      </c>
      <c r="BN36">
        <v>64</v>
      </c>
      <c r="BO36">
        <v>2</v>
      </c>
      <c r="BP36">
        <v>1</v>
      </c>
      <c r="BQ36">
        <v>1</v>
      </c>
      <c r="BR36">
        <v>0</v>
      </c>
      <c r="BT36">
        <v>0</v>
      </c>
      <c r="BU36">
        <v>0</v>
      </c>
      <c r="BW36">
        <v>0</v>
      </c>
      <c r="BX36">
        <v>0</v>
      </c>
      <c r="BY36">
        <v>0</v>
      </c>
      <c r="CA36">
        <v>0</v>
      </c>
      <c r="CB36">
        <v>1</v>
      </c>
      <c r="CC36">
        <v>0</v>
      </c>
      <c r="CF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44</v>
      </c>
      <c r="CP36">
        <v>1.1000000000000001</v>
      </c>
      <c r="CQ36">
        <v>0</v>
      </c>
      <c r="CR36">
        <v>1.1000000000000001</v>
      </c>
      <c r="CS36">
        <v>0</v>
      </c>
      <c r="CU36">
        <v>4.9000000000000002E-2</v>
      </c>
      <c r="CV36">
        <v>3.0000000000000001E-3</v>
      </c>
      <c r="CW36">
        <v>0</v>
      </c>
      <c r="CX36">
        <v>1E-3</v>
      </c>
      <c r="CY36">
        <v>0</v>
      </c>
      <c r="CZ36">
        <v>1E-3</v>
      </c>
      <c r="DA36">
        <v>0</v>
      </c>
      <c r="DB36">
        <v>2E-3</v>
      </c>
      <c r="DC36">
        <v>0</v>
      </c>
      <c r="DD36">
        <v>2E-3</v>
      </c>
      <c r="DF36">
        <v>8.0000000000000002E-3</v>
      </c>
      <c r="DG36">
        <v>1E-3</v>
      </c>
      <c r="DH36">
        <v>2.1000000000000001E-2</v>
      </c>
      <c r="DI36">
        <v>1E-3</v>
      </c>
      <c r="DJ36">
        <v>8.9999999999999993E-3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1.7000000000000001E-2</v>
      </c>
      <c r="DQ36">
        <v>0</v>
      </c>
      <c r="DS36">
        <v>0</v>
      </c>
      <c r="DT36">
        <v>0</v>
      </c>
      <c r="DV36">
        <v>1E-3</v>
      </c>
      <c r="DW36">
        <v>0</v>
      </c>
      <c r="DX36">
        <v>0</v>
      </c>
      <c r="DZ36">
        <v>1.7000000000000001E-2</v>
      </c>
      <c r="EB36">
        <v>0</v>
      </c>
      <c r="ED36">
        <v>0</v>
      </c>
      <c r="EE36">
        <v>0</v>
      </c>
      <c r="EF36">
        <v>0</v>
      </c>
      <c r="EG36">
        <v>0</v>
      </c>
      <c r="EH36">
        <v>6.0000000000000001E-3</v>
      </c>
      <c r="EJ36">
        <v>5.0000000000000001E-3</v>
      </c>
      <c r="EK36">
        <v>5.0000000000000001E-3</v>
      </c>
      <c r="EL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1E-3</v>
      </c>
      <c r="FM36">
        <v>0</v>
      </c>
      <c r="FN36">
        <v>0</v>
      </c>
      <c r="FO36">
        <v>1E-3</v>
      </c>
      <c r="FP36">
        <v>0</v>
      </c>
      <c r="FQ36">
        <v>0</v>
      </c>
      <c r="FR36">
        <v>0</v>
      </c>
      <c r="FS36">
        <v>0</v>
      </c>
      <c r="FV36">
        <v>0</v>
      </c>
      <c r="FW36">
        <v>0</v>
      </c>
      <c r="FX36">
        <v>3</v>
      </c>
      <c r="FZ36">
        <v>4.8000000000000001E-2</v>
      </c>
      <c r="GA36">
        <v>0.16600000000000001</v>
      </c>
      <c r="GB36">
        <v>0.182</v>
      </c>
      <c r="GC36">
        <v>0.34699999999999998</v>
      </c>
      <c r="GD36">
        <v>0.30199999999999999</v>
      </c>
      <c r="GE36">
        <v>9.2999999999999999E-2</v>
      </c>
      <c r="GG36">
        <v>0.16800000000000001</v>
      </c>
      <c r="GH36">
        <v>0.16800000000000001</v>
      </c>
      <c r="GI36">
        <v>0.222</v>
      </c>
      <c r="GJ36">
        <v>0.13100000000000001</v>
      </c>
      <c r="GK36">
        <v>0.10100000000000001</v>
      </c>
      <c r="GL36">
        <v>0.11799999999999999</v>
      </c>
      <c r="GM36">
        <v>0.29899999999999999</v>
      </c>
      <c r="GN36">
        <v>0.83199999999999996</v>
      </c>
      <c r="GO36">
        <v>7.0999999999999994E-2</v>
      </c>
      <c r="GP36">
        <v>0.34799999999999998</v>
      </c>
      <c r="GQ36">
        <v>0.20200000000000001</v>
      </c>
      <c r="GR36">
        <v>0</v>
      </c>
      <c r="GS36">
        <v>3.7999999999999999E-2</v>
      </c>
    </row>
    <row r="37" spans="1:214" x14ac:dyDescent="0.3">
      <c r="A37">
        <v>746778</v>
      </c>
      <c r="B37" t="s">
        <v>291</v>
      </c>
      <c r="D37" t="s">
        <v>239</v>
      </c>
      <c r="E37" s="8">
        <v>100</v>
      </c>
      <c r="F37" s="9">
        <f>E37/SUM($E$3:$E$82)</f>
        <v>1.3025803062487084E-2</v>
      </c>
      <c r="G37">
        <v>89.1</v>
      </c>
      <c r="H37">
        <v>50.14</v>
      </c>
      <c r="I37">
        <v>209.78576000000001</v>
      </c>
      <c r="J37">
        <v>0.53</v>
      </c>
      <c r="K37">
        <v>3.36</v>
      </c>
      <c r="L37">
        <v>1.64</v>
      </c>
      <c r="M37">
        <v>1.9</v>
      </c>
      <c r="N37">
        <v>0.75</v>
      </c>
      <c r="O37">
        <v>4.9000000000000004</v>
      </c>
      <c r="V37">
        <v>4.8899999999999997</v>
      </c>
      <c r="W37">
        <v>0</v>
      </c>
      <c r="X37">
        <v>0</v>
      </c>
      <c r="Y37">
        <v>0</v>
      </c>
      <c r="Z37">
        <v>4.8899999999999997</v>
      </c>
      <c r="AA37">
        <v>0</v>
      </c>
      <c r="AB37">
        <v>0</v>
      </c>
      <c r="AF37">
        <v>126</v>
      </c>
      <c r="AG37">
        <v>0</v>
      </c>
      <c r="AH37">
        <v>12</v>
      </c>
      <c r="AI37">
        <v>103</v>
      </c>
      <c r="AJ37">
        <v>159</v>
      </c>
      <c r="AK37">
        <v>39</v>
      </c>
      <c r="AL37">
        <v>0.43</v>
      </c>
      <c r="AM37">
        <v>1E-3</v>
      </c>
      <c r="AN37">
        <v>1E-3</v>
      </c>
      <c r="AO37">
        <v>39.6</v>
      </c>
      <c r="AP37">
        <v>1.8</v>
      </c>
      <c r="AT37">
        <v>5.8999999999999997E-2</v>
      </c>
      <c r="AU37">
        <v>0.13700000000000001</v>
      </c>
      <c r="AV37">
        <v>0.112</v>
      </c>
      <c r="AW37">
        <v>0.39</v>
      </c>
      <c r="AX37">
        <v>6.0999999999999999E-2</v>
      </c>
      <c r="AZ37">
        <v>2</v>
      </c>
      <c r="BD37">
        <v>18.2</v>
      </c>
      <c r="BE37">
        <v>3.1</v>
      </c>
      <c r="BF37">
        <v>1.1000000000000001</v>
      </c>
      <c r="BG37">
        <v>1.9</v>
      </c>
      <c r="BH37">
        <v>11</v>
      </c>
      <c r="BI37">
        <v>1.2</v>
      </c>
      <c r="BJ37">
        <v>0.7</v>
      </c>
      <c r="BK37">
        <v>0.55000000000000004</v>
      </c>
      <c r="BM37">
        <v>83</v>
      </c>
      <c r="BN37">
        <v>83</v>
      </c>
      <c r="BO37">
        <v>3</v>
      </c>
      <c r="BP37">
        <v>1</v>
      </c>
      <c r="BQ37">
        <v>2</v>
      </c>
      <c r="BR37">
        <v>0</v>
      </c>
      <c r="BT37">
        <v>0</v>
      </c>
      <c r="BU37">
        <v>0</v>
      </c>
      <c r="BW37">
        <v>0</v>
      </c>
      <c r="BX37">
        <v>0</v>
      </c>
      <c r="BY37">
        <v>0</v>
      </c>
      <c r="CA37">
        <v>0</v>
      </c>
      <c r="CB37">
        <v>0</v>
      </c>
      <c r="CC37">
        <v>0</v>
      </c>
      <c r="CF37">
        <v>0.03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45.2</v>
      </c>
      <c r="CP37">
        <v>1.1299999999999999</v>
      </c>
      <c r="CQ37">
        <v>0</v>
      </c>
      <c r="CR37">
        <v>1.1299999999999999</v>
      </c>
      <c r="CS37">
        <v>0</v>
      </c>
      <c r="CU37">
        <v>1.1100000000000001</v>
      </c>
      <c r="CV37">
        <v>4.1000000000000002E-2</v>
      </c>
      <c r="CW37">
        <v>0</v>
      </c>
      <c r="CX37">
        <v>3.2000000000000001E-2</v>
      </c>
      <c r="CY37">
        <v>0</v>
      </c>
      <c r="CZ37">
        <v>2.1000000000000001E-2</v>
      </c>
      <c r="DA37">
        <v>0</v>
      </c>
      <c r="DB37">
        <v>4.9000000000000002E-2</v>
      </c>
      <c r="DC37">
        <v>0</v>
      </c>
      <c r="DD37">
        <v>5.8000000000000003E-2</v>
      </c>
      <c r="DF37">
        <v>0.18099999999999999</v>
      </c>
      <c r="DG37">
        <v>1.9E-2</v>
      </c>
      <c r="DH37">
        <v>0.51200000000000001</v>
      </c>
      <c r="DI37">
        <v>1.0999999999999999E-2</v>
      </c>
      <c r="DJ37">
        <v>0.184</v>
      </c>
      <c r="DK37">
        <v>2E-3</v>
      </c>
      <c r="DL37">
        <v>0</v>
      </c>
      <c r="DM37">
        <v>1E-3</v>
      </c>
      <c r="DN37">
        <v>0</v>
      </c>
      <c r="DO37">
        <v>0</v>
      </c>
      <c r="DP37">
        <v>0.4</v>
      </c>
      <c r="DQ37">
        <v>1E-3</v>
      </c>
      <c r="DS37">
        <v>1.4E-2</v>
      </c>
      <c r="DT37">
        <v>0</v>
      </c>
      <c r="DV37">
        <v>2.4E-2</v>
      </c>
      <c r="DW37">
        <v>3.0000000000000001E-3</v>
      </c>
      <c r="DX37">
        <v>3.0000000000000001E-3</v>
      </c>
      <c r="DZ37">
        <v>0.35799999999999998</v>
      </c>
      <c r="EB37">
        <v>2E-3</v>
      </c>
      <c r="ED37">
        <v>0</v>
      </c>
      <c r="EE37">
        <v>0</v>
      </c>
      <c r="EF37">
        <v>0</v>
      </c>
      <c r="EG37">
        <v>0</v>
      </c>
      <c r="EH37">
        <v>5.8000000000000003E-2</v>
      </c>
      <c r="EJ37">
        <v>5.1999999999999998E-2</v>
      </c>
      <c r="EK37">
        <v>4.4999999999999998E-2</v>
      </c>
      <c r="EL37">
        <v>7.0000000000000001E-3</v>
      </c>
      <c r="EO37">
        <v>7.0000000000000001E-3</v>
      </c>
      <c r="EP37">
        <v>7.0000000000000001E-3</v>
      </c>
      <c r="EQ37">
        <v>0</v>
      </c>
      <c r="ER37">
        <v>0</v>
      </c>
      <c r="ES37">
        <v>0</v>
      </c>
      <c r="ET37">
        <v>0</v>
      </c>
      <c r="EV37">
        <v>2E-3</v>
      </c>
      <c r="EW37">
        <v>0</v>
      </c>
      <c r="EX37">
        <v>2E-3</v>
      </c>
      <c r="EY37">
        <v>0</v>
      </c>
      <c r="EZ37">
        <v>0</v>
      </c>
      <c r="FA37">
        <v>3.0000000000000001E-3</v>
      </c>
      <c r="FB37">
        <v>3.0000000000000001E-3</v>
      </c>
      <c r="FC37">
        <v>0</v>
      </c>
      <c r="FD37">
        <v>0</v>
      </c>
      <c r="FE37">
        <v>0</v>
      </c>
      <c r="FF37">
        <v>1E-3</v>
      </c>
      <c r="FG37">
        <v>0</v>
      </c>
      <c r="FH37">
        <v>1E-3</v>
      </c>
      <c r="FI37">
        <v>0</v>
      </c>
      <c r="FJ37">
        <v>0</v>
      </c>
      <c r="FK37">
        <v>7.0000000000000007E-2</v>
      </c>
      <c r="FL37">
        <v>0.06</v>
      </c>
      <c r="FM37">
        <v>3.0000000000000001E-3</v>
      </c>
      <c r="FN37">
        <v>5.0000000000000001E-3</v>
      </c>
      <c r="FO37">
        <v>5.1999999999999998E-2</v>
      </c>
      <c r="FP37">
        <v>0</v>
      </c>
      <c r="FQ37">
        <v>0</v>
      </c>
      <c r="FR37">
        <v>8.9999999999999993E-3</v>
      </c>
      <c r="FS37">
        <v>8.9999999999999993E-3</v>
      </c>
      <c r="FV37">
        <v>0</v>
      </c>
      <c r="FW37">
        <v>0</v>
      </c>
      <c r="FX37">
        <v>8</v>
      </c>
      <c r="FZ37">
        <v>4.2000000000000003E-2</v>
      </c>
      <c r="GA37">
        <v>0.16200000000000001</v>
      </c>
      <c r="GB37">
        <v>0.17299999999999999</v>
      </c>
      <c r="GC37">
        <v>0.33500000000000002</v>
      </c>
      <c r="GD37">
        <v>0.29299999999999998</v>
      </c>
      <c r="GE37">
        <v>8.8999999999999996E-2</v>
      </c>
      <c r="GG37">
        <v>0.16300000000000001</v>
      </c>
      <c r="GH37">
        <v>0.16500000000000001</v>
      </c>
      <c r="GI37">
        <v>0.21299999999999999</v>
      </c>
      <c r="GJ37">
        <v>0.125</v>
      </c>
      <c r="GK37">
        <v>9.9000000000000005E-2</v>
      </c>
      <c r="GL37">
        <v>0.113</v>
      </c>
      <c r="GM37">
        <v>0.29099999999999998</v>
      </c>
      <c r="GN37">
        <v>0.80100000000000005</v>
      </c>
      <c r="GO37">
        <v>6.8000000000000005E-2</v>
      </c>
      <c r="GP37">
        <v>0.33200000000000002</v>
      </c>
      <c r="GQ37">
        <v>0.19700000000000001</v>
      </c>
      <c r="GR37">
        <v>0</v>
      </c>
      <c r="GS37">
        <v>3.5000000000000003E-2</v>
      </c>
    </row>
    <row r="38" spans="1:214" x14ac:dyDescent="0.3">
      <c r="A38">
        <v>746782</v>
      </c>
      <c r="B38" t="s">
        <v>299</v>
      </c>
      <c r="D38" t="s">
        <v>239</v>
      </c>
      <c r="E38" s="8">
        <v>100</v>
      </c>
      <c r="F38" s="9">
        <f>E38/SUM($E$3:$E$82)</f>
        <v>1.3025803062487084E-2</v>
      </c>
      <c r="G38">
        <v>88.1</v>
      </c>
      <c r="H38">
        <v>60.400000000000013</v>
      </c>
      <c r="I38">
        <v>252.71360000000001</v>
      </c>
      <c r="J38">
        <v>0.51</v>
      </c>
      <c r="K38">
        <v>3.27</v>
      </c>
      <c r="L38">
        <v>2.77</v>
      </c>
      <c r="M38">
        <v>3.2</v>
      </c>
      <c r="N38">
        <v>0.8</v>
      </c>
      <c r="O38">
        <v>4.63</v>
      </c>
      <c r="V38">
        <v>4.8099999999999996</v>
      </c>
      <c r="W38">
        <v>0</v>
      </c>
      <c r="X38">
        <v>0</v>
      </c>
      <c r="Y38">
        <v>0</v>
      </c>
      <c r="Z38">
        <v>4.8099999999999996</v>
      </c>
      <c r="AA38">
        <v>0</v>
      </c>
      <c r="AB38">
        <v>0</v>
      </c>
      <c r="AF38">
        <v>123</v>
      </c>
      <c r="AG38">
        <v>0</v>
      </c>
      <c r="AH38">
        <v>11.9</v>
      </c>
      <c r="AI38">
        <v>101</v>
      </c>
      <c r="AJ38">
        <v>150</v>
      </c>
      <c r="AK38">
        <v>38</v>
      </c>
      <c r="AL38">
        <v>0.42</v>
      </c>
      <c r="AM38">
        <v>1E-3</v>
      </c>
      <c r="AN38">
        <v>0</v>
      </c>
      <c r="AO38">
        <v>37.9</v>
      </c>
      <c r="AP38">
        <v>1.9</v>
      </c>
      <c r="AT38">
        <v>5.6000000000000001E-2</v>
      </c>
      <c r="AU38">
        <v>0.13800000000000001</v>
      </c>
      <c r="AV38">
        <v>0.105</v>
      </c>
      <c r="AW38">
        <v>0.36199999999999999</v>
      </c>
      <c r="AX38">
        <v>6.0999999999999999E-2</v>
      </c>
      <c r="AZ38">
        <v>0</v>
      </c>
      <c r="BD38">
        <v>17.8</v>
      </c>
      <c r="BE38">
        <v>3</v>
      </c>
      <c r="BF38">
        <v>1.3</v>
      </c>
      <c r="BG38">
        <v>1.8</v>
      </c>
      <c r="BH38">
        <v>10.3</v>
      </c>
      <c r="BI38">
        <v>1.4</v>
      </c>
      <c r="BJ38">
        <v>0.7</v>
      </c>
      <c r="BK38">
        <v>0.54</v>
      </c>
      <c r="BM38">
        <v>32</v>
      </c>
      <c r="BN38">
        <v>31</v>
      </c>
      <c r="BO38">
        <v>7</v>
      </c>
      <c r="BP38">
        <v>2</v>
      </c>
      <c r="BQ38">
        <v>5</v>
      </c>
      <c r="BR38">
        <v>0</v>
      </c>
      <c r="BT38">
        <v>0</v>
      </c>
      <c r="BU38">
        <v>0</v>
      </c>
      <c r="BW38">
        <v>0</v>
      </c>
      <c r="BX38">
        <v>0</v>
      </c>
      <c r="BY38">
        <v>0</v>
      </c>
      <c r="CA38">
        <v>0</v>
      </c>
      <c r="CB38">
        <v>5</v>
      </c>
      <c r="CC38">
        <v>1</v>
      </c>
      <c r="CF38">
        <v>0.05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38.4</v>
      </c>
      <c r="CP38">
        <v>0.96</v>
      </c>
      <c r="CQ38">
        <v>0</v>
      </c>
      <c r="CR38">
        <v>0.96</v>
      </c>
      <c r="CS38">
        <v>0</v>
      </c>
      <c r="CU38">
        <v>1.86</v>
      </c>
      <c r="CV38">
        <v>6.7000000000000004E-2</v>
      </c>
      <c r="CW38">
        <v>0</v>
      </c>
      <c r="CX38">
        <v>5.3999999999999999E-2</v>
      </c>
      <c r="CY38">
        <v>0</v>
      </c>
      <c r="CZ38">
        <v>3.4000000000000002E-2</v>
      </c>
      <c r="DA38">
        <v>0</v>
      </c>
      <c r="DB38">
        <v>8.4000000000000005E-2</v>
      </c>
      <c r="DC38">
        <v>0</v>
      </c>
      <c r="DD38">
        <v>9.7000000000000003E-2</v>
      </c>
      <c r="DF38">
        <v>0.30299999999999999</v>
      </c>
      <c r="DG38">
        <v>3.2000000000000001E-2</v>
      </c>
      <c r="DH38">
        <v>0.85699999999999998</v>
      </c>
      <c r="DI38">
        <v>1.7999999999999999E-2</v>
      </c>
      <c r="DJ38">
        <v>0.309</v>
      </c>
      <c r="DK38">
        <v>4.0000000000000001E-3</v>
      </c>
      <c r="DL38">
        <v>0</v>
      </c>
      <c r="DM38">
        <v>2E-3</v>
      </c>
      <c r="DN38">
        <v>0</v>
      </c>
      <c r="DO38">
        <v>1E-3</v>
      </c>
      <c r="DP38">
        <v>0.68799999999999994</v>
      </c>
      <c r="DQ38">
        <v>1E-3</v>
      </c>
      <c r="DS38">
        <v>2.4E-2</v>
      </c>
      <c r="DT38">
        <v>0</v>
      </c>
      <c r="DV38">
        <v>3.9E-2</v>
      </c>
      <c r="DW38">
        <v>5.0000000000000001E-3</v>
      </c>
      <c r="DX38">
        <v>5.0000000000000001E-3</v>
      </c>
      <c r="DZ38">
        <v>0.61199999999999999</v>
      </c>
      <c r="EB38">
        <v>4.0000000000000001E-3</v>
      </c>
      <c r="ED38">
        <v>0</v>
      </c>
      <c r="EE38">
        <v>0</v>
      </c>
      <c r="EF38">
        <v>0</v>
      </c>
      <c r="EG38">
        <v>0</v>
      </c>
      <c r="EH38">
        <v>0.108</v>
      </c>
      <c r="EJ38">
        <v>9.7000000000000003E-2</v>
      </c>
      <c r="EK38">
        <v>8.4000000000000005E-2</v>
      </c>
      <c r="EL38">
        <v>1.2999999999999999E-2</v>
      </c>
      <c r="EO38">
        <v>1.2999999999999999E-2</v>
      </c>
      <c r="EP38">
        <v>1.2E-2</v>
      </c>
      <c r="EQ38">
        <v>1E-3</v>
      </c>
      <c r="ER38">
        <v>0</v>
      </c>
      <c r="ES38">
        <v>1E-3</v>
      </c>
      <c r="ET38">
        <v>1E-3</v>
      </c>
      <c r="EV38">
        <v>4.0000000000000001E-3</v>
      </c>
      <c r="EW38">
        <v>0</v>
      </c>
      <c r="EX38">
        <v>4.0000000000000001E-3</v>
      </c>
      <c r="EY38">
        <v>0</v>
      </c>
      <c r="EZ38">
        <v>0</v>
      </c>
      <c r="FA38">
        <v>4.0000000000000001E-3</v>
      </c>
      <c r="FB38">
        <v>4.0000000000000001E-3</v>
      </c>
      <c r="FC38">
        <v>1E-3</v>
      </c>
      <c r="FD38">
        <v>1E-3</v>
      </c>
      <c r="FE38">
        <v>0</v>
      </c>
      <c r="FF38">
        <v>2E-3</v>
      </c>
      <c r="FG38">
        <v>1E-3</v>
      </c>
      <c r="FH38">
        <v>2E-3</v>
      </c>
      <c r="FI38">
        <v>0</v>
      </c>
      <c r="FJ38">
        <v>0</v>
      </c>
      <c r="FK38">
        <v>0.112</v>
      </c>
      <c r="FL38">
        <v>9.5000000000000001E-2</v>
      </c>
      <c r="FM38">
        <v>5.0000000000000001E-3</v>
      </c>
      <c r="FN38">
        <v>8.0000000000000002E-3</v>
      </c>
      <c r="FO38">
        <v>8.2000000000000003E-2</v>
      </c>
      <c r="FP38">
        <v>0</v>
      </c>
      <c r="FQ38">
        <v>0</v>
      </c>
      <c r="FR38">
        <v>1.7999999999999999E-2</v>
      </c>
      <c r="FS38">
        <v>1.7999999999999999E-2</v>
      </c>
      <c r="FV38">
        <v>0</v>
      </c>
      <c r="FW38">
        <v>0</v>
      </c>
      <c r="FX38">
        <v>12</v>
      </c>
      <c r="FZ38">
        <v>4.2999999999999997E-2</v>
      </c>
      <c r="GA38">
        <v>0.154</v>
      </c>
      <c r="GB38">
        <v>0.17299999999999999</v>
      </c>
      <c r="GC38">
        <v>0.33300000000000002</v>
      </c>
      <c r="GD38">
        <v>0.29799999999999999</v>
      </c>
      <c r="GE38">
        <v>0.09</v>
      </c>
      <c r="GG38">
        <v>0.161</v>
      </c>
      <c r="GH38">
        <v>0.16200000000000001</v>
      </c>
      <c r="GI38">
        <v>0.20699999999999999</v>
      </c>
      <c r="GJ38">
        <v>0.127</v>
      </c>
      <c r="GK38">
        <v>9.7000000000000003E-2</v>
      </c>
      <c r="GL38">
        <v>0.11</v>
      </c>
      <c r="GM38">
        <v>0.27900000000000003</v>
      </c>
      <c r="GN38">
        <v>0.78800000000000003</v>
      </c>
      <c r="GO38">
        <v>6.9000000000000006E-2</v>
      </c>
      <c r="GP38">
        <v>0.33300000000000002</v>
      </c>
      <c r="GQ38">
        <v>0.188</v>
      </c>
      <c r="GR38">
        <v>0</v>
      </c>
      <c r="GS38">
        <v>3.7999999999999999E-2</v>
      </c>
    </row>
    <row r="39" spans="1:214" x14ac:dyDescent="0.3">
      <c r="A39">
        <v>747447</v>
      </c>
      <c r="B39" t="s">
        <v>260</v>
      </c>
      <c r="D39" t="s">
        <v>239</v>
      </c>
      <c r="E39" s="8">
        <v>100</v>
      </c>
      <c r="F39" s="9">
        <f>E39/SUM($E$3:$E$82)</f>
        <v>1.3025803062487084E-2</v>
      </c>
      <c r="G39">
        <v>90</v>
      </c>
      <c r="H39">
        <v>38.42</v>
      </c>
      <c r="I39">
        <v>160.74928</v>
      </c>
      <c r="J39">
        <v>0.41</v>
      </c>
      <c r="K39">
        <v>2.57</v>
      </c>
      <c r="L39">
        <v>7.0000000000000007E-2</v>
      </c>
      <c r="M39">
        <v>0.34</v>
      </c>
      <c r="N39">
        <v>0.83</v>
      </c>
      <c r="O39">
        <v>6.27</v>
      </c>
      <c r="P39">
        <v>2.4</v>
      </c>
      <c r="Q39">
        <v>0</v>
      </c>
      <c r="R39">
        <v>2.4</v>
      </c>
      <c r="V39">
        <v>1.4</v>
      </c>
      <c r="W39">
        <v>0.01</v>
      </c>
      <c r="X39">
        <v>0.57999999999999996</v>
      </c>
      <c r="Y39">
        <v>0.82</v>
      </c>
      <c r="Z39">
        <v>0</v>
      </c>
      <c r="AA39">
        <v>0</v>
      </c>
      <c r="AB39">
        <v>0</v>
      </c>
      <c r="AC39">
        <v>0</v>
      </c>
      <c r="AF39">
        <v>46</v>
      </c>
      <c r="AG39">
        <v>0.69</v>
      </c>
      <c r="AH39">
        <v>21</v>
      </c>
      <c r="AI39">
        <v>67</v>
      </c>
      <c r="AJ39">
        <v>303</v>
      </c>
      <c r="AK39">
        <v>36</v>
      </c>
      <c r="AL39">
        <v>0.42</v>
      </c>
      <c r="AM39">
        <v>5.8999999999999997E-2</v>
      </c>
      <c r="AN39">
        <v>0.19700000000000001</v>
      </c>
      <c r="AP39">
        <v>1.6</v>
      </c>
      <c r="AS39">
        <v>91.3</v>
      </c>
      <c r="AT39">
        <v>7.6999999999999999E-2</v>
      </c>
      <c r="AU39">
        <v>0.114</v>
      </c>
      <c r="AV39">
        <v>0.63900000000000001</v>
      </c>
      <c r="AW39">
        <v>0.61</v>
      </c>
      <c r="AX39">
        <v>0.191</v>
      </c>
      <c r="AZ39">
        <v>65</v>
      </c>
      <c r="BM39">
        <v>8</v>
      </c>
      <c r="BO39">
        <v>93</v>
      </c>
      <c r="BR39">
        <v>0</v>
      </c>
      <c r="BT39">
        <v>0</v>
      </c>
      <c r="BW39">
        <v>0</v>
      </c>
      <c r="BZ39">
        <v>745</v>
      </c>
      <c r="CD39">
        <v>0</v>
      </c>
      <c r="CE39">
        <v>0</v>
      </c>
      <c r="CF39">
        <v>0.15</v>
      </c>
      <c r="CH39">
        <v>0</v>
      </c>
      <c r="CI39">
        <v>0.04</v>
      </c>
      <c r="CJ39">
        <v>0</v>
      </c>
      <c r="CK39">
        <v>0.01</v>
      </c>
      <c r="CL39">
        <v>0</v>
      </c>
      <c r="CM39">
        <v>0</v>
      </c>
      <c r="CN39">
        <v>0</v>
      </c>
      <c r="CT39">
        <v>102</v>
      </c>
      <c r="CU39">
        <v>3.9E-2</v>
      </c>
      <c r="CZ39">
        <v>0</v>
      </c>
      <c r="DB39">
        <v>0</v>
      </c>
      <c r="DD39">
        <v>0</v>
      </c>
      <c r="DF39">
        <v>1E-3</v>
      </c>
      <c r="DG39">
        <v>0</v>
      </c>
      <c r="DH39">
        <v>2.9000000000000001E-2</v>
      </c>
      <c r="DI39">
        <v>0</v>
      </c>
      <c r="DJ39">
        <v>6.0000000000000001E-3</v>
      </c>
      <c r="DK39">
        <v>2E-3</v>
      </c>
      <c r="DM39">
        <v>2E-3</v>
      </c>
      <c r="DP39">
        <v>1.0999999999999999E-2</v>
      </c>
      <c r="DS39">
        <v>0</v>
      </c>
      <c r="DT39">
        <v>0</v>
      </c>
      <c r="DV39">
        <v>0</v>
      </c>
      <c r="DW39">
        <v>1E-3</v>
      </c>
      <c r="DX39">
        <v>1E-3</v>
      </c>
      <c r="DY39">
        <v>0.01</v>
      </c>
      <c r="DZ39">
        <v>0.01</v>
      </c>
      <c r="EA39">
        <v>0</v>
      </c>
      <c r="EB39">
        <v>0</v>
      </c>
      <c r="EH39">
        <v>1.7000000000000001E-2</v>
      </c>
      <c r="EI39">
        <v>1.7000000000000001E-2</v>
      </c>
      <c r="EJ39">
        <v>1.7000000000000001E-2</v>
      </c>
      <c r="EN39">
        <v>2.1000000000000001E-2</v>
      </c>
      <c r="EO39">
        <v>0</v>
      </c>
      <c r="EQ39">
        <v>0</v>
      </c>
      <c r="ES39">
        <v>0</v>
      </c>
      <c r="ET39">
        <v>0</v>
      </c>
      <c r="EU39">
        <v>0</v>
      </c>
      <c r="EV39">
        <v>0</v>
      </c>
      <c r="FA39">
        <v>0</v>
      </c>
      <c r="FB39">
        <v>0</v>
      </c>
      <c r="FZ39">
        <v>3.3000000000000002E-2</v>
      </c>
      <c r="GA39">
        <v>8.7999999999999995E-2</v>
      </c>
      <c r="GB39">
        <v>7.9000000000000001E-2</v>
      </c>
      <c r="GC39">
        <v>0.129</v>
      </c>
      <c r="GD39">
        <v>0.13500000000000001</v>
      </c>
      <c r="GE39">
        <v>3.7999999999999999E-2</v>
      </c>
      <c r="GF39">
        <v>2.8000000000000001E-2</v>
      </c>
      <c r="GG39">
        <v>0.11700000000000001</v>
      </c>
      <c r="GH39">
        <v>0.05</v>
      </c>
      <c r="GI39">
        <v>0.125</v>
      </c>
      <c r="GJ39">
        <v>0.191</v>
      </c>
      <c r="GK39">
        <v>5.8999999999999997E-2</v>
      </c>
      <c r="GL39">
        <v>0.104</v>
      </c>
      <c r="GM39">
        <v>0.32500000000000001</v>
      </c>
      <c r="GN39">
        <v>0.54200000000000004</v>
      </c>
      <c r="GO39">
        <v>8.8999999999999996E-2</v>
      </c>
      <c r="GP39">
        <v>0.11</v>
      </c>
      <c r="GQ39">
        <v>0.121</v>
      </c>
      <c r="GW39">
        <v>0</v>
      </c>
    </row>
    <row r="40" spans="1:214" x14ac:dyDescent="0.3">
      <c r="A40">
        <v>747448</v>
      </c>
      <c r="B40" t="s">
        <v>252</v>
      </c>
      <c r="D40" t="s">
        <v>239</v>
      </c>
      <c r="E40" s="8">
        <v>100</v>
      </c>
      <c r="F40" s="9">
        <f>E40/SUM($E$3:$E$82)</f>
        <v>1.3025803062487084E-2</v>
      </c>
      <c r="G40">
        <v>91.1</v>
      </c>
      <c r="H40">
        <v>35.06</v>
      </c>
      <c r="I40">
        <v>146.69103999999999</v>
      </c>
      <c r="J40">
        <v>0.1</v>
      </c>
      <c r="K40">
        <v>0.64</v>
      </c>
      <c r="L40">
        <v>0.17</v>
      </c>
      <c r="M40">
        <v>0.22</v>
      </c>
      <c r="N40">
        <v>0.41</v>
      </c>
      <c r="O40">
        <v>7.63</v>
      </c>
      <c r="P40">
        <v>1.8</v>
      </c>
      <c r="Q40">
        <v>0.7</v>
      </c>
      <c r="R40">
        <v>0.9</v>
      </c>
      <c r="V40">
        <v>5.34</v>
      </c>
      <c r="W40">
        <v>0.11</v>
      </c>
      <c r="X40">
        <v>2.39</v>
      </c>
      <c r="Y40">
        <v>2.84</v>
      </c>
      <c r="Z40">
        <v>0</v>
      </c>
      <c r="AA40">
        <v>0</v>
      </c>
      <c r="AB40">
        <v>0</v>
      </c>
      <c r="AC40">
        <v>0.04</v>
      </c>
      <c r="AF40">
        <v>12</v>
      </c>
      <c r="AG40">
        <v>0.28000000000000003</v>
      </c>
      <c r="AH40">
        <v>11.8</v>
      </c>
      <c r="AI40">
        <v>20</v>
      </c>
      <c r="AJ40">
        <v>89</v>
      </c>
      <c r="AK40">
        <v>10</v>
      </c>
      <c r="AL40">
        <v>0.18</v>
      </c>
      <c r="AM40">
        <v>0.11899999999999999</v>
      </c>
      <c r="AN40">
        <v>0.28000000000000003</v>
      </c>
      <c r="AP40">
        <v>0.4</v>
      </c>
      <c r="AS40">
        <v>56</v>
      </c>
      <c r="AT40">
        <v>2.5000000000000001E-2</v>
      </c>
      <c r="AU40">
        <v>1.6E-2</v>
      </c>
      <c r="AV40">
        <v>0.38600000000000001</v>
      </c>
      <c r="AW40">
        <v>0.122</v>
      </c>
      <c r="AX40">
        <v>3.5000000000000003E-2</v>
      </c>
      <c r="AZ40">
        <v>8</v>
      </c>
      <c r="BM40">
        <v>1</v>
      </c>
      <c r="BO40">
        <v>7</v>
      </c>
      <c r="BR40">
        <v>0</v>
      </c>
      <c r="BT40">
        <v>0</v>
      </c>
      <c r="BW40">
        <v>0</v>
      </c>
      <c r="BZ40">
        <v>22</v>
      </c>
      <c r="CT40">
        <v>2.1</v>
      </c>
      <c r="CU40">
        <v>0</v>
      </c>
      <c r="CV40">
        <v>0</v>
      </c>
      <c r="CX40">
        <v>0</v>
      </c>
      <c r="CZ40">
        <v>0</v>
      </c>
      <c r="DB40">
        <v>0</v>
      </c>
      <c r="DD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M40">
        <v>0</v>
      </c>
      <c r="DO40">
        <v>0</v>
      </c>
      <c r="DP40">
        <v>0</v>
      </c>
      <c r="DS40">
        <v>0</v>
      </c>
      <c r="DV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H40">
        <v>0</v>
      </c>
      <c r="EI40">
        <v>0</v>
      </c>
      <c r="EJ40">
        <v>0</v>
      </c>
      <c r="EN40">
        <v>0</v>
      </c>
      <c r="EO40">
        <v>0</v>
      </c>
      <c r="ER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I40">
        <v>0</v>
      </c>
      <c r="FJ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0.13600000000000001</v>
      </c>
      <c r="GN40">
        <v>0.126</v>
      </c>
      <c r="GO40">
        <v>0</v>
      </c>
      <c r="GP40">
        <v>0</v>
      </c>
      <c r="GQ40">
        <v>0</v>
      </c>
      <c r="GW40">
        <v>0</v>
      </c>
    </row>
    <row r="41" spans="1:214" x14ac:dyDescent="0.3">
      <c r="A41">
        <v>748366</v>
      </c>
      <c r="B41" t="s">
        <v>240</v>
      </c>
      <c r="D41" t="s">
        <v>239</v>
      </c>
      <c r="E41" s="8">
        <v>5</v>
      </c>
      <c r="F41" s="9">
        <f>E41/SUM($E$3:$E$82)</f>
        <v>6.5129015312435424E-4</v>
      </c>
      <c r="H41">
        <v>851.4</v>
      </c>
      <c r="I41">
        <v>3562.2575999999999</v>
      </c>
      <c r="L41">
        <v>94.6</v>
      </c>
      <c r="M41">
        <v>94.6</v>
      </c>
      <c r="CF41">
        <v>12.2</v>
      </c>
      <c r="CH41">
        <v>1.8</v>
      </c>
      <c r="CI41">
        <v>70.400000000000006</v>
      </c>
      <c r="CJ41">
        <v>22</v>
      </c>
      <c r="CK41">
        <v>0</v>
      </c>
      <c r="CL41">
        <v>1.6</v>
      </c>
      <c r="CM41">
        <v>0</v>
      </c>
      <c r="CN41">
        <v>0</v>
      </c>
      <c r="CU41">
        <v>14.9</v>
      </c>
      <c r="DF41">
        <v>7.4999999999999997E-2</v>
      </c>
      <c r="DG41">
        <v>1.4E-2</v>
      </c>
      <c r="DH41">
        <v>10.3</v>
      </c>
      <c r="DI41">
        <v>8.5999999999999993E-2</v>
      </c>
      <c r="DJ41">
        <v>3.71</v>
      </c>
      <c r="DK41">
        <v>0.29399999999999998</v>
      </c>
      <c r="DL41">
        <v>2.5000000000000001E-2</v>
      </c>
      <c r="DM41">
        <v>0.30599999999999999</v>
      </c>
      <c r="DO41">
        <v>0.124</v>
      </c>
      <c r="DP41">
        <v>22.1</v>
      </c>
      <c r="DV41">
        <v>0.08</v>
      </c>
      <c r="DZ41">
        <v>21.4</v>
      </c>
      <c r="EB41">
        <v>0.6</v>
      </c>
      <c r="EH41">
        <v>57.6</v>
      </c>
      <c r="EJ41">
        <v>50.9</v>
      </c>
      <c r="EK41">
        <v>50.9</v>
      </c>
      <c r="EO41">
        <v>6.62</v>
      </c>
      <c r="EP41">
        <v>6.62</v>
      </c>
      <c r="EV41">
        <v>0</v>
      </c>
      <c r="EX41">
        <v>0</v>
      </c>
      <c r="GY41">
        <v>55.4</v>
      </c>
      <c r="GZ41">
        <v>58</v>
      </c>
      <c r="HA41">
        <v>0</v>
      </c>
      <c r="HB41">
        <v>153</v>
      </c>
      <c r="HC41">
        <v>2.15</v>
      </c>
      <c r="HD41">
        <v>5.62</v>
      </c>
      <c r="HE41">
        <v>10.5</v>
      </c>
      <c r="HF41">
        <v>20.8</v>
      </c>
    </row>
    <row r="42" spans="1:214" x14ac:dyDescent="0.3">
      <c r="A42">
        <v>748967</v>
      </c>
      <c r="B42" t="s">
        <v>254</v>
      </c>
      <c r="D42" t="s">
        <v>239</v>
      </c>
      <c r="E42" s="8">
        <v>100</v>
      </c>
      <c r="F42" s="9">
        <f>E42/SUM($E$3:$E$82)</f>
        <v>1.3025803062487084E-2</v>
      </c>
      <c r="G42">
        <v>75.8</v>
      </c>
      <c r="H42">
        <v>143.08000000000001</v>
      </c>
      <c r="I42">
        <v>598.64672000000007</v>
      </c>
      <c r="J42">
        <v>1.99</v>
      </c>
      <c r="K42">
        <v>12.4</v>
      </c>
      <c r="L42">
        <v>8.65</v>
      </c>
      <c r="M42">
        <v>9.9600000000000009</v>
      </c>
      <c r="N42">
        <v>0.85</v>
      </c>
      <c r="O42">
        <v>0.96</v>
      </c>
      <c r="P42">
        <v>0</v>
      </c>
      <c r="V42">
        <v>0.2</v>
      </c>
      <c r="W42">
        <v>0</v>
      </c>
      <c r="X42">
        <v>0.2</v>
      </c>
      <c r="Y42">
        <v>0</v>
      </c>
      <c r="Z42">
        <v>0</v>
      </c>
      <c r="AA42">
        <v>0</v>
      </c>
      <c r="AC42">
        <v>0</v>
      </c>
      <c r="AF42">
        <v>48</v>
      </c>
      <c r="AG42">
        <v>1.67</v>
      </c>
      <c r="AH42">
        <v>11.4</v>
      </c>
      <c r="AI42">
        <v>184</v>
      </c>
      <c r="AJ42">
        <v>132</v>
      </c>
      <c r="AK42">
        <v>129</v>
      </c>
      <c r="AL42">
        <v>1.24</v>
      </c>
      <c r="AM42">
        <v>0</v>
      </c>
      <c r="AN42">
        <v>0</v>
      </c>
      <c r="AO42">
        <v>49.1</v>
      </c>
      <c r="AP42">
        <v>31.1</v>
      </c>
      <c r="AT42">
        <v>7.6999999999999999E-2</v>
      </c>
      <c r="AU42">
        <v>0.41899999999999998</v>
      </c>
      <c r="AV42">
        <v>0</v>
      </c>
      <c r="AX42">
        <v>6.3E-2</v>
      </c>
      <c r="AZ42">
        <v>71</v>
      </c>
      <c r="BD42">
        <v>335</v>
      </c>
      <c r="BE42">
        <v>0.6</v>
      </c>
      <c r="BF42">
        <v>309</v>
      </c>
      <c r="BG42">
        <v>0.2</v>
      </c>
      <c r="BH42">
        <v>0.2</v>
      </c>
      <c r="BI42">
        <v>25.1</v>
      </c>
      <c r="BJ42">
        <v>0.3</v>
      </c>
      <c r="BK42">
        <v>1.02</v>
      </c>
      <c r="BM42">
        <v>180</v>
      </c>
      <c r="BN42">
        <v>179</v>
      </c>
      <c r="BO42">
        <v>0</v>
      </c>
      <c r="BP42">
        <v>0</v>
      </c>
      <c r="BQ42">
        <v>0</v>
      </c>
      <c r="BR42">
        <v>0</v>
      </c>
      <c r="BT42">
        <v>13</v>
      </c>
      <c r="BU42">
        <v>13</v>
      </c>
      <c r="BW42">
        <v>0</v>
      </c>
      <c r="BX42">
        <v>0</v>
      </c>
      <c r="BY42">
        <v>0</v>
      </c>
      <c r="CA42">
        <v>57</v>
      </c>
      <c r="CB42">
        <v>230</v>
      </c>
      <c r="CC42">
        <v>229</v>
      </c>
      <c r="CO42">
        <v>98.4</v>
      </c>
      <c r="CP42">
        <v>2.46</v>
      </c>
      <c r="CQ42">
        <v>0</v>
      </c>
      <c r="CR42">
        <v>2.46</v>
      </c>
      <c r="CS42">
        <v>0.56000000000000005</v>
      </c>
      <c r="CU42">
        <v>3.2</v>
      </c>
      <c r="DF42">
        <v>3.2000000000000001E-2</v>
      </c>
      <c r="DH42">
        <v>2.3199999999999998</v>
      </c>
      <c r="DJ42">
        <v>0.81299999999999994</v>
      </c>
      <c r="DP42">
        <v>3.63</v>
      </c>
      <c r="DV42">
        <v>0.23799999999999999</v>
      </c>
      <c r="DZ42">
        <v>3.35</v>
      </c>
      <c r="EH42">
        <v>1.82</v>
      </c>
      <c r="EJ42">
        <v>1.46</v>
      </c>
      <c r="EK42">
        <v>1.46</v>
      </c>
      <c r="EO42">
        <v>1.0999999999999999E-2</v>
      </c>
      <c r="EQ42">
        <v>1.0999999999999999E-2</v>
      </c>
      <c r="EV42">
        <v>0.02</v>
      </c>
      <c r="EX42">
        <v>0.02</v>
      </c>
      <c r="FX42">
        <v>411</v>
      </c>
      <c r="FZ42">
        <v>0.16600000000000001</v>
      </c>
      <c r="GA42">
        <v>0.59399999999999997</v>
      </c>
      <c r="GB42">
        <v>0.61599999999999999</v>
      </c>
      <c r="GC42">
        <v>1.05</v>
      </c>
      <c r="GD42">
        <v>0.83199999999999996</v>
      </c>
      <c r="GE42">
        <v>0.41799999999999998</v>
      </c>
      <c r="GG42">
        <v>0.66</v>
      </c>
      <c r="GH42">
        <v>0.51200000000000001</v>
      </c>
      <c r="GI42">
        <v>0.73399999999999999</v>
      </c>
      <c r="GJ42">
        <v>0.78700000000000003</v>
      </c>
      <c r="GK42">
        <v>0.28299999999999997</v>
      </c>
      <c r="GL42">
        <v>0.66700000000000004</v>
      </c>
      <c r="GM42">
        <v>1.27</v>
      </c>
      <c r="GN42">
        <v>1.63</v>
      </c>
      <c r="GO42">
        <v>0.40799999999999997</v>
      </c>
      <c r="GP42">
        <v>0.56000000000000005</v>
      </c>
      <c r="GQ42">
        <v>0.91900000000000004</v>
      </c>
      <c r="GR42">
        <v>0</v>
      </c>
      <c r="GS42">
        <v>0.38500000000000001</v>
      </c>
    </row>
    <row r="43" spans="1:214" x14ac:dyDescent="0.3">
      <c r="A43">
        <v>748967</v>
      </c>
      <c r="B43" t="s">
        <v>254</v>
      </c>
      <c r="D43" t="s">
        <v>239</v>
      </c>
      <c r="E43" s="8">
        <v>150</v>
      </c>
      <c r="F43" s="9">
        <f>E43/SUM($E$3:$E$82)</f>
        <v>1.9538704593730628E-2</v>
      </c>
      <c r="G43">
        <v>75.8</v>
      </c>
      <c r="H43">
        <v>143.08000000000001</v>
      </c>
      <c r="I43">
        <v>598.64672000000007</v>
      </c>
      <c r="J43">
        <v>1.99</v>
      </c>
      <c r="K43">
        <v>12.4</v>
      </c>
      <c r="L43">
        <v>8.65</v>
      </c>
      <c r="M43">
        <v>9.9600000000000009</v>
      </c>
      <c r="N43">
        <v>0.85</v>
      </c>
      <c r="O43">
        <v>0.96</v>
      </c>
      <c r="P43">
        <v>0</v>
      </c>
      <c r="V43">
        <v>0.2</v>
      </c>
      <c r="W43">
        <v>0</v>
      </c>
      <c r="X43">
        <v>0.2</v>
      </c>
      <c r="Y43">
        <v>0</v>
      </c>
      <c r="Z43">
        <v>0</v>
      </c>
      <c r="AA43">
        <v>0</v>
      </c>
      <c r="AC43">
        <v>0</v>
      </c>
      <c r="AF43">
        <v>48</v>
      </c>
      <c r="AG43">
        <v>1.67</v>
      </c>
      <c r="AH43">
        <v>11.4</v>
      </c>
      <c r="AI43">
        <v>184</v>
      </c>
      <c r="AJ43">
        <v>132</v>
      </c>
      <c r="AK43">
        <v>129</v>
      </c>
      <c r="AL43">
        <v>1.24</v>
      </c>
      <c r="AM43">
        <v>0</v>
      </c>
      <c r="AN43">
        <v>0</v>
      </c>
      <c r="AO43">
        <v>49.1</v>
      </c>
      <c r="AP43">
        <v>31.1</v>
      </c>
      <c r="AT43">
        <v>7.6999999999999999E-2</v>
      </c>
      <c r="AU43">
        <v>0.41899999999999998</v>
      </c>
      <c r="AV43">
        <v>0</v>
      </c>
      <c r="AX43">
        <v>6.3E-2</v>
      </c>
      <c r="AZ43">
        <v>71</v>
      </c>
      <c r="BD43">
        <v>335</v>
      </c>
      <c r="BE43">
        <v>0.6</v>
      </c>
      <c r="BF43">
        <v>309</v>
      </c>
      <c r="BG43">
        <v>0.2</v>
      </c>
      <c r="BH43">
        <v>0.2</v>
      </c>
      <c r="BI43">
        <v>25.1</v>
      </c>
      <c r="BJ43">
        <v>0.3</v>
      </c>
      <c r="BK43">
        <v>1.02</v>
      </c>
      <c r="BM43">
        <v>180</v>
      </c>
      <c r="BN43">
        <v>179</v>
      </c>
      <c r="BO43">
        <v>0</v>
      </c>
      <c r="BP43">
        <v>0</v>
      </c>
      <c r="BQ43">
        <v>0</v>
      </c>
      <c r="BR43">
        <v>0</v>
      </c>
      <c r="BT43">
        <v>13</v>
      </c>
      <c r="BU43">
        <v>13</v>
      </c>
      <c r="BW43">
        <v>0</v>
      </c>
      <c r="BX43">
        <v>0</v>
      </c>
      <c r="BY43">
        <v>0</v>
      </c>
      <c r="CA43">
        <v>57</v>
      </c>
      <c r="CB43">
        <v>230</v>
      </c>
      <c r="CC43">
        <v>229</v>
      </c>
      <c r="CO43">
        <v>98.4</v>
      </c>
      <c r="CP43">
        <v>2.46</v>
      </c>
      <c r="CQ43">
        <v>0</v>
      </c>
      <c r="CR43">
        <v>2.46</v>
      </c>
      <c r="CS43">
        <v>0.56000000000000005</v>
      </c>
      <c r="CU43">
        <v>3.2</v>
      </c>
      <c r="DF43">
        <v>3.2000000000000001E-2</v>
      </c>
      <c r="DH43">
        <v>2.3199999999999998</v>
      </c>
      <c r="DJ43">
        <v>0.81299999999999994</v>
      </c>
      <c r="DP43">
        <v>3.63</v>
      </c>
      <c r="DV43">
        <v>0.23799999999999999</v>
      </c>
      <c r="DZ43">
        <v>3.35</v>
      </c>
      <c r="EH43">
        <v>1.82</v>
      </c>
      <c r="EJ43">
        <v>1.46</v>
      </c>
      <c r="EK43">
        <v>1.46</v>
      </c>
      <c r="EO43">
        <v>1.0999999999999999E-2</v>
      </c>
      <c r="EQ43">
        <v>1.0999999999999999E-2</v>
      </c>
      <c r="EV43">
        <v>0.02</v>
      </c>
      <c r="EX43">
        <v>0.02</v>
      </c>
      <c r="FX43">
        <v>411</v>
      </c>
      <c r="FZ43">
        <v>0.16600000000000001</v>
      </c>
      <c r="GA43">
        <v>0.59399999999999997</v>
      </c>
      <c r="GB43">
        <v>0.61599999999999999</v>
      </c>
      <c r="GC43">
        <v>1.05</v>
      </c>
      <c r="GD43">
        <v>0.83199999999999996</v>
      </c>
      <c r="GE43">
        <v>0.41799999999999998</v>
      </c>
      <c r="GG43">
        <v>0.66</v>
      </c>
      <c r="GH43">
        <v>0.51200000000000001</v>
      </c>
      <c r="GI43">
        <v>0.73399999999999999</v>
      </c>
      <c r="GJ43">
        <v>0.78700000000000003</v>
      </c>
      <c r="GK43">
        <v>0.28299999999999997</v>
      </c>
      <c r="GL43">
        <v>0.66700000000000004</v>
      </c>
      <c r="GM43">
        <v>1.27</v>
      </c>
      <c r="GN43">
        <v>1.63</v>
      </c>
      <c r="GO43">
        <v>0.40799999999999997</v>
      </c>
      <c r="GP43">
        <v>0.56000000000000005</v>
      </c>
      <c r="GQ43">
        <v>0.91900000000000004</v>
      </c>
      <c r="GR43">
        <v>0</v>
      </c>
      <c r="GS43">
        <v>0.38500000000000001</v>
      </c>
    </row>
    <row r="44" spans="1:214" x14ac:dyDescent="0.3">
      <c r="A44">
        <v>790577</v>
      </c>
      <c r="B44" t="s">
        <v>294</v>
      </c>
      <c r="D44" t="s">
        <v>239</v>
      </c>
      <c r="E44" s="8">
        <v>100</v>
      </c>
      <c r="F44" s="9">
        <f>E44/SUM($E$3:$E$82)</f>
        <v>1.3025803062487084E-2</v>
      </c>
      <c r="G44">
        <v>88.6</v>
      </c>
      <c r="H44">
        <v>44.38</v>
      </c>
      <c r="I44">
        <v>185.68592000000001</v>
      </c>
      <c r="K44">
        <v>0.94</v>
      </c>
      <c r="L44">
        <v>0.1</v>
      </c>
      <c r="M44">
        <v>0.1</v>
      </c>
      <c r="N44">
        <v>0.43</v>
      </c>
      <c r="O44">
        <v>9.93</v>
      </c>
      <c r="P44">
        <v>2.2000000000000002</v>
      </c>
      <c r="Q44">
        <f>100-G44-K44-L44-P44-N44</f>
        <v>7.7300000000000075</v>
      </c>
      <c r="S44">
        <v>3.97</v>
      </c>
      <c r="V44">
        <v>5.76</v>
      </c>
      <c r="W44">
        <v>1.68</v>
      </c>
      <c r="X44">
        <v>2.29</v>
      </c>
      <c r="Y44">
        <v>1.79</v>
      </c>
      <c r="Z44">
        <v>0</v>
      </c>
      <c r="AA44">
        <v>0</v>
      </c>
      <c r="AF44">
        <v>17</v>
      </c>
      <c r="AG44">
        <v>0.24</v>
      </c>
      <c r="AH44">
        <v>11.4</v>
      </c>
      <c r="AI44">
        <v>41</v>
      </c>
      <c r="AJ44">
        <v>197</v>
      </c>
      <c r="AK44">
        <v>1</v>
      </c>
      <c r="AL44">
        <v>0.17</v>
      </c>
      <c r="AM44">
        <v>5.8000000000000003E-2</v>
      </c>
      <c r="AN44">
        <v>0.11899999999999999</v>
      </c>
      <c r="AO44">
        <v>0</v>
      </c>
      <c r="AP44">
        <v>0.5</v>
      </c>
      <c r="AS44">
        <v>8.1</v>
      </c>
      <c r="AY44">
        <v>0</v>
      </c>
    </row>
    <row r="45" spans="1:214" x14ac:dyDescent="0.3">
      <c r="A45">
        <v>1102899</v>
      </c>
      <c r="B45" t="s">
        <v>277</v>
      </c>
      <c r="D45" t="s">
        <v>247</v>
      </c>
      <c r="E45" s="8">
        <v>100</v>
      </c>
      <c r="F45" s="9">
        <f>E45/SUM($E$3:$E$82)</f>
        <v>1.3025803062487084E-2</v>
      </c>
      <c r="G45">
        <v>72.09</v>
      </c>
      <c r="H45">
        <v>127.44</v>
      </c>
      <c r="I45">
        <v>533.20896000000005</v>
      </c>
      <c r="K45">
        <v>1.87</v>
      </c>
      <c r="L45">
        <v>4.24</v>
      </c>
      <c r="M45">
        <v>4.24</v>
      </c>
      <c r="O45">
        <v>20.45</v>
      </c>
      <c r="P45">
        <v>1.4</v>
      </c>
      <c r="V45">
        <v>1.61</v>
      </c>
      <c r="AF45">
        <v>5</v>
      </c>
      <c r="AG45">
        <v>0.34</v>
      </c>
      <c r="AH45">
        <v>24</v>
      </c>
      <c r="AI45">
        <v>48</v>
      </c>
      <c r="AJ45">
        <v>372</v>
      </c>
      <c r="AK45">
        <v>167</v>
      </c>
      <c r="AL45">
        <v>0.28000000000000003</v>
      </c>
      <c r="AM45">
        <v>0.20399999999999999</v>
      </c>
      <c r="AP45">
        <v>0.3</v>
      </c>
      <c r="AS45">
        <v>12.1</v>
      </c>
      <c r="AT45">
        <v>0.1</v>
      </c>
      <c r="AU45">
        <v>2.1000000000000001E-2</v>
      </c>
      <c r="AV45">
        <v>1.3240000000000001</v>
      </c>
      <c r="AX45">
        <v>0.312</v>
      </c>
      <c r="AZ45">
        <v>9</v>
      </c>
      <c r="BA45">
        <v>0</v>
      </c>
      <c r="BB45">
        <v>9</v>
      </c>
      <c r="BC45">
        <v>9</v>
      </c>
      <c r="BD45">
        <v>14.1</v>
      </c>
      <c r="BK45">
        <v>0</v>
      </c>
      <c r="BL45">
        <v>0</v>
      </c>
      <c r="BM45">
        <v>18</v>
      </c>
      <c r="BN45">
        <v>17</v>
      </c>
      <c r="BO45">
        <v>8</v>
      </c>
      <c r="BR45">
        <v>0</v>
      </c>
      <c r="BT45">
        <v>0</v>
      </c>
      <c r="BW45">
        <v>0</v>
      </c>
      <c r="BZ45">
        <v>0</v>
      </c>
      <c r="CF45">
        <v>0.52</v>
      </c>
      <c r="CG45">
        <v>0</v>
      </c>
      <c r="CP45">
        <v>0</v>
      </c>
      <c r="CT45">
        <v>4.0999999999999996</v>
      </c>
      <c r="CU45">
        <v>1.202</v>
      </c>
      <c r="CV45">
        <v>4.5999999999999999E-2</v>
      </c>
      <c r="CX45">
        <v>2.9000000000000001E-2</v>
      </c>
      <c r="CZ45">
        <v>1.7000000000000001E-2</v>
      </c>
      <c r="DB45">
        <v>3.6999999999999998E-2</v>
      </c>
      <c r="DD45">
        <v>4.1000000000000002E-2</v>
      </c>
      <c r="DF45">
        <v>0.108</v>
      </c>
      <c r="DH45">
        <v>0.621</v>
      </c>
      <c r="DJ45">
        <v>0.27100000000000002</v>
      </c>
      <c r="DP45">
        <v>1.524</v>
      </c>
      <c r="DU45">
        <v>2.4E-2</v>
      </c>
      <c r="DY45">
        <v>1.4870000000000001</v>
      </c>
      <c r="EA45">
        <v>1.2999999999999999E-2</v>
      </c>
      <c r="EC45">
        <v>0</v>
      </c>
      <c r="EH45">
        <v>1.3069999999999999</v>
      </c>
      <c r="EI45">
        <v>1.1479999999999999</v>
      </c>
      <c r="EN45">
        <v>0.158</v>
      </c>
      <c r="ER45">
        <v>0</v>
      </c>
      <c r="FA45">
        <v>0</v>
      </c>
      <c r="FD45">
        <v>0</v>
      </c>
      <c r="FH45">
        <v>0</v>
      </c>
      <c r="FJ45">
        <v>0</v>
      </c>
      <c r="FX45">
        <v>3</v>
      </c>
      <c r="GT45">
        <v>0</v>
      </c>
      <c r="GU45">
        <v>0</v>
      </c>
      <c r="GV45">
        <v>0</v>
      </c>
    </row>
    <row r="46" spans="1:214" x14ac:dyDescent="0.3">
      <c r="A46">
        <v>1104812</v>
      </c>
      <c r="B46" t="s">
        <v>279</v>
      </c>
      <c r="D46" t="s">
        <v>239</v>
      </c>
      <c r="E46" s="8">
        <v>100</v>
      </c>
      <c r="F46" s="9">
        <f>E46/SUM($E$3:$E$82)</f>
        <v>1.3025803062487084E-2</v>
      </c>
      <c r="G46">
        <v>12.1</v>
      </c>
      <c r="H46">
        <v>365.41</v>
      </c>
      <c r="I46">
        <v>1528.87544</v>
      </c>
      <c r="J46">
        <v>1.1499999999999999</v>
      </c>
      <c r="K46">
        <v>7.19</v>
      </c>
      <c r="L46">
        <v>3.85</v>
      </c>
      <c r="M46">
        <v>3.85</v>
      </c>
      <c r="N46">
        <v>1.4</v>
      </c>
      <c r="O46">
        <v>75.5</v>
      </c>
      <c r="AF46">
        <v>10</v>
      </c>
      <c r="AG46">
        <v>1.5</v>
      </c>
      <c r="AH46">
        <v>124</v>
      </c>
      <c r="AI46">
        <v>319</v>
      </c>
      <c r="AJ46">
        <v>265</v>
      </c>
      <c r="AK46">
        <v>1</v>
      </c>
      <c r="AL46">
        <v>1.91</v>
      </c>
      <c r="AM46">
        <v>0.28599999999999998</v>
      </c>
      <c r="AN46">
        <v>2.84</v>
      </c>
      <c r="AP46">
        <v>9.68</v>
      </c>
      <c r="AR46">
        <v>56.2</v>
      </c>
      <c r="AT46">
        <v>0.32200000000000001</v>
      </c>
      <c r="AU46">
        <v>8.0000000000000002E-3</v>
      </c>
      <c r="AV46">
        <v>5.99</v>
      </c>
      <c r="AX46">
        <v>0.13200000000000001</v>
      </c>
    </row>
    <row r="47" spans="1:214" x14ac:dyDescent="0.3">
      <c r="A47">
        <v>1105904</v>
      </c>
      <c r="B47" t="s">
        <v>257</v>
      </c>
      <c r="C47" t="s">
        <v>258</v>
      </c>
      <c r="D47" t="s">
        <v>251</v>
      </c>
      <c r="E47" s="8">
        <v>100</v>
      </c>
      <c r="F47" s="9">
        <f>E47/SUM($E$3:$E$82)</f>
        <v>1.3025803062487084E-2</v>
      </c>
      <c r="G47">
        <f>100-K47-M47-O47-P47</f>
        <v>6.6700000000000017</v>
      </c>
      <c r="H47">
        <v>839.97</v>
      </c>
      <c r="I47">
        <v>3514.4344799999999</v>
      </c>
      <c r="K47">
        <v>0</v>
      </c>
      <c r="L47">
        <v>93.33</v>
      </c>
      <c r="M47">
        <v>93.33</v>
      </c>
      <c r="O47">
        <v>0</v>
      </c>
      <c r="P47">
        <v>0</v>
      </c>
      <c r="V47">
        <v>0</v>
      </c>
      <c r="AF47">
        <v>0</v>
      </c>
      <c r="AG47">
        <v>0</v>
      </c>
      <c r="AJ47">
        <v>0</v>
      </c>
      <c r="AK47">
        <v>0</v>
      </c>
      <c r="AS47">
        <v>0</v>
      </c>
      <c r="BV47">
        <v>0</v>
      </c>
      <c r="CO47">
        <v>0</v>
      </c>
      <c r="CU47">
        <v>13.33</v>
      </c>
      <c r="DP47">
        <v>20</v>
      </c>
      <c r="EH47">
        <v>53.33</v>
      </c>
      <c r="FK47">
        <v>0</v>
      </c>
      <c r="FX47">
        <v>0</v>
      </c>
    </row>
    <row r="48" spans="1:214" x14ac:dyDescent="0.3">
      <c r="A48">
        <v>1105905</v>
      </c>
      <c r="B48" t="s">
        <v>307</v>
      </c>
      <c r="C48" t="s">
        <v>266</v>
      </c>
      <c r="D48" t="s">
        <v>251</v>
      </c>
      <c r="E48" s="8">
        <v>100</v>
      </c>
      <c r="F48" s="9">
        <f>E48/SUM($E$3:$E$82)</f>
        <v>1.3025803062487084E-2</v>
      </c>
      <c r="G48">
        <f>100-K48-M48-O48-P48</f>
        <v>98.75</v>
      </c>
      <c r="H48">
        <v>5</v>
      </c>
      <c r="I48">
        <v>20.92</v>
      </c>
      <c r="K48">
        <v>0.83</v>
      </c>
      <c r="L48">
        <v>0</v>
      </c>
      <c r="M48">
        <v>0</v>
      </c>
      <c r="O48">
        <v>0.42</v>
      </c>
      <c r="P48">
        <v>0</v>
      </c>
      <c r="V48">
        <v>0.42</v>
      </c>
      <c r="AF48">
        <v>0</v>
      </c>
      <c r="AG48">
        <v>0</v>
      </c>
      <c r="AJ48">
        <v>0</v>
      </c>
      <c r="AK48">
        <v>346</v>
      </c>
      <c r="CO48">
        <v>0</v>
      </c>
      <c r="CU48">
        <v>0</v>
      </c>
      <c r="FK48">
        <v>0</v>
      </c>
      <c r="FX48">
        <v>0</v>
      </c>
    </row>
    <row r="49" spans="1:226" x14ac:dyDescent="0.3">
      <c r="A49">
        <v>1105906</v>
      </c>
      <c r="B49" t="s">
        <v>265</v>
      </c>
      <c r="C49" t="s">
        <v>266</v>
      </c>
      <c r="D49" t="s">
        <v>251</v>
      </c>
      <c r="E49" s="8">
        <v>100</v>
      </c>
      <c r="F49" s="9">
        <f>E49/SUM($E$3:$E$82)</f>
        <v>1.3025803062487084E-2</v>
      </c>
      <c r="G49">
        <f>100-K49-M49-O49-P49</f>
        <v>85.719999999999985</v>
      </c>
      <c r="H49">
        <v>82.07</v>
      </c>
      <c r="I49">
        <v>343.38087999999999</v>
      </c>
      <c r="K49">
        <v>2.4500000000000002</v>
      </c>
      <c r="L49">
        <v>5.31</v>
      </c>
      <c r="M49">
        <v>5.31</v>
      </c>
      <c r="O49">
        <v>6.12</v>
      </c>
      <c r="P49">
        <v>0.4</v>
      </c>
      <c r="V49">
        <v>0.41</v>
      </c>
      <c r="AF49">
        <v>16</v>
      </c>
      <c r="AG49">
        <v>0.24</v>
      </c>
      <c r="AJ49">
        <v>65</v>
      </c>
      <c r="AK49">
        <v>363</v>
      </c>
      <c r="CO49">
        <v>0</v>
      </c>
      <c r="CU49">
        <v>1.02</v>
      </c>
      <c r="FK49">
        <v>0</v>
      </c>
      <c r="FX49">
        <v>6</v>
      </c>
    </row>
    <row r="50" spans="1:226" x14ac:dyDescent="0.3">
      <c r="A50">
        <v>1105907</v>
      </c>
      <c r="B50" t="s">
        <v>305</v>
      </c>
      <c r="C50" t="s">
        <v>266</v>
      </c>
      <c r="D50" t="s">
        <v>251</v>
      </c>
      <c r="E50" s="8">
        <v>100</v>
      </c>
      <c r="F50" s="9">
        <f>E50/SUM($E$3:$E$82)</f>
        <v>1.3025803062487084E-2</v>
      </c>
      <c r="G50">
        <f>100-K50-M50-O50-P50</f>
        <v>86.949999999999989</v>
      </c>
      <c r="H50">
        <v>81.199999999999989</v>
      </c>
      <c r="I50">
        <v>339.74079999999998</v>
      </c>
      <c r="K50">
        <v>1.22</v>
      </c>
      <c r="L50">
        <v>6.12</v>
      </c>
      <c r="M50">
        <v>6.12</v>
      </c>
      <c r="O50">
        <v>5.31</v>
      </c>
      <c r="P50">
        <v>0.4</v>
      </c>
      <c r="V50">
        <v>0.82</v>
      </c>
      <c r="AF50">
        <v>33</v>
      </c>
      <c r="AG50">
        <v>0.16</v>
      </c>
      <c r="AJ50">
        <v>65</v>
      </c>
      <c r="AK50">
        <v>322</v>
      </c>
      <c r="CO50">
        <v>0</v>
      </c>
      <c r="CU50">
        <v>2.4500000000000002</v>
      </c>
      <c r="FK50">
        <v>0</v>
      </c>
      <c r="FX50">
        <v>10</v>
      </c>
    </row>
    <row r="51" spans="1:226" x14ac:dyDescent="0.3">
      <c r="A51">
        <v>1163549</v>
      </c>
      <c r="B51" t="s">
        <v>255</v>
      </c>
      <c r="C51" t="s">
        <v>250</v>
      </c>
      <c r="D51" t="s">
        <v>251</v>
      </c>
      <c r="E51" s="8">
        <v>100</v>
      </c>
      <c r="F51" s="9">
        <f>E51/SUM($E$3:$E$82)</f>
        <v>1.3025803062487084E-2</v>
      </c>
      <c r="G51">
        <f>100-K51-M51-O51-P51</f>
        <v>88.73</v>
      </c>
      <c r="H51">
        <v>38.68</v>
      </c>
      <c r="I51">
        <v>161.83712</v>
      </c>
      <c r="K51">
        <v>1.61</v>
      </c>
      <c r="L51">
        <v>0</v>
      </c>
      <c r="M51">
        <v>0</v>
      </c>
      <c r="O51">
        <v>8.06</v>
      </c>
      <c r="P51">
        <v>1.6</v>
      </c>
      <c r="V51">
        <v>4.84</v>
      </c>
      <c r="AF51">
        <v>0</v>
      </c>
      <c r="AG51">
        <v>0</v>
      </c>
      <c r="AK51">
        <v>24</v>
      </c>
      <c r="AS51">
        <v>1.9</v>
      </c>
      <c r="BV51">
        <v>645</v>
      </c>
      <c r="CU51">
        <v>0</v>
      </c>
      <c r="FK51">
        <v>0</v>
      </c>
      <c r="FX51">
        <v>0</v>
      </c>
    </row>
    <row r="52" spans="1:226" x14ac:dyDescent="0.3">
      <c r="A52">
        <v>1163550</v>
      </c>
      <c r="B52" t="s">
        <v>309</v>
      </c>
      <c r="C52" t="s">
        <v>250</v>
      </c>
      <c r="D52" t="s">
        <v>251</v>
      </c>
      <c r="E52" s="8">
        <v>100</v>
      </c>
      <c r="F52" s="9">
        <f>E52/SUM($E$3:$E$82)</f>
        <v>1.3025803062487084E-2</v>
      </c>
      <c r="G52">
        <f>100-K52-M52-O52-P52</f>
        <v>-3.0000000000000249E-2</v>
      </c>
      <c r="H52">
        <v>639.97</v>
      </c>
      <c r="I52">
        <v>2677.6344800000002</v>
      </c>
      <c r="K52">
        <v>26.67</v>
      </c>
      <c r="L52">
        <v>53.33</v>
      </c>
      <c r="M52">
        <v>53.33</v>
      </c>
      <c r="O52">
        <v>13.33</v>
      </c>
      <c r="P52">
        <v>6.7</v>
      </c>
      <c r="V52">
        <v>0</v>
      </c>
      <c r="AF52">
        <v>67</v>
      </c>
      <c r="AG52">
        <v>3.6</v>
      </c>
      <c r="AJ52">
        <v>733</v>
      </c>
      <c r="AK52">
        <v>1233</v>
      </c>
      <c r="AS52">
        <v>0</v>
      </c>
      <c r="BV52">
        <v>0</v>
      </c>
      <c r="CU52">
        <v>5</v>
      </c>
      <c r="DP52">
        <v>20</v>
      </c>
      <c r="EH52">
        <v>23.33</v>
      </c>
      <c r="FK52">
        <v>0</v>
      </c>
      <c r="FX52">
        <v>0</v>
      </c>
    </row>
    <row r="53" spans="1:226" x14ac:dyDescent="0.3">
      <c r="A53">
        <v>1163551</v>
      </c>
      <c r="B53" t="s">
        <v>249</v>
      </c>
      <c r="C53" t="s">
        <v>250</v>
      </c>
      <c r="D53" t="s">
        <v>251</v>
      </c>
      <c r="E53" s="8">
        <v>100</v>
      </c>
      <c r="F53" s="9">
        <f>E53/SUM($E$3:$E$82)</f>
        <v>1.3025803062487084E-2</v>
      </c>
      <c r="G53">
        <f>100-K53-M53-O53-P53</f>
        <v>64.710000000000008</v>
      </c>
      <c r="H53">
        <v>141.16</v>
      </c>
      <c r="I53">
        <v>590.61343999999997</v>
      </c>
      <c r="K53">
        <v>0</v>
      </c>
      <c r="L53">
        <v>0</v>
      </c>
      <c r="M53">
        <v>0</v>
      </c>
      <c r="O53">
        <v>35.29</v>
      </c>
      <c r="P53">
        <v>0</v>
      </c>
      <c r="V53">
        <v>23.53</v>
      </c>
      <c r="AF53">
        <v>0</v>
      </c>
      <c r="AG53">
        <v>0</v>
      </c>
      <c r="AJ53">
        <v>265</v>
      </c>
      <c r="AK53">
        <v>0</v>
      </c>
      <c r="AS53">
        <v>0</v>
      </c>
      <c r="BV53">
        <v>0</v>
      </c>
      <c r="CU53">
        <v>0</v>
      </c>
      <c r="DP53">
        <v>0</v>
      </c>
      <c r="EH53">
        <v>0</v>
      </c>
      <c r="FK53">
        <v>0</v>
      </c>
      <c r="FX53">
        <v>0</v>
      </c>
    </row>
    <row r="54" spans="1:226" x14ac:dyDescent="0.3">
      <c r="A54">
        <v>1163552</v>
      </c>
      <c r="B54" t="s">
        <v>316</v>
      </c>
      <c r="C54" t="s">
        <v>250</v>
      </c>
      <c r="D54" t="s">
        <v>251</v>
      </c>
      <c r="E54" s="8">
        <v>100</v>
      </c>
      <c r="F54" s="9">
        <f>E54/SUM($E$3:$E$82)</f>
        <v>1.3025803062487084E-2</v>
      </c>
      <c r="G54">
        <f>100-K54-M54-O54-P54</f>
        <v>70.59</v>
      </c>
      <c r="H54">
        <v>117.64</v>
      </c>
      <c r="I54">
        <v>492.20576</v>
      </c>
      <c r="K54">
        <v>0</v>
      </c>
      <c r="L54">
        <v>0</v>
      </c>
      <c r="M54">
        <v>0</v>
      </c>
      <c r="O54">
        <v>29.41</v>
      </c>
      <c r="P54">
        <v>0</v>
      </c>
      <c r="V54">
        <v>23.53</v>
      </c>
      <c r="AF54">
        <v>0</v>
      </c>
      <c r="AG54">
        <v>0</v>
      </c>
      <c r="AJ54">
        <v>324</v>
      </c>
      <c r="AK54">
        <v>941</v>
      </c>
      <c r="AS54">
        <v>0</v>
      </c>
      <c r="BV54">
        <v>0</v>
      </c>
      <c r="CU54">
        <v>0</v>
      </c>
      <c r="DP54">
        <v>0</v>
      </c>
      <c r="EH54">
        <v>0</v>
      </c>
      <c r="FK54">
        <v>0</v>
      </c>
      <c r="FX54">
        <v>0</v>
      </c>
    </row>
    <row r="55" spans="1:226" x14ac:dyDescent="0.3">
      <c r="A55">
        <v>1999630</v>
      </c>
      <c r="B55" t="s">
        <v>326</v>
      </c>
      <c r="D55" t="s">
        <v>239</v>
      </c>
      <c r="E55" s="8">
        <v>100</v>
      </c>
      <c r="F55" s="9">
        <f>E55/SUM($E$3:$E$82)</f>
        <v>1.3025803062487084E-2</v>
      </c>
      <c r="G55">
        <v>92.4</v>
      </c>
      <c r="H55">
        <v>38.484999999999999</v>
      </c>
      <c r="I55">
        <v>161.02124000000001</v>
      </c>
      <c r="J55">
        <v>0.5675</v>
      </c>
      <c r="K55">
        <v>3.546875</v>
      </c>
      <c r="L55">
        <v>1.8841000000000001</v>
      </c>
      <c r="M55">
        <v>2.125</v>
      </c>
      <c r="N55">
        <v>0.63500000000000001</v>
      </c>
      <c r="O55">
        <v>1.2931250000000001</v>
      </c>
      <c r="P55">
        <v>0</v>
      </c>
      <c r="V55">
        <v>0.55689999999999995</v>
      </c>
      <c r="W55">
        <v>0.55689999999999995</v>
      </c>
      <c r="X55">
        <v>0</v>
      </c>
      <c r="Y55">
        <v>0</v>
      </c>
      <c r="Z55">
        <v>0</v>
      </c>
      <c r="AA55">
        <v>0</v>
      </c>
      <c r="AB55">
        <v>0</v>
      </c>
      <c r="AF55">
        <v>101</v>
      </c>
      <c r="AG55">
        <v>0.54159999999999997</v>
      </c>
      <c r="AH55">
        <v>21.54</v>
      </c>
      <c r="AI55">
        <v>68.650000000000006</v>
      </c>
      <c r="AJ55">
        <v>158.19999999999999</v>
      </c>
      <c r="AK55">
        <v>34.28</v>
      </c>
      <c r="AL55">
        <v>0.31180000000000002</v>
      </c>
      <c r="AM55">
        <v>0.10780000000000001</v>
      </c>
      <c r="AN55">
        <v>0.2077</v>
      </c>
      <c r="AO55">
        <v>0</v>
      </c>
      <c r="AP55">
        <v>1.9419999999999999</v>
      </c>
      <c r="AR55">
        <v>58.38</v>
      </c>
      <c r="AT55">
        <v>6.3189999999999996E-2</v>
      </c>
      <c r="AU55">
        <v>8.4000000000000005E-2</v>
      </c>
      <c r="AV55">
        <v>0.2356</v>
      </c>
      <c r="AX55">
        <v>5.525E-2</v>
      </c>
      <c r="AY55">
        <v>3.3380000000000001</v>
      </c>
      <c r="AZ55">
        <v>19.690000000000001</v>
      </c>
      <c r="BK55">
        <v>0.3931</v>
      </c>
      <c r="BM55">
        <v>58.2</v>
      </c>
      <c r="BN55">
        <v>58.23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W55">
        <v>0</v>
      </c>
      <c r="BX55">
        <v>0</v>
      </c>
      <c r="BY55">
        <v>0</v>
      </c>
      <c r="BZ55">
        <v>8.2245000000000008</v>
      </c>
      <c r="CA55">
        <v>0.96550000000000002</v>
      </c>
      <c r="CC55">
        <v>7.2590000000000003</v>
      </c>
      <c r="CF55">
        <v>0.15570000000000001</v>
      </c>
      <c r="CH55">
        <v>0</v>
      </c>
      <c r="CI55">
        <v>1.42</v>
      </c>
      <c r="CJ55">
        <v>0.87419999999999998</v>
      </c>
      <c r="CK55">
        <v>0</v>
      </c>
      <c r="CL55">
        <v>0</v>
      </c>
      <c r="CM55">
        <v>0</v>
      </c>
      <c r="CN55">
        <v>0</v>
      </c>
      <c r="CO55">
        <v>27.2</v>
      </c>
      <c r="CP55">
        <v>0.68100000000000005</v>
      </c>
      <c r="CQ55">
        <v>0.68140000000000001</v>
      </c>
      <c r="CR55">
        <v>0</v>
      </c>
      <c r="CU55">
        <v>0.31380000000000002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F55">
        <v>3.813E-3</v>
      </c>
      <c r="DG55">
        <v>1.688E-3</v>
      </c>
      <c r="DH55">
        <v>0.21820000000000001</v>
      </c>
      <c r="DI55">
        <v>2E-3</v>
      </c>
      <c r="DJ55">
        <v>7.281E-2</v>
      </c>
      <c r="DK55">
        <v>5.6249999999999998E-3</v>
      </c>
      <c r="DL55">
        <v>0</v>
      </c>
      <c r="DM55">
        <v>6.7499999999999999E-3</v>
      </c>
      <c r="DN55">
        <v>0</v>
      </c>
      <c r="DO55">
        <v>2.313E-3</v>
      </c>
      <c r="DP55">
        <v>0.4163</v>
      </c>
      <c r="DQ55">
        <v>0</v>
      </c>
      <c r="DS55">
        <v>0</v>
      </c>
      <c r="DT55">
        <v>0</v>
      </c>
      <c r="DV55">
        <v>1.9380000000000001E-3</v>
      </c>
      <c r="DW55">
        <v>1E-3</v>
      </c>
      <c r="DX55">
        <v>1E-3</v>
      </c>
      <c r="DZ55">
        <v>0.40920000000000001</v>
      </c>
      <c r="EB55">
        <v>4.8129999999999996E-3</v>
      </c>
      <c r="ED55">
        <v>0</v>
      </c>
      <c r="EE55">
        <v>0</v>
      </c>
      <c r="EF55">
        <v>0</v>
      </c>
      <c r="EG55">
        <v>0</v>
      </c>
      <c r="EH55">
        <v>1.1539999999999999</v>
      </c>
      <c r="EJ55">
        <v>0.98780000000000001</v>
      </c>
      <c r="EK55">
        <v>0.98780000000000001</v>
      </c>
      <c r="EL55">
        <v>0</v>
      </c>
      <c r="EO55">
        <v>0.16639999999999999</v>
      </c>
      <c r="EP55">
        <v>0.16639999999999999</v>
      </c>
      <c r="EQ55">
        <v>0</v>
      </c>
      <c r="ER55">
        <v>0</v>
      </c>
      <c r="ES55">
        <v>5.6249999999999996E-4</v>
      </c>
      <c r="ET55">
        <v>5.6249999999999996E-4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8.1249999999999996E-4</v>
      </c>
      <c r="FM55">
        <v>0</v>
      </c>
      <c r="FN55">
        <v>0</v>
      </c>
      <c r="FO55">
        <v>8.1249999999999996E-4</v>
      </c>
      <c r="FP55">
        <v>0</v>
      </c>
      <c r="FQ55">
        <v>0</v>
      </c>
      <c r="FS55">
        <v>1.1249999999999999E-3</v>
      </c>
      <c r="FT55">
        <v>1.1249999999999999E-3</v>
      </c>
      <c r="FV55">
        <v>0</v>
      </c>
      <c r="FW55">
        <v>0</v>
      </c>
      <c r="FZ55">
        <v>4.6249999999999999E-2</v>
      </c>
      <c r="GA55">
        <v>0.12809999999999999</v>
      </c>
      <c r="GB55">
        <v>0.14499999999999999</v>
      </c>
      <c r="GC55">
        <v>0.24940000000000001</v>
      </c>
      <c r="GD55">
        <v>0.22059999999999999</v>
      </c>
      <c r="GE55">
        <v>4.6249999999999999E-2</v>
      </c>
      <c r="GG55">
        <v>0.17499999999999999</v>
      </c>
      <c r="GH55">
        <v>0.12379999999999999</v>
      </c>
      <c r="GI55">
        <v>0.1419</v>
      </c>
      <c r="GJ55">
        <v>0.26879999999999998</v>
      </c>
      <c r="GK55">
        <v>9.7500000000000003E-2</v>
      </c>
      <c r="GL55">
        <v>0.1394</v>
      </c>
      <c r="GM55">
        <v>0.39629999999999999</v>
      </c>
      <c r="GN55">
        <v>0.61939999999999995</v>
      </c>
      <c r="GO55">
        <v>0.14130000000000001</v>
      </c>
      <c r="GP55">
        <v>0.13700000000000001</v>
      </c>
      <c r="GQ55">
        <v>0.16750000000000001</v>
      </c>
      <c r="GR55">
        <v>0</v>
      </c>
      <c r="GS55">
        <v>5.7500000000000002E-2</v>
      </c>
      <c r="HK55">
        <v>6.6530000000000006E-2</v>
      </c>
      <c r="HL55">
        <v>0.43440000000000001</v>
      </c>
      <c r="HM55">
        <v>2.6249999999999999E-2</v>
      </c>
      <c r="HN55">
        <v>0.45689999999999997</v>
      </c>
      <c r="HO55">
        <v>0.38009999999999999</v>
      </c>
      <c r="HP55">
        <v>12.91</v>
      </c>
      <c r="HQ55">
        <v>18.809999999999999</v>
      </c>
      <c r="HR55">
        <v>1.365</v>
      </c>
    </row>
    <row r="56" spans="1:226" x14ac:dyDescent="0.3">
      <c r="A56">
        <v>1999631</v>
      </c>
      <c r="B56" t="s">
        <v>286</v>
      </c>
      <c r="D56" t="s">
        <v>239</v>
      </c>
      <c r="E56" s="8">
        <v>100</v>
      </c>
      <c r="F56" s="9">
        <f>E56/SUM($E$3:$E$82)</f>
        <v>1.3025803062487084E-2</v>
      </c>
      <c r="G56">
        <v>97.4</v>
      </c>
      <c r="H56">
        <v>14.5562</v>
      </c>
      <c r="I56">
        <v>60.903140800000003</v>
      </c>
      <c r="J56">
        <v>8.8749999999999996E-2</v>
      </c>
      <c r="K56">
        <v>0.5546875</v>
      </c>
      <c r="L56">
        <v>1.1089</v>
      </c>
      <c r="M56">
        <v>1.2210000000000001</v>
      </c>
      <c r="N56">
        <v>0.48720000000000002</v>
      </c>
      <c r="O56">
        <v>0.33711249999999998</v>
      </c>
      <c r="P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F56">
        <v>172.7</v>
      </c>
      <c r="AG56">
        <v>0.28989999999999999</v>
      </c>
      <c r="AH56">
        <v>6.7850000000000001</v>
      </c>
      <c r="AI56">
        <v>29.85</v>
      </c>
      <c r="AJ56">
        <v>30.79</v>
      </c>
      <c r="AK56">
        <v>59.58</v>
      </c>
      <c r="AL56">
        <v>0.17180000000000001</v>
      </c>
      <c r="AM56">
        <v>2.1260000000000001E-2</v>
      </c>
      <c r="AN56">
        <v>4.4970000000000003E-2</v>
      </c>
      <c r="AO56">
        <v>0</v>
      </c>
      <c r="AP56">
        <v>0</v>
      </c>
      <c r="AR56">
        <v>0</v>
      </c>
      <c r="AT56">
        <v>0</v>
      </c>
      <c r="AU56">
        <v>3.3390000000000003E-2</v>
      </c>
      <c r="AV56">
        <v>7.4380000000000002E-2</v>
      </c>
      <c r="AX56">
        <v>0</v>
      </c>
      <c r="AY56">
        <v>1.0189999999999999</v>
      </c>
      <c r="AZ56">
        <v>0</v>
      </c>
      <c r="BK56">
        <v>0.33750000000000002</v>
      </c>
      <c r="BM56">
        <v>41.4</v>
      </c>
      <c r="BN56">
        <v>41.42</v>
      </c>
      <c r="CF56">
        <v>3.323</v>
      </c>
      <c r="CH56">
        <v>0</v>
      </c>
      <c r="CI56">
        <v>2.7459999999999998E-2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37.1</v>
      </c>
      <c r="CP56">
        <v>0.92700000000000005</v>
      </c>
      <c r="CQ56">
        <v>0.92659999999999998</v>
      </c>
      <c r="CR56">
        <v>0</v>
      </c>
      <c r="CU56">
        <v>0.1038</v>
      </c>
      <c r="CV56">
        <v>3.6879999999999999E-3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F56">
        <v>2.3749999999999999E-3</v>
      </c>
      <c r="DG56">
        <v>1.25E-3</v>
      </c>
      <c r="DH56">
        <v>7.7810000000000004E-2</v>
      </c>
      <c r="DI56">
        <v>8.7500000000000002E-4</v>
      </c>
      <c r="DJ56">
        <v>1.95E-2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0.7288</v>
      </c>
      <c r="DQ56">
        <v>0</v>
      </c>
      <c r="DS56">
        <v>0</v>
      </c>
      <c r="DT56">
        <v>0</v>
      </c>
      <c r="DV56">
        <v>5.8129999999999996E-3</v>
      </c>
      <c r="DW56">
        <v>1.25E-3</v>
      </c>
      <c r="DX56">
        <v>1.25E-3</v>
      </c>
      <c r="DZ56">
        <v>0.72070000000000001</v>
      </c>
      <c r="EB56">
        <v>8.7500000000000002E-4</v>
      </c>
      <c r="ED56">
        <v>0</v>
      </c>
      <c r="EE56">
        <v>0</v>
      </c>
      <c r="EF56">
        <v>0</v>
      </c>
      <c r="EG56">
        <v>0</v>
      </c>
      <c r="EH56">
        <v>0.27629999999999999</v>
      </c>
      <c r="EJ56">
        <v>0.27560000000000001</v>
      </c>
      <c r="EK56">
        <v>0.27560000000000001</v>
      </c>
      <c r="EL56">
        <v>0</v>
      </c>
      <c r="EO56">
        <v>6.2500000000000001E-4</v>
      </c>
      <c r="EP56">
        <v>6.2500000000000001E-4</v>
      </c>
      <c r="EQ56">
        <v>0</v>
      </c>
      <c r="ER56">
        <v>0</v>
      </c>
      <c r="ES56">
        <v>0</v>
      </c>
      <c r="ET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S56">
        <v>1.25E-4</v>
      </c>
      <c r="FT56">
        <v>1.25E-4</v>
      </c>
      <c r="FV56">
        <v>0</v>
      </c>
      <c r="FW56">
        <v>0</v>
      </c>
      <c r="HK56">
        <v>7.8750000000000001E-3</v>
      </c>
      <c r="HL56">
        <v>7.4999999999999997E-3</v>
      </c>
      <c r="HM56">
        <v>0</v>
      </c>
    </row>
    <row r="57" spans="1:226" x14ac:dyDescent="0.3">
      <c r="A57">
        <v>2003591</v>
      </c>
      <c r="B57" t="s">
        <v>324</v>
      </c>
      <c r="D57" t="s">
        <v>239</v>
      </c>
      <c r="E57" s="8">
        <v>100</v>
      </c>
      <c r="F57" s="9">
        <f>E57/SUM($E$3:$E$82)</f>
        <v>1.3025803062487084E-2</v>
      </c>
      <c r="G57">
        <v>88.25</v>
      </c>
      <c r="H57">
        <v>47.224999999999987</v>
      </c>
      <c r="I57">
        <v>197.58940000000001</v>
      </c>
      <c r="J57">
        <v>0.11749999999999999</v>
      </c>
      <c r="K57">
        <v>0.734375</v>
      </c>
      <c r="L57">
        <v>0.32500000000000001</v>
      </c>
      <c r="M57">
        <v>0.32500000000000001</v>
      </c>
      <c r="N57">
        <v>0.35</v>
      </c>
      <c r="O57">
        <v>10.340624999999999</v>
      </c>
      <c r="V57">
        <v>8.2759999999999998</v>
      </c>
      <c r="W57">
        <v>4.3860000000000001</v>
      </c>
      <c r="X57">
        <v>1.794</v>
      </c>
      <c r="Y57">
        <v>2.0960000000000001</v>
      </c>
      <c r="Z57">
        <v>0</v>
      </c>
      <c r="AA57">
        <v>0</v>
      </c>
      <c r="AB57">
        <v>0</v>
      </c>
      <c r="AF57">
        <v>12.81</v>
      </c>
      <c r="AG57">
        <v>6.4579999999999999E-2</v>
      </c>
      <c r="AH57">
        <v>10.64</v>
      </c>
      <c r="AI57">
        <v>18.149999999999999</v>
      </c>
      <c r="AJ57">
        <v>179.5</v>
      </c>
      <c r="AK57">
        <v>5.2309999999999999</v>
      </c>
      <c r="AL57">
        <v>3.1890000000000002E-2</v>
      </c>
      <c r="AM57">
        <v>3.218E-2</v>
      </c>
      <c r="AN57">
        <v>2.9860000000000001E-2</v>
      </c>
      <c r="AS57">
        <v>26.89</v>
      </c>
      <c r="AT57">
        <v>7.0059999999999997E-2</v>
      </c>
      <c r="AV57">
        <v>4.0309999999999999E-2</v>
      </c>
      <c r="AX57">
        <v>4.2880000000000001E-2</v>
      </c>
      <c r="AZ57">
        <v>29.85</v>
      </c>
      <c r="HG57">
        <v>705.8</v>
      </c>
      <c r="HH57">
        <v>161.30000000000001</v>
      </c>
      <c r="HI57">
        <v>0</v>
      </c>
      <c r="HJ57">
        <v>12.34</v>
      </c>
    </row>
    <row r="58" spans="1:226" x14ac:dyDescent="0.3">
      <c r="A58">
        <v>2003597</v>
      </c>
      <c r="B58" t="s">
        <v>274</v>
      </c>
      <c r="D58" t="s">
        <v>239</v>
      </c>
      <c r="E58" s="8">
        <v>100</v>
      </c>
      <c r="F58" s="9">
        <f>E58/SUM($E$3:$E$82)</f>
        <v>1.3025803062487084E-2</v>
      </c>
      <c r="G58">
        <v>88.48</v>
      </c>
      <c r="H58">
        <v>46.506300000000003</v>
      </c>
      <c r="I58">
        <v>194.58235920000001</v>
      </c>
      <c r="J58">
        <v>0.13</v>
      </c>
      <c r="K58">
        <v>0.8125</v>
      </c>
      <c r="L58">
        <v>0.35630000000000001</v>
      </c>
      <c r="M58">
        <v>0.35630000000000001</v>
      </c>
      <c r="N58">
        <v>0.33879999999999999</v>
      </c>
      <c r="O58">
        <v>10.0124</v>
      </c>
      <c r="V58">
        <v>8.077</v>
      </c>
      <c r="W58">
        <v>4.1429999999999998</v>
      </c>
      <c r="X58">
        <v>1.8109999999999999</v>
      </c>
      <c r="Y58">
        <v>2.1230000000000002</v>
      </c>
      <c r="Z58">
        <v>0</v>
      </c>
      <c r="AA58">
        <v>0</v>
      </c>
      <c r="AB58">
        <v>0</v>
      </c>
      <c r="AF58">
        <v>9.2880000000000003</v>
      </c>
      <c r="AG58">
        <v>7.0610000000000006E-2</v>
      </c>
      <c r="AH58">
        <v>10.26</v>
      </c>
      <c r="AI58">
        <v>18.96</v>
      </c>
      <c r="AJ58">
        <v>182.8</v>
      </c>
      <c r="AK58">
        <v>7.4999999999999997E-2</v>
      </c>
      <c r="AL58">
        <v>3.2059999999999998E-2</v>
      </c>
      <c r="AM58">
        <v>3.5290000000000002E-2</v>
      </c>
      <c r="AN58">
        <v>2.7740000000000001E-2</v>
      </c>
      <c r="AS58">
        <v>30.54</v>
      </c>
      <c r="AT58">
        <v>7.4560000000000001E-2</v>
      </c>
      <c r="AV58">
        <v>2.9059999999999999E-2</v>
      </c>
      <c r="AX58">
        <v>4.113E-2</v>
      </c>
      <c r="AZ58">
        <v>28.98</v>
      </c>
      <c r="HG58">
        <v>756.6</v>
      </c>
      <c r="HH58">
        <v>160.30000000000001</v>
      </c>
      <c r="HI58">
        <v>0</v>
      </c>
      <c r="HJ58">
        <v>0</v>
      </c>
    </row>
    <row r="59" spans="1:226" x14ac:dyDescent="0.3">
      <c r="A59">
        <v>2035482</v>
      </c>
      <c r="B59" t="s">
        <v>303</v>
      </c>
      <c r="C59" t="s">
        <v>304</v>
      </c>
      <c r="D59" t="s">
        <v>251</v>
      </c>
      <c r="E59" s="8">
        <v>100</v>
      </c>
      <c r="F59" s="9">
        <f>E59/SUM($E$3:$E$82)</f>
        <v>1.3025803062487084E-2</v>
      </c>
      <c r="G59">
        <f>100-K59-M59-O59-P59</f>
        <v>3.3700000000000019</v>
      </c>
      <c r="H59">
        <v>473.32</v>
      </c>
      <c r="I59">
        <v>1980.3708799999999</v>
      </c>
      <c r="K59">
        <v>3.33</v>
      </c>
      <c r="L59">
        <v>20</v>
      </c>
      <c r="M59">
        <v>20</v>
      </c>
      <c r="O59">
        <v>70</v>
      </c>
      <c r="P59">
        <v>3.3</v>
      </c>
      <c r="V59">
        <v>70</v>
      </c>
      <c r="AF59">
        <v>133</v>
      </c>
      <c r="AG59">
        <v>0</v>
      </c>
      <c r="AK59">
        <v>33</v>
      </c>
      <c r="AS59">
        <v>0</v>
      </c>
      <c r="BV59">
        <v>0</v>
      </c>
      <c r="CU59">
        <v>16.670000000000002</v>
      </c>
      <c r="FK59">
        <v>0</v>
      </c>
      <c r="FX59">
        <v>0</v>
      </c>
    </row>
    <row r="60" spans="1:226" x14ac:dyDescent="0.3">
      <c r="A60">
        <v>2257044</v>
      </c>
      <c r="B60" t="s">
        <v>323</v>
      </c>
      <c r="D60" t="s">
        <v>239</v>
      </c>
      <c r="E60" s="8">
        <v>100</v>
      </c>
      <c r="F60" s="9">
        <f>E60/SUM($E$3:$E$82)</f>
        <v>1.3025803062487084E-2</v>
      </c>
      <c r="G60">
        <v>91.52</v>
      </c>
      <c r="H60">
        <v>40.704999999999998</v>
      </c>
      <c r="I60">
        <v>170.30972</v>
      </c>
      <c r="J60">
        <v>0.44429999999999997</v>
      </c>
      <c r="K60">
        <v>2.776875</v>
      </c>
      <c r="L60">
        <v>1.9570000000000001</v>
      </c>
      <c r="M60">
        <v>1.9570000000000001</v>
      </c>
      <c r="N60">
        <v>0.75</v>
      </c>
      <c r="O60">
        <v>2.9961250000000001</v>
      </c>
      <c r="P60">
        <v>0</v>
      </c>
      <c r="W60">
        <v>2.577</v>
      </c>
      <c r="X60">
        <v>0</v>
      </c>
      <c r="Y60">
        <v>0</v>
      </c>
      <c r="Z60">
        <v>0</v>
      </c>
      <c r="AA60">
        <v>0</v>
      </c>
      <c r="AB60">
        <v>0</v>
      </c>
      <c r="AF60">
        <v>154.80000000000001</v>
      </c>
      <c r="AG60">
        <v>0.36659999999999998</v>
      </c>
      <c r="AH60">
        <v>17.46</v>
      </c>
      <c r="AI60">
        <v>45.96</v>
      </c>
      <c r="AJ60">
        <v>117.9</v>
      </c>
      <c r="AK60">
        <v>39.44</v>
      </c>
      <c r="AL60">
        <v>0.2636</v>
      </c>
      <c r="AM60">
        <v>9.5610000000000001E-2</v>
      </c>
      <c r="AN60">
        <v>0.15959999999999999</v>
      </c>
      <c r="AP60">
        <v>0</v>
      </c>
      <c r="AR60">
        <v>32.29</v>
      </c>
      <c r="AT60">
        <v>4.3569999999999998E-2</v>
      </c>
      <c r="AU60">
        <v>0.33069999999999999</v>
      </c>
      <c r="AV60">
        <v>0.13289999999999999</v>
      </c>
      <c r="AX60">
        <v>3.6429999999999997E-2</v>
      </c>
      <c r="AY60">
        <v>2.157</v>
      </c>
      <c r="AZ60">
        <v>15.81</v>
      </c>
      <c r="BK60">
        <v>1.327</v>
      </c>
      <c r="BN60">
        <v>89.43</v>
      </c>
      <c r="CO60">
        <v>185</v>
      </c>
      <c r="CP60">
        <v>4.63</v>
      </c>
      <c r="CQ60">
        <v>4.6100000000000003</v>
      </c>
      <c r="CR60">
        <v>2.0140000000000002E-2</v>
      </c>
      <c r="CT60">
        <v>2.8</v>
      </c>
      <c r="FZ60">
        <v>3.4290000000000001E-2</v>
      </c>
      <c r="GA60">
        <v>0.1</v>
      </c>
      <c r="GB60">
        <v>0.1</v>
      </c>
      <c r="GC60">
        <v>0.2</v>
      </c>
      <c r="GD60">
        <v>0.2</v>
      </c>
      <c r="GE60">
        <v>3.286E-2</v>
      </c>
      <c r="GG60">
        <v>0.15709999999999999</v>
      </c>
      <c r="GH60">
        <v>0.1</v>
      </c>
      <c r="GI60">
        <v>0.1014</v>
      </c>
      <c r="GJ60">
        <v>0.2</v>
      </c>
      <c r="GK60">
        <v>0.1</v>
      </c>
      <c r="GL60">
        <v>0.1</v>
      </c>
      <c r="GM60">
        <v>0.3286</v>
      </c>
      <c r="GN60">
        <v>0.48570000000000002</v>
      </c>
      <c r="GO60">
        <v>0.1</v>
      </c>
      <c r="GP60">
        <v>0.1143</v>
      </c>
      <c r="GQ60">
        <v>0.1714</v>
      </c>
      <c r="GR60">
        <v>0</v>
      </c>
      <c r="GS60">
        <v>4.8570000000000002E-2</v>
      </c>
      <c r="GW60">
        <v>0</v>
      </c>
      <c r="GX60">
        <v>0</v>
      </c>
      <c r="HN60">
        <v>0.13930000000000001</v>
      </c>
      <c r="HO60">
        <v>0.2364</v>
      </c>
      <c r="HP60">
        <v>7.9610000000000003</v>
      </c>
      <c r="HQ60">
        <v>14.71</v>
      </c>
      <c r="HR60">
        <v>0.36430000000000001</v>
      </c>
    </row>
    <row r="61" spans="1:226" x14ac:dyDescent="0.3">
      <c r="A61">
        <v>2257045</v>
      </c>
      <c r="B61" t="s">
        <v>282</v>
      </c>
      <c r="D61" t="s">
        <v>239</v>
      </c>
      <c r="E61" s="8">
        <v>100</v>
      </c>
      <c r="F61" s="9">
        <f>E61/SUM($E$3:$E$82)</f>
        <v>1.3025803062487084E-2</v>
      </c>
      <c r="G61">
        <v>96.52</v>
      </c>
      <c r="H61">
        <v>19.329999999999998</v>
      </c>
      <c r="I61">
        <v>80.876719999999992</v>
      </c>
      <c r="J61">
        <v>0.105</v>
      </c>
      <c r="K61">
        <v>0.65625</v>
      </c>
      <c r="L61">
        <v>1.5580000000000001</v>
      </c>
      <c r="M61">
        <v>1.5580000000000001</v>
      </c>
      <c r="N61">
        <v>0.59499999999999997</v>
      </c>
      <c r="O61">
        <v>0.67074999999999996</v>
      </c>
      <c r="P61">
        <v>0</v>
      </c>
      <c r="W61">
        <v>3.857E-2</v>
      </c>
      <c r="X61">
        <v>0</v>
      </c>
      <c r="Y61">
        <v>0</v>
      </c>
      <c r="Z61">
        <v>0</v>
      </c>
      <c r="AA61">
        <v>0</v>
      </c>
      <c r="AB61">
        <v>0</v>
      </c>
      <c r="AF61">
        <v>157.5</v>
      </c>
      <c r="AG61">
        <v>0.12470000000000001</v>
      </c>
      <c r="AH61">
        <v>8.2490000000000006</v>
      </c>
      <c r="AI61">
        <v>19.079999999999998</v>
      </c>
      <c r="AJ61">
        <v>49.27</v>
      </c>
      <c r="AK61">
        <v>59.22</v>
      </c>
      <c r="AL61">
        <v>7.6609999999999998E-2</v>
      </c>
      <c r="AM61">
        <v>2.6880000000000001E-2</v>
      </c>
      <c r="AN61">
        <v>5.6419999999999998E-2</v>
      </c>
      <c r="AT61">
        <v>5.0000000000000001E-3</v>
      </c>
      <c r="AU61">
        <v>8.3330000000000001E-2</v>
      </c>
      <c r="AV61">
        <v>8.8749999999999996E-2</v>
      </c>
      <c r="AX61">
        <v>0</v>
      </c>
      <c r="AY61">
        <v>1.425</v>
      </c>
      <c r="AZ61">
        <v>0</v>
      </c>
      <c r="BK61">
        <v>0.44919999999999999</v>
      </c>
      <c r="BN61">
        <v>60.92</v>
      </c>
      <c r="CO61">
        <v>63.6</v>
      </c>
      <c r="CP61">
        <v>1.59</v>
      </c>
      <c r="CQ61">
        <v>1.5780000000000001</v>
      </c>
      <c r="CR61">
        <v>1.0149999999999999E-2</v>
      </c>
      <c r="CT61">
        <v>0</v>
      </c>
      <c r="FZ61">
        <v>1.25E-3</v>
      </c>
      <c r="GA61">
        <v>0.01</v>
      </c>
      <c r="GB61">
        <v>2.6249999999999999E-2</v>
      </c>
      <c r="GC61">
        <v>4.6249999999999999E-2</v>
      </c>
      <c r="GD61">
        <v>3.125E-2</v>
      </c>
      <c r="GE61">
        <v>1.25E-3</v>
      </c>
      <c r="GG61">
        <v>4.2500000000000003E-2</v>
      </c>
      <c r="GH61">
        <v>1.8749999999999999E-2</v>
      </c>
      <c r="GI61">
        <v>1.7500000000000002E-2</v>
      </c>
      <c r="GJ61">
        <v>9.2499999999999999E-2</v>
      </c>
      <c r="GK61">
        <v>1.375E-2</v>
      </c>
      <c r="GL61">
        <v>2.8750000000000001E-2</v>
      </c>
      <c r="GM61">
        <v>7.7499999999999999E-2</v>
      </c>
      <c r="GN61">
        <v>0.13750000000000001</v>
      </c>
      <c r="GO61">
        <v>4.4999999999999998E-2</v>
      </c>
      <c r="GP61">
        <v>3.125E-2</v>
      </c>
      <c r="GQ61">
        <v>0.02</v>
      </c>
      <c r="GR61">
        <v>0</v>
      </c>
      <c r="GS61">
        <v>1.25E-3</v>
      </c>
      <c r="GW61">
        <v>0</v>
      </c>
      <c r="GX61">
        <v>0</v>
      </c>
    </row>
    <row r="62" spans="1:226" x14ac:dyDescent="0.3">
      <c r="A62">
        <v>2257046</v>
      </c>
      <c r="B62" t="s">
        <v>275</v>
      </c>
      <c r="D62" t="s">
        <v>239</v>
      </c>
      <c r="E62" s="8">
        <v>100</v>
      </c>
      <c r="F62" s="9">
        <f>E62/SUM($E$3:$E$82)</f>
        <v>1.3025803062487084E-2</v>
      </c>
      <c r="G62">
        <v>90.56</v>
      </c>
      <c r="H62">
        <v>48.329799999999999</v>
      </c>
      <c r="I62">
        <v>202.21188319999999</v>
      </c>
      <c r="J62">
        <v>0.1275</v>
      </c>
      <c r="K62">
        <v>0.796875</v>
      </c>
      <c r="L62">
        <v>2.7490000000000001</v>
      </c>
      <c r="M62">
        <v>2.7490000000000001</v>
      </c>
      <c r="N62">
        <v>0.79379999999999995</v>
      </c>
      <c r="O62">
        <v>5.1003249999999998</v>
      </c>
      <c r="P62">
        <v>0</v>
      </c>
      <c r="V62">
        <v>2.3216000000000001</v>
      </c>
      <c r="W62">
        <v>0</v>
      </c>
      <c r="X62">
        <v>0.77059999999999995</v>
      </c>
      <c r="Y62">
        <v>0</v>
      </c>
      <c r="Z62">
        <v>0</v>
      </c>
      <c r="AA62">
        <v>1.5509999999999999</v>
      </c>
      <c r="AB62">
        <v>0</v>
      </c>
      <c r="AF62">
        <v>148.5</v>
      </c>
      <c r="AG62">
        <v>0.26119999999999999</v>
      </c>
      <c r="AH62">
        <v>5.9089999999999998</v>
      </c>
      <c r="AI62">
        <v>89.18</v>
      </c>
      <c r="AJ62">
        <v>148.4</v>
      </c>
      <c r="AK62">
        <v>41.98</v>
      </c>
      <c r="AL62">
        <v>9.0620000000000006E-2</v>
      </c>
      <c r="AM62">
        <v>2.7119999999999998E-2</v>
      </c>
      <c r="AN62">
        <v>0.12620000000000001</v>
      </c>
      <c r="AP62">
        <v>0</v>
      </c>
      <c r="AR62">
        <v>10.09</v>
      </c>
      <c r="AT62">
        <v>0.04</v>
      </c>
      <c r="AU62">
        <v>0.28070000000000001</v>
      </c>
      <c r="AV62">
        <v>9.6250000000000002E-2</v>
      </c>
      <c r="AX62">
        <v>6.4999999999999997E-3</v>
      </c>
      <c r="AY62">
        <v>1.4059999999999999</v>
      </c>
      <c r="AZ62">
        <v>0</v>
      </c>
      <c r="BK62">
        <v>0.50639999999999996</v>
      </c>
      <c r="BN62">
        <v>84.73</v>
      </c>
      <c r="CO62">
        <v>68</v>
      </c>
      <c r="CP62">
        <v>1.7</v>
      </c>
      <c r="CQ62">
        <v>1.694</v>
      </c>
      <c r="CR62">
        <v>7.6920000000000001E-3</v>
      </c>
      <c r="CT62">
        <v>0.4</v>
      </c>
      <c r="FZ62">
        <v>8.7500000000000008E-3</v>
      </c>
      <c r="GA62">
        <v>2.2499999999999999E-2</v>
      </c>
      <c r="GB62">
        <v>2.5000000000000001E-2</v>
      </c>
      <c r="GC62">
        <v>8.1250000000000003E-2</v>
      </c>
      <c r="GD62">
        <v>6.1249999999999999E-2</v>
      </c>
      <c r="GE62">
        <v>0.01</v>
      </c>
      <c r="GG62">
        <v>7.2499999999999995E-2</v>
      </c>
      <c r="GH62">
        <v>4.1250000000000002E-2</v>
      </c>
      <c r="GI62">
        <v>3.2500000000000001E-2</v>
      </c>
      <c r="GJ62">
        <v>8.2500000000000004E-2</v>
      </c>
      <c r="GK62">
        <v>1.7500000000000002E-2</v>
      </c>
      <c r="GL62">
        <v>3.7499999999999999E-2</v>
      </c>
      <c r="GM62">
        <v>8.2500000000000004E-2</v>
      </c>
      <c r="GN62">
        <v>0.15</v>
      </c>
      <c r="GO62">
        <v>5.6250000000000001E-2</v>
      </c>
      <c r="GP62">
        <v>7.2499999999999995E-2</v>
      </c>
      <c r="GQ62">
        <v>5.6250000000000001E-2</v>
      </c>
      <c r="GR62">
        <v>0</v>
      </c>
      <c r="GS62">
        <v>2.5000000000000001E-2</v>
      </c>
      <c r="GW62">
        <v>0</v>
      </c>
      <c r="GX62">
        <v>0</v>
      </c>
    </row>
    <row r="63" spans="1:226" x14ac:dyDescent="0.3">
      <c r="A63">
        <v>2259796</v>
      </c>
      <c r="B63" t="s">
        <v>312</v>
      </c>
      <c r="D63" t="s">
        <v>239</v>
      </c>
      <c r="E63" s="8">
        <v>100</v>
      </c>
      <c r="F63" s="9">
        <f>E63/SUM($E$3:$E$82)</f>
        <v>1.3025803062487084E-2</v>
      </c>
      <c r="G63">
        <v>51.89</v>
      </c>
      <c r="H63">
        <v>272.88400000000001</v>
      </c>
      <c r="I63">
        <v>1141.746656</v>
      </c>
      <c r="J63">
        <v>3.089</v>
      </c>
      <c r="K63">
        <v>19.707820000000002</v>
      </c>
      <c r="L63">
        <v>19.079999999999998</v>
      </c>
      <c r="M63">
        <v>19.079999999999998</v>
      </c>
      <c r="N63">
        <v>3.7389999999999999</v>
      </c>
      <c r="O63">
        <v>5.5831799999999996</v>
      </c>
      <c r="V63">
        <v>1.6256999999999999</v>
      </c>
      <c r="W63">
        <v>0</v>
      </c>
      <c r="X63">
        <v>0.58630000000000004</v>
      </c>
      <c r="Y63">
        <v>0</v>
      </c>
      <c r="Z63">
        <v>0.61</v>
      </c>
      <c r="AA63">
        <v>0</v>
      </c>
      <c r="AB63">
        <v>0.4294</v>
      </c>
      <c r="AF63">
        <v>371.1</v>
      </c>
      <c r="AG63">
        <v>6.7500000000000004E-2</v>
      </c>
      <c r="AH63">
        <v>17.690000000000001</v>
      </c>
      <c r="AI63">
        <v>327.60000000000002</v>
      </c>
      <c r="AJ63">
        <v>105.3</v>
      </c>
      <c r="AK63">
        <v>1034</v>
      </c>
      <c r="AL63">
        <v>2.3530000000000002</v>
      </c>
      <c r="AM63">
        <v>3.1550000000000002E-2</v>
      </c>
      <c r="AN63">
        <v>2.0029999999999999E-2</v>
      </c>
      <c r="AO63">
        <v>48.44</v>
      </c>
      <c r="AT63">
        <v>5.638E-2</v>
      </c>
      <c r="AU63">
        <v>0.44440000000000002</v>
      </c>
      <c r="AV63">
        <v>0.26440000000000002</v>
      </c>
      <c r="AX63">
        <v>3.8309999999999997E-2</v>
      </c>
      <c r="AY63">
        <v>0.46379999999999999</v>
      </c>
      <c r="BN63">
        <v>146.9</v>
      </c>
      <c r="CO63">
        <v>0</v>
      </c>
      <c r="CP63">
        <v>0</v>
      </c>
      <c r="CQ63">
        <v>0</v>
      </c>
      <c r="CR63">
        <v>0</v>
      </c>
      <c r="CT63">
        <v>1.2</v>
      </c>
      <c r="CU63">
        <v>11.17</v>
      </c>
      <c r="CV63">
        <v>0.40389999999999998</v>
      </c>
      <c r="CX63">
        <v>0.33360000000000001</v>
      </c>
      <c r="DB63">
        <v>0.48099999999999998</v>
      </c>
      <c r="DD63">
        <v>0.54490000000000005</v>
      </c>
      <c r="DF63">
        <v>1.7969999999999999</v>
      </c>
      <c r="DH63">
        <v>5.3129999999999997</v>
      </c>
      <c r="DJ63">
        <v>1.7410000000000001</v>
      </c>
      <c r="DP63">
        <v>4.1840000000000002</v>
      </c>
      <c r="DV63">
        <v>0.28489999999999999</v>
      </c>
      <c r="DZ63">
        <v>3.6629999999999998</v>
      </c>
      <c r="EK63">
        <v>0.4244</v>
      </c>
      <c r="FX63">
        <v>57.52</v>
      </c>
      <c r="GW63">
        <v>0</v>
      </c>
      <c r="GX63">
        <v>4.8</v>
      </c>
    </row>
    <row r="64" spans="1:226" x14ac:dyDescent="0.3">
      <c r="A64">
        <v>2340810</v>
      </c>
      <c r="B64" t="s">
        <v>325</v>
      </c>
      <c r="D64" t="s">
        <v>247</v>
      </c>
      <c r="E64" s="8">
        <v>100</v>
      </c>
      <c r="F64" s="9">
        <f>E64/SUM($E$3:$E$82)</f>
        <v>1.3025803062487084E-2</v>
      </c>
      <c r="G64">
        <v>76.41</v>
      </c>
      <c r="H64">
        <v>104.97</v>
      </c>
      <c r="I64">
        <v>439.19448</v>
      </c>
      <c r="K64">
        <v>8.17</v>
      </c>
      <c r="L64">
        <v>2.57</v>
      </c>
      <c r="M64">
        <v>2.57</v>
      </c>
      <c r="O64">
        <v>12.29</v>
      </c>
      <c r="P64">
        <v>1</v>
      </c>
      <c r="V64">
        <v>11.23</v>
      </c>
      <c r="AF64">
        <v>88</v>
      </c>
      <c r="AG64">
        <v>7.0000000000000007E-2</v>
      </c>
      <c r="AH64">
        <v>10</v>
      </c>
      <c r="AI64">
        <v>109</v>
      </c>
      <c r="AJ64">
        <v>129</v>
      </c>
      <c r="AK64">
        <v>33</v>
      </c>
      <c r="AL64">
        <v>0.41</v>
      </c>
      <c r="AM64">
        <v>1.9E-2</v>
      </c>
      <c r="AP64">
        <v>9.6</v>
      </c>
      <c r="AS64">
        <v>0.7</v>
      </c>
      <c r="AT64">
        <v>3.6999999999999998E-2</v>
      </c>
      <c r="AU64">
        <v>0.23499999999999999</v>
      </c>
      <c r="AV64">
        <v>0.20499999999999999</v>
      </c>
      <c r="AX64">
        <v>4.9000000000000002E-2</v>
      </c>
      <c r="AZ64">
        <v>9</v>
      </c>
      <c r="BA64">
        <v>0</v>
      </c>
      <c r="BB64">
        <v>9</v>
      </c>
      <c r="BC64">
        <v>9</v>
      </c>
      <c r="BD64">
        <v>14</v>
      </c>
      <c r="BK64">
        <v>0.5</v>
      </c>
      <c r="BL64">
        <v>0</v>
      </c>
      <c r="BM64">
        <v>31</v>
      </c>
      <c r="BN64">
        <v>30</v>
      </c>
      <c r="BO64">
        <v>7</v>
      </c>
      <c r="BR64">
        <v>0</v>
      </c>
      <c r="BT64">
        <v>0</v>
      </c>
      <c r="BW64">
        <v>0</v>
      </c>
      <c r="BZ64">
        <v>7</v>
      </c>
      <c r="CF64">
        <v>0.02</v>
      </c>
      <c r="CG64">
        <v>0</v>
      </c>
      <c r="CP64">
        <v>0.9</v>
      </c>
      <c r="CT64">
        <v>0</v>
      </c>
      <c r="CU64">
        <v>1.599</v>
      </c>
      <c r="CV64">
        <v>0.06</v>
      </c>
      <c r="CX64">
        <v>4.5999999999999999E-2</v>
      </c>
      <c r="CZ64">
        <v>3.1E-2</v>
      </c>
      <c r="DB64">
        <v>8.4000000000000005E-2</v>
      </c>
      <c r="DD64">
        <v>8.1000000000000003E-2</v>
      </c>
      <c r="DF64">
        <v>0.254</v>
      </c>
      <c r="DH64">
        <v>0.746</v>
      </c>
      <c r="DJ64">
        <v>0.25</v>
      </c>
      <c r="DP64">
        <v>0.65</v>
      </c>
      <c r="DU64">
        <v>4.2000000000000003E-2</v>
      </c>
      <c r="DY64">
        <v>0.57299999999999995</v>
      </c>
      <c r="EA64">
        <v>5.0000000000000001E-3</v>
      </c>
      <c r="EC64">
        <v>0</v>
      </c>
      <c r="EH64">
        <v>0.113</v>
      </c>
      <c r="EI64">
        <v>9.1999999999999998E-2</v>
      </c>
      <c r="EN64">
        <v>1.0999999999999999E-2</v>
      </c>
      <c r="ER64">
        <v>0</v>
      </c>
      <c r="FA64">
        <v>4.0000000000000001E-3</v>
      </c>
      <c r="FD64">
        <v>0</v>
      </c>
      <c r="FH64">
        <v>2E-3</v>
      </c>
      <c r="FJ64">
        <v>0</v>
      </c>
      <c r="FX64">
        <v>12</v>
      </c>
      <c r="GT64">
        <v>0</v>
      </c>
      <c r="GU64">
        <v>0</v>
      </c>
      <c r="GV64">
        <v>0</v>
      </c>
    </row>
    <row r="65" spans="1:206" x14ac:dyDescent="0.3">
      <c r="A65">
        <v>2345173</v>
      </c>
      <c r="B65" t="s">
        <v>290</v>
      </c>
      <c r="D65" t="s">
        <v>247</v>
      </c>
      <c r="E65" s="8">
        <v>100</v>
      </c>
      <c r="F65" s="9">
        <f>E65/SUM($E$3:$E$82)</f>
        <v>1.3025803062487084E-2</v>
      </c>
      <c r="G65">
        <v>88.29</v>
      </c>
      <c r="H65">
        <v>44.2</v>
      </c>
      <c r="I65">
        <v>184.93279999999999</v>
      </c>
      <c r="K65">
        <v>0.93</v>
      </c>
      <c r="L65">
        <v>0.24</v>
      </c>
      <c r="M65">
        <v>0.24</v>
      </c>
      <c r="O65">
        <v>9.58</v>
      </c>
      <c r="P65">
        <v>2.8</v>
      </c>
      <c r="V65">
        <v>4.74</v>
      </c>
      <c r="AF65">
        <v>33</v>
      </c>
      <c r="AG65">
        <v>0.3</v>
      </c>
      <c r="AH65">
        <v>12</v>
      </c>
      <c r="AI65">
        <v>35</v>
      </c>
      <c r="AJ65">
        <v>320</v>
      </c>
      <c r="AK65">
        <v>69</v>
      </c>
      <c r="AL65">
        <v>0.24</v>
      </c>
      <c r="AM65">
        <v>4.4999999999999998E-2</v>
      </c>
      <c r="AP65">
        <v>0.1</v>
      </c>
      <c r="AS65">
        <v>5.9</v>
      </c>
      <c r="AT65">
        <v>6.6000000000000003E-2</v>
      </c>
      <c r="AU65">
        <v>5.8000000000000003E-2</v>
      </c>
      <c r="AV65">
        <v>0.98299999999999998</v>
      </c>
      <c r="AX65">
        <v>0.13800000000000001</v>
      </c>
      <c r="AZ65">
        <v>19</v>
      </c>
      <c r="BA65">
        <v>0</v>
      </c>
      <c r="BB65">
        <v>19</v>
      </c>
      <c r="BC65">
        <v>19</v>
      </c>
      <c r="BD65">
        <v>8.8000000000000007</v>
      </c>
      <c r="BK65">
        <v>0</v>
      </c>
      <c r="BL65">
        <v>0</v>
      </c>
      <c r="BM65">
        <v>835</v>
      </c>
      <c r="BN65">
        <v>0</v>
      </c>
      <c r="BO65">
        <v>8285</v>
      </c>
      <c r="BR65">
        <v>3477</v>
      </c>
      <c r="BT65">
        <v>0</v>
      </c>
      <c r="BW65">
        <v>1</v>
      </c>
      <c r="BZ65">
        <v>256</v>
      </c>
      <c r="CF65">
        <v>0.66</v>
      </c>
      <c r="CG65">
        <v>0</v>
      </c>
      <c r="CP65">
        <v>0</v>
      </c>
      <c r="CT65">
        <v>13.2</v>
      </c>
      <c r="CU65">
        <v>3.2000000000000001E-2</v>
      </c>
      <c r="CV65">
        <v>0</v>
      </c>
      <c r="CX65">
        <v>0</v>
      </c>
      <c r="CZ65">
        <v>0</v>
      </c>
      <c r="DB65">
        <v>0</v>
      </c>
      <c r="DD65">
        <v>0</v>
      </c>
      <c r="DF65">
        <v>0</v>
      </c>
      <c r="DH65">
        <v>0.03</v>
      </c>
      <c r="DJ65">
        <v>2E-3</v>
      </c>
      <c r="DP65">
        <v>1.2E-2</v>
      </c>
      <c r="DU65">
        <v>2E-3</v>
      </c>
      <c r="DY65">
        <v>1.0999999999999999E-2</v>
      </c>
      <c r="EA65">
        <v>0</v>
      </c>
      <c r="EC65">
        <v>0</v>
      </c>
      <c r="EH65">
        <v>0.10199999999999999</v>
      </c>
      <c r="EI65">
        <v>0.1</v>
      </c>
      <c r="EN65">
        <v>2E-3</v>
      </c>
      <c r="ER65">
        <v>0</v>
      </c>
      <c r="FA65">
        <v>0</v>
      </c>
      <c r="FD65">
        <v>0</v>
      </c>
      <c r="FH65">
        <v>0</v>
      </c>
      <c r="FJ65">
        <v>0</v>
      </c>
      <c r="FX65">
        <v>0</v>
      </c>
      <c r="GT65">
        <v>0</v>
      </c>
      <c r="GU65">
        <v>0</v>
      </c>
      <c r="GV65">
        <v>0</v>
      </c>
    </row>
    <row r="66" spans="1:206" x14ac:dyDescent="0.3">
      <c r="A66">
        <v>2345174</v>
      </c>
      <c r="B66" t="s">
        <v>253</v>
      </c>
      <c r="D66" t="s">
        <v>247</v>
      </c>
      <c r="E66" s="8">
        <v>100</v>
      </c>
      <c r="F66" s="9">
        <f>E66/SUM($E$3:$E$82)</f>
        <v>1.3025803062487084E-2</v>
      </c>
      <c r="G66">
        <v>64.650000000000006</v>
      </c>
      <c r="H66">
        <v>214.79</v>
      </c>
      <c r="I66">
        <v>898.68136000000015</v>
      </c>
      <c r="K66">
        <v>1.25</v>
      </c>
      <c r="L66">
        <v>15.67</v>
      </c>
      <c r="M66">
        <v>15.67</v>
      </c>
      <c r="O66">
        <v>17.190000000000001</v>
      </c>
      <c r="P66">
        <v>2.4</v>
      </c>
      <c r="V66">
        <v>12.04</v>
      </c>
      <c r="AF66">
        <v>32</v>
      </c>
      <c r="AG66">
        <v>0.48</v>
      </c>
      <c r="AH66">
        <v>13</v>
      </c>
      <c r="AI66">
        <v>40</v>
      </c>
      <c r="AJ66">
        <v>308</v>
      </c>
      <c r="AK66">
        <v>178</v>
      </c>
      <c r="AL66">
        <v>0.23</v>
      </c>
      <c r="AM66">
        <v>7.0000000000000007E-2</v>
      </c>
      <c r="AP66">
        <v>0.6</v>
      </c>
      <c r="AS66">
        <v>6.1</v>
      </c>
      <c r="AT66">
        <v>5.8999999999999997E-2</v>
      </c>
      <c r="AU66">
        <v>5.8000000000000003E-2</v>
      </c>
      <c r="AV66">
        <v>0.72</v>
      </c>
      <c r="AX66">
        <v>0.114</v>
      </c>
      <c r="AZ66">
        <v>14</v>
      </c>
      <c r="BA66">
        <v>0</v>
      </c>
      <c r="BB66">
        <v>14</v>
      </c>
      <c r="BC66">
        <v>14</v>
      </c>
      <c r="BD66">
        <v>14.3</v>
      </c>
      <c r="BK66">
        <v>0.02</v>
      </c>
      <c r="BL66">
        <v>0</v>
      </c>
      <c r="BM66">
        <v>521</v>
      </c>
      <c r="BN66">
        <v>3</v>
      </c>
      <c r="BO66">
        <v>5141</v>
      </c>
      <c r="BR66">
        <v>2157</v>
      </c>
      <c r="BT66">
        <v>1</v>
      </c>
      <c r="BW66">
        <v>1</v>
      </c>
      <c r="BZ66">
        <v>162</v>
      </c>
      <c r="CF66">
        <v>1.1100000000000001</v>
      </c>
      <c r="CG66">
        <v>0</v>
      </c>
      <c r="CP66">
        <v>0</v>
      </c>
      <c r="CT66">
        <v>42.4</v>
      </c>
      <c r="CU66">
        <v>2.4540000000000002</v>
      </c>
      <c r="CV66">
        <v>1E-3</v>
      </c>
      <c r="CX66">
        <v>0</v>
      </c>
      <c r="CZ66">
        <v>0</v>
      </c>
      <c r="DB66">
        <v>1E-3</v>
      </c>
      <c r="DD66">
        <v>0</v>
      </c>
      <c r="DF66">
        <v>1.2E-2</v>
      </c>
      <c r="DH66">
        <v>1.6619999999999999</v>
      </c>
      <c r="DJ66">
        <v>0.64400000000000002</v>
      </c>
      <c r="DP66">
        <v>3.4940000000000002</v>
      </c>
      <c r="DU66">
        <v>0.02</v>
      </c>
      <c r="DY66">
        <v>3.4119999999999999</v>
      </c>
      <c r="EA66">
        <v>4.9000000000000002E-2</v>
      </c>
      <c r="EC66">
        <v>5.0000000000000001E-3</v>
      </c>
      <c r="EH66">
        <v>9.3119999999999994</v>
      </c>
      <c r="EI66">
        <v>8.1620000000000008</v>
      </c>
      <c r="EN66">
        <v>1.1319999999999999</v>
      </c>
      <c r="ER66">
        <v>0</v>
      </c>
      <c r="FA66">
        <v>0.01</v>
      </c>
      <c r="FD66">
        <v>0</v>
      </c>
      <c r="FH66">
        <v>0</v>
      </c>
      <c r="FJ66">
        <v>1E-3</v>
      </c>
      <c r="FX66">
        <v>9</v>
      </c>
      <c r="GT66">
        <v>0</v>
      </c>
      <c r="GU66">
        <v>0</v>
      </c>
      <c r="GV66">
        <v>0</v>
      </c>
    </row>
    <row r="67" spans="1:206" x14ac:dyDescent="0.3">
      <c r="A67">
        <v>2345175</v>
      </c>
      <c r="B67" t="s">
        <v>321</v>
      </c>
      <c r="D67" t="s">
        <v>247</v>
      </c>
      <c r="E67" s="8">
        <v>100</v>
      </c>
      <c r="F67" s="9">
        <f>E67/SUM($E$3:$E$82)</f>
        <v>1.3025803062487084E-2</v>
      </c>
      <c r="G67">
        <v>73.989999999999995</v>
      </c>
      <c r="H67">
        <v>179.55</v>
      </c>
      <c r="I67">
        <v>751.23719999999992</v>
      </c>
      <c r="K67">
        <v>0.84</v>
      </c>
      <c r="L67">
        <v>15.95</v>
      </c>
      <c r="M67">
        <v>15.95</v>
      </c>
      <c r="O67">
        <v>8.16</v>
      </c>
      <c r="P67">
        <v>2.1</v>
      </c>
      <c r="V67">
        <v>4.47</v>
      </c>
      <c r="AF67">
        <v>24</v>
      </c>
      <c r="AG67">
        <v>0.26</v>
      </c>
      <c r="AH67">
        <v>9</v>
      </c>
      <c r="AI67">
        <v>28</v>
      </c>
      <c r="AJ67">
        <v>224</v>
      </c>
      <c r="AK67">
        <v>178</v>
      </c>
      <c r="AL67">
        <v>0.19</v>
      </c>
      <c r="AM67">
        <v>3.6999999999999998E-2</v>
      </c>
      <c r="AP67">
        <v>0.6</v>
      </c>
      <c r="AS67">
        <v>6.4</v>
      </c>
      <c r="AT67">
        <v>4.7E-2</v>
      </c>
      <c r="AU67">
        <v>4.4999999999999998E-2</v>
      </c>
      <c r="AV67">
        <v>0.63800000000000001</v>
      </c>
      <c r="AX67">
        <v>9.7000000000000003E-2</v>
      </c>
      <c r="AZ67">
        <v>14</v>
      </c>
      <c r="BA67">
        <v>0</v>
      </c>
      <c r="BB67">
        <v>14</v>
      </c>
      <c r="BC67">
        <v>14</v>
      </c>
      <c r="BD67">
        <v>13.4</v>
      </c>
      <c r="BK67">
        <v>0.02</v>
      </c>
      <c r="BL67">
        <v>0</v>
      </c>
      <c r="BM67">
        <v>532</v>
      </c>
      <c r="BN67">
        <v>3</v>
      </c>
      <c r="BO67">
        <v>5242</v>
      </c>
      <c r="BR67">
        <v>2198</v>
      </c>
      <c r="BT67">
        <v>3</v>
      </c>
      <c r="BW67">
        <v>1</v>
      </c>
      <c r="BZ67">
        <v>168</v>
      </c>
      <c r="CF67">
        <v>1.1399999999999999</v>
      </c>
      <c r="CG67">
        <v>0</v>
      </c>
      <c r="CP67">
        <v>0</v>
      </c>
      <c r="CT67">
        <v>43</v>
      </c>
      <c r="CU67">
        <v>2.4910000000000001</v>
      </c>
      <c r="CV67">
        <v>0</v>
      </c>
      <c r="CX67">
        <v>0</v>
      </c>
      <c r="CZ67">
        <v>0</v>
      </c>
      <c r="DB67">
        <v>1E-3</v>
      </c>
      <c r="DD67">
        <v>0</v>
      </c>
      <c r="DF67">
        <v>1.2E-2</v>
      </c>
      <c r="DH67">
        <v>1.6890000000000001</v>
      </c>
      <c r="DJ67">
        <v>0.65500000000000003</v>
      </c>
      <c r="DP67">
        <v>3.5579999999999998</v>
      </c>
      <c r="DU67">
        <v>0.02</v>
      </c>
      <c r="DY67">
        <v>3.476</v>
      </c>
      <c r="EA67">
        <v>0.05</v>
      </c>
      <c r="EC67">
        <v>5.0000000000000001E-3</v>
      </c>
      <c r="EH67">
        <v>9.4890000000000008</v>
      </c>
      <c r="EI67">
        <v>8.3179999999999996</v>
      </c>
      <c r="EN67">
        <v>1.153</v>
      </c>
      <c r="ER67">
        <v>0</v>
      </c>
      <c r="FA67">
        <v>1.0999999999999999E-2</v>
      </c>
      <c r="FD67">
        <v>0</v>
      </c>
      <c r="FH67">
        <v>0</v>
      </c>
      <c r="FJ67">
        <v>1E-3</v>
      </c>
      <c r="FX67">
        <v>9</v>
      </c>
      <c r="GT67">
        <v>0</v>
      </c>
      <c r="GU67">
        <v>0</v>
      </c>
      <c r="GV67">
        <v>0</v>
      </c>
    </row>
    <row r="68" spans="1:206" x14ac:dyDescent="0.3">
      <c r="A68">
        <v>2345176</v>
      </c>
      <c r="B68" t="s">
        <v>317</v>
      </c>
      <c r="D68" t="s">
        <v>247</v>
      </c>
      <c r="E68" s="8">
        <v>100</v>
      </c>
      <c r="F68" s="9">
        <f>E68/SUM($E$3:$E$82)</f>
        <v>1.3025803062487084E-2</v>
      </c>
      <c r="G68">
        <v>83.56</v>
      </c>
      <c r="H68">
        <v>82.73</v>
      </c>
      <c r="I68">
        <v>346.14231999999998</v>
      </c>
      <c r="K68">
        <v>0.93</v>
      </c>
      <c r="L68">
        <v>4.57</v>
      </c>
      <c r="M68">
        <v>4.57</v>
      </c>
      <c r="O68">
        <v>9.4700000000000006</v>
      </c>
      <c r="P68">
        <v>2.8</v>
      </c>
      <c r="V68">
        <v>4.6900000000000004</v>
      </c>
      <c r="AF68">
        <v>33</v>
      </c>
      <c r="AG68">
        <v>0.3</v>
      </c>
      <c r="AH68">
        <v>12</v>
      </c>
      <c r="AI68">
        <v>35</v>
      </c>
      <c r="AJ68">
        <v>317</v>
      </c>
      <c r="AK68">
        <v>274</v>
      </c>
      <c r="AL68">
        <v>0.24</v>
      </c>
      <c r="AM68">
        <v>4.4999999999999998E-2</v>
      </c>
      <c r="AP68">
        <v>0.1</v>
      </c>
      <c r="AS68">
        <v>5</v>
      </c>
      <c r="AT68">
        <v>5.8999999999999997E-2</v>
      </c>
      <c r="AU68">
        <v>5.5E-2</v>
      </c>
      <c r="AV68">
        <v>0.92200000000000004</v>
      </c>
      <c r="AX68">
        <v>0.15</v>
      </c>
      <c r="AZ68">
        <v>16</v>
      </c>
      <c r="BA68">
        <v>0</v>
      </c>
      <c r="BB68">
        <v>16</v>
      </c>
      <c r="BC68">
        <v>16</v>
      </c>
      <c r="BD68">
        <v>9.1</v>
      </c>
      <c r="BK68">
        <v>0</v>
      </c>
      <c r="BL68">
        <v>0</v>
      </c>
      <c r="BM68">
        <v>803</v>
      </c>
      <c r="BN68">
        <v>19</v>
      </c>
      <c r="BO68">
        <v>7780</v>
      </c>
      <c r="BR68">
        <v>3261</v>
      </c>
      <c r="BT68">
        <v>0</v>
      </c>
      <c r="BW68">
        <v>1</v>
      </c>
      <c r="BZ68">
        <v>240</v>
      </c>
      <c r="CF68">
        <v>1.23</v>
      </c>
      <c r="CG68">
        <v>0</v>
      </c>
      <c r="CP68">
        <v>0</v>
      </c>
      <c r="CT68">
        <v>16.8</v>
      </c>
      <c r="CU68">
        <v>1.171</v>
      </c>
      <c r="CV68">
        <v>0.03</v>
      </c>
      <c r="CX68">
        <v>2.1000000000000001E-2</v>
      </c>
      <c r="CZ68">
        <v>1.2999999999999999E-2</v>
      </c>
      <c r="DB68">
        <v>2.9000000000000001E-2</v>
      </c>
      <c r="DD68">
        <v>3.4000000000000002E-2</v>
      </c>
      <c r="DF68">
        <v>0.109</v>
      </c>
      <c r="DH68">
        <v>0.65600000000000003</v>
      </c>
      <c r="DJ68">
        <v>0.23400000000000001</v>
      </c>
      <c r="DP68">
        <v>1.496</v>
      </c>
      <c r="DU68">
        <v>2.5999999999999999E-2</v>
      </c>
      <c r="DY68">
        <v>1.4379999999999999</v>
      </c>
      <c r="EA68">
        <v>2.1000000000000001E-2</v>
      </c>
      <c r="EC68">
        <v>0</v>
      </c>
      <c r="EH68">
        <v>1.3879999999999999</v>
      </c>
      <c r="EI68">
        <v>1.2390000000000001</v>
      </c>
      <c r="EN68">
        <v>0.14799999999999999</v>
      </c>
      <c r="ER68">
        <v>0</v>
      </c>
      <c r="FA68">
        <v>2E-3</v>
      </c>
      <c r="FD68">
        <v>0</v>
      </c>
      <c r="FH68">
        <v>1E-3</v>
      </c>
      <c r="FJ68">
        <v>0</v>
      </c>
      <c r="FX68">
        <v>3</v>
      </c>
      <c r="GT68">
        <v>0</v>
      </c>
      <c r="GU68">
        <v>0</v>
      </c>
      <c r="GV68">
        <v>0</v>
      </c>
    </row>
    <row r="69" spans="1:206" x14ac:dyDescent="0.3">
      <c r="A69">
        <v>2345180</v>
      </c>
      <c r="B69" t="s">
        <v>246</v>
      </c>
      <c r="D69" t="s">
        <v>247</v>
      </c>
      <c r="E69" s="8">
        <v>100</v>
      </c>
      <c r="F69" s="9">
        <f>E69/SUM($E$3:$E$82)</f>
        <v>1.3025803062487084E-2</v>
      </c>
      <c r="G69">
        <v>84.86</v>
      </c>
      <c r="H69">
        <v>71.83</v>
      </c>
      <c r="I69">
        <v>300.53672</v>
      </c>
      <c r="K69">
        <v>0.94</v>
      </c>
      <c r="L69">
        <v>3.27</v>
      </c>
      <c r="M69">
        <v>3.27</v>
      </c>
      <c r="O69">
        <v>9.66</v>
      </c>
      <c r="P69">
        <v>2.8</v>
      </c>
      <c r="V69">
        <v>4.78</v>
      </c>
      <c r="AF69">
        <v>33</v>
      </c>
      <c r="AG69">
        <v>0.31</v>
      </c>
      <c r="AH69">
        <v>12</v>
      </c>
      <c r="AI69">
        <v>35</v>
      </c>
      <c r="AJ69">
        <v>323</v>
      </c>
      <c r="AK69">
        <v>187</v>
      </c>
      <c r="AL69">
        <v>0.24</v>
      </c>
      <c r="AM69">
        <v>4.4999999999999998E-2</v>
      </c>
      <c r="AP69">
        <v>0.1</v>
      </c>
      <c r="AS69">
        <v>5.0999999999999996</v>
      </c>
      <c r="AT69">
        <v>0.06</v>
      </c>
      <c r="AU69">
        <v>5.6000000000000001E-2</v>
      </c>
      <c r="AV69">
        <v>0.94199999999999995</v>
      </c>
      <c r="AX69">
        <v>0.125</v>
      </c>
      <c r="AZ69">
        <v>16</v>
      </c>
      <c r="BA69">
        <v>0</v>
      </c>
      <c r="BB69">
        <v>16</v>
      </c>
      <c r="BC69">
        <v>16</v>
      </c>
      <c r="BD69">
        <v>8.9</v>
      </c>
      <c r="BK69">
        <v>0</v>
      </c>
      <c r="BL69">
        <v>0</v>
      </c>
      <c r="BM69">
        <v>800</v>
      </c>
      <c r="BN69">
        <v>0</v>
      </c>
      <c r="BO69">
        <v>7937</v>
      </c>
      <c r="BR69">
        <v>3331</v>
      </c>
      <c r="BT69">
        <v>0</v>
      </c>
      <c r="BW69">
        <v>1</v>
      </c>
      <c r="BZ69">
        <v>245</v>
      </c>
      <c r="CF69">
        <v>1.1599999999999999</v>
      </c>
      <c r="CG69">
        <v>0</v>
      </c>
      <c r="CP69">
        <v>0</v>
      </c>
      <c r="CT69">
        <v>16.600000000000001</v>
      </c>
      <c r="CU69">
        <v>0.44600000000000001</v>
      </c>
      <c r="CV69">
        <v>0</v>
      </c>
      <c r="CX69">
        <v>0</v>
      </c>
      <c r="CZ69">
        <v>0</v>
      </c>
      <c r="DB69">
        <v>0</v>
      </c>
      <c r="DD69">
        <v>0</v>
      </c>
      <c r="DF69">
        <v>2E-3</v>
      </c>
      <c r="DH69">
        <v>0.32900000000000001</v>
      </c>
      <c r="DJ69">
        <v>0.09</v>
      </c>
      <c r="DP69">
        <v>1.232</v>
      </c>
      <c r="DU69">
        <v>1.2999999999999999E-2</v>
      </c>
      <c r="DY69">
        <v>1.1970000000000001</v>
      </c>
      <c r="EA69">
        <v>2.1000000000000001E-2</v>
      </c>
      <c r="EC69">
        <v>0</v>
      </c>
      <c r="EH69">
        <v>1.321</v>
      </c>
      <c r="EI69">
        <v>1.175</v>
      </c>
      <c r="EN69">
        <v>0.14399999999999999</v>
      </c>
      <c r="ER69">
        <v>0</v>
      </c>
      <c r="FA69">
        <v>0</v>
      </c>
      <c r="FD69">
        <v>0</v>
      </c>
      <c r="FH69">
        <v>0</v>
      </c>
      <c r="FJ69">
        <v>0</v>
      </c>
      <c r="FX69">
        <v>0</v>
      </c>
      <c r="GT69">
        <v>0</v>
      </c>
      <c r="GU69">
        <v>0</v>
      </c>
      <c r="GV69">
        <v>0</v>
      </c>
    </row>
    <row r="70" spans="1:206" x14ac:dyDescent="0.3">
      <c r="A70">
        <v>2345182</v>
      </c>
      <c r="B70" t="s">
        <v>292</v>
      </c>
      <c r="D70" t="s">
        <v>247</v>
      </c>
      <c r="E70" s="8">
        <v>100</v>
      </c>
      <c r="F70" s="9">
        <f>E70/SUM($E$3:$E$82)</f>
        <v>1.3025803062487084E-2</v>
      </c>
      <c r="G70">
        <v>85.2</v>
      </c>
      <c r="H70">
        <v>68.489999999999995</v>
      </c>
      <c r="I70">
        <v>286.56216000000001</v>
      </c>
      <c r="K70">
        <v>0.95</v>
      </c>
      <c r="L70">
        <v>2.89</v>
      </c>
      <c r="M70">
        <v>2.89</v>
      </c>
      <c r="O70">
        <v>9.67</v>
      </c>
      <c r="P70">
        <v>2.8</v>
      </c>
      <c r="V70">
        <v>4.78</v>
      </c>
      <c r="AF70">
        <v>34</v>
      </c>
      <c r="AG70">
        <v>0.31</v>
      </c>
      <c r="AH70">
        <v>12</v>
      </c>
      <c r="AI70">
        <v>36</v>
      </c>
      <c r="AJ70">
        <v>323</v>
      </c>
      <c r="AK70">
        <v>196</v>
      </c>
      <c r="AL70">
        <v>0.24</v>
      </c>
      <c r="AM70">
        <v>4.4999999999999998E-2</v>
      </c>
      <c r="AP70">
        <v>0.1</v>
      </c>
      <c r="AS70">
        <v>5.0999999999999996</v>
      </c>
      <c r="AT70">
        <v>0.06</v>
      </c>
      <c r="AU70">
        <v>5.6000000000000001E-2</v>
      </c>
      <c r="AV70">
        <v>0.94199999999999995</v>
      </c>
      <c r="AX70">
        <v>0.14199999999999999</v>
      </c>
      <c r="AZ70">
        <v>16</v>
      </c>
      <c r="BA70">
        <v>0</v>
      </c>
      <c r="BB70">
        <v>16</v>
      </c>
      <c r="BC70">
        <v>16</v>
      </c>
      <c r="BD70">
        <v>9.1</v>
      </c>
      <c r="BK70">
        <v>0</v>
      </c>
      <c r="BL70">
        <v>0</v>
      </c>
      <c r="BM70">
        <v>812</v>
      </c>
      <c r="BN70">
        <v>11</v>
      </c>
      <c r="BO70">
        <v>7942</v>
      </c>
      <c r="BR70">
        <v>3331</v>
      </c>
      <c r="BT70">
        <v>0</v>
      </c>
      <c r="BW70">
        <v>1</v>
      </c>
      <c r="BZ70">
        <v>245</v>
      </c>
      <c r="CF70">
        <v>1.02</v>
      </c>
      <c r="CG70">
        <v>0</v>
      </c>
      <c r="CP70">
        <v>0</v>
      </c>
      <c r="CT70">
        <v>15.6</v>
      </c>
      <c r="CU70">
        <v>0.73099999999999998</v>
      </c>
      <c r="CV70">
        <v>1.9E-2</v>
      </c>
      <c r="CX70">
        <v>1.2999999999999999E-2</v>
      </c>
      <c r="CZ70">
        <v>8.0000000000000002E-3</v>
      </c>
      <c r="DB70">
        <v>1.7999999999999999E-2</v>
      </c>
      <c r="DD70">
        <v>2.1000000000000001E-2</v>
      </c>
      <c r="DF70">
        <v>6.6000000000000003E-2</v>
      </c>
      <c r="DH70">
        <v>0.41399999999999998</v>
      </c>
      <c r="DJ70">
        <v>0.14399999999999999</v>
      </c>
      <c r="DP70">
        <v>0.92200000000000004</v>
      </c>
      <c r="DU70">
        <v>1.7000000000000001E-2</v>
      </c>
      <c r="DY70">
        <v>0.88500000000000001</v>
      </c>
      <c r="EA70">
        <v>1.2999999999999999E-2</v>
      </c>
      <c r="EC70">
        <v>0</v>
      </c>
      <c r="EH70">
        <v>0.89100000000000001</v>
      </c>
      <c r="EI70">
        <v>0.8</v>
      </c>
      <c r="EN70">
        <v>9.0999999999999998E-2</v>
      </c>
      <c r="ER70">
        <v>0</v>
      </c>
      <c r="FA70">
        <v>1E-3</v>
      </c>
      <c r="FD70">
        <v>0</v>
      </c>
      <c r="FH70">
        <v>0</v>
      </c>
      <c r="FJ70">
        <v>0</v>
      </c>
      <c r="FX70">
        <v>2</v>
      </c>
      <c r="GT70">
        <v>0</v>
      </c>
      <c r="GU70">
        <v>0</v>
      </c>
      <c r="GV70">
        <v>0</v>
      </c>
    </row>
    <row r="71" spans="1:206" x14ac:dyDescent="0.3">
      <c r="A71">
        <v>2345186</v>
      </c>
      <c r="B71" t="s">
        <v>283</v>
      </c>
      <c r="D71" t="s">
        <v>247</v>
      </c>
      <c r="E71" s="8">
        <v>100</v>
      </c>
      <c r="F71" s="9">
        <f>E71/SUM($E$3:$E$82)</f>
        <v>1.3025803062487084E-2</v>
      </c>
      <c r="G71">
        <v>87.22</v>
      </c>
      <c r="H71">
        <v>64.039999999999992</v>
      </c>
      <c r="I71">
        <v>267.94335999999998</v>
      </c>
      <c r="K71">
        <v>0.78</v>
      </c>
      <c r="L71">
        <v>3.36</v>
      </c>
      <c r="M71">
        <v>3.36</v>
      </c>
      <c r="O71">
        <v>7.67</v>
      </c>
      <c r="P71">
        <v>3.1</v>
      </c>
      <c r="V71">
        <v>4.07</v>
      </c>
      <c r="AF71">
        <v>32</v>
      </c>
      <c r="AG71">
        <v>0.42</v>
      </c>
      <c r="AH71">
        <v>11</v>
      </c>
      <c r="AI71">
        <v>30</v>
      </c>
      <c r="AJ71">
        <v>203</v>
      </c>
      <c r="AK71">
        <v>176</v>
      </c>
      <c r="AL71">
        <v>0.27</v>
      </c>
      <c r="AM71">
        <v>7.6999999999999999E-2</v>
      </c>
      <c r="AP71">
        <v>0.6</v>
      </c>
      <c r="AS71">
        <v>2.1</v>
      </c>
      <c r="AT71">
        <v>3.7999999999999999E-2</v>
      </c>
      <c r="AU71">
        <v>4.4999999999999998E-2</v>
      </c>
      <c r="AV71">
        <v>0.45</v>
      </c>
      <c r="AX71">
        <v>8.5000000000000006E-2</v>
      </c>
      <c r="AZ71">
        <v>7</v>
      </c>
      <c r="BA71">
        <v>0</v>
      </c>
      <c r="BB71">
        <v>7</v>
      </c>
      <c r="BC71">
        <v>7</v>
      </c>
      <c r="BD71">
        <v>8.3000000000000007</v>
      </c>
      <c r="BK71">
        <v>0</v>
      </c>
      <c r="BL71">
        <v>0</v>
      </c>
      <c r="BM71">
        <v>819</v>
      </c>
      <c r="BN71">
        <v>0</v>
      </c>
      <c r="BO71">
        <v>7937</v>
      </c>
      <c r="BR71">
        <v>3597</v>
      </c>
      <c r="BT71">
        <v>0</v>
      </c>
      <c r="BW71">
        <v>0</v>
      </c>
      <c r="BZ71">
        <v>654</v>
      </c>
      <c r="CF71">
        <v>1.1399999999999999</v>
      </c>
      <c r="CG71">
        <v>0</v>
      </c>
      <c r="CP71">
        <v>0</v>
      </c>
      <c r="CT71">
        <v>17.7</v>
      </c>
      <c r="CU71">
        <v>0.39700000000000002</v>
      </c>
      <c r="CV71">
        <v>0</v>
      </c>
      <c r="CX71">
        <v>0</v>
      </c>
      <c r="CZ71">
        <v>0</v>
      </c>
      <c r="DB71">
        <v>0</v>
      </c>
      <c r="DD71">
        <v>0</v>
      </c>
      <c r="DF71">
        <v>1E-3</v>
      </c>
      <c r="DH71">
        <v>0.28699999999999998</v>
      </c>
      <c r="DJ71">
        <v>8.5000000000000006E-2</v>
      </c>
      <c r="DP71">
        <v>1.171</v>
      </c>
      <c r="DU71">
        <v>0.01</v>
      </c>
      <c r="DY71">
        <v>1.139</v>
      </c>
      <c r="EA71">
        <v>0.02</v>
      </c>
      <c r="EC71">
        <v>0</v>
      </c>
      <c r="EH71">
        <v>1.327</v>
      </c>
      <c r="EI71">
        <v>1.1890000000000001</v>
      </c>
      <c r="EN71">
        <v>0.13600000000000001</v>
      </c>
      <c r="ER71">
        <v>0</v>
      </c>
      <c r="FA71">
        <v>0</v>
      </c>
      <c r="FD71">
        <v>0</v>
      </c>
      <c r="FH71">
        <v>0</v>
      </c>
      <c r="FJ71">
        <v>0</v>
      </c>
      <c r="FX71">
        <v>0</v>
      </c>
      <c r="GT71">
        <v>0</v>
      </c>
      <c r="GU71">
        <v>0</v>
      </c>
      <c r="GV71">
        <v>0</v>
      </c>
    </row>
    <row r="72" spans="1:206" x14ac:dyDescent="0.3">
      <c r="A72">
        <v>2345190</v>
      </c>
      <c r="B72" t="s">
        <v>263</v>
      </c>
      <c r="D72" t="s">
        <v>247</v>
      </c>
      <c r="E72" s="8">
        <v>100</v>
      </c>
      <c r="F72" s="9">
        <f>E72/SUM($E$3:$E$82)</f>
        <v>1.3025803062487084E-2</v>
      </c>
      <c r="G72">
        <v>78.489999999999995</v>
      </c>
      <c r="H72">
        <v>94.44</v>
      </c>
      <c r="I72">
        <v>395.13695999999999</v>
      </c>
      <c r="K72">
        <v>0.9</v>
      </c>
      <c r="L72">
        <v>2.68</v>
      </c>
      <c r="M72">
        <v>2.68</v>
      </c>
      <c r="O72">
        <v>16.68</v>
      </c>
      <c r="P72">
        <v>2.6</v>
      </c>
      <c r="V72">
        <v>12.14</v>
      </c>
      <c r="AF72">
        <v>38</v>
      </c>
      <c r="AG72">
        <v>0.34</v>
      </c>
      <c r="AH72">
        <v>12</v>
      </c>
      <c r="AI72">
        <v>33</v>
      </c>
      <c r="AJ72">
        <v>307</v>
      </c>
      <c r="AK72">
        <v>197</v>
      </c>
      <c r="AL72">
        <v>0.23</v>
      </c>
      <c r="AM72">
        <v>4.5999999999999999E-2</v>
      </c>
      <c r="AP72">
        <v>0.2</v>
      </c>
      <c r="AS72">
        <v>4.5999999999999996</v>
      </c>
      <c r="AT72">
        <v>5.5E-2</v>
      </c>
      <c r="AU72">
        <v>5.0999999999999997E-2</v>
      </c>
      <c r="AV72">
        <v>0.872</v>
      </c>
      <c r="AX72">
        <v>0.11799999999999999</v>
      </c>
      <c r="AZ72">
        <v>15</v>
      </c>
      <c r="BA72">
        <v>0</v>
      </c>
      <c r="BB72">
        <v>15</v>
      </c>
      <c r="BC72">
        <v>15</v>
      </c>
      <c r="BD72">
        <v>8.9</v>
      </c>
      <c r="BK72">
        <v>0</v>
      </c>
      <c r="BL72">
        <v>0</v>
      </c>
      <c r="BM72">
        <v>756</v>
      </c>
      <c r="BN72">
        <v>22</v>
      </c>
      <c r="BO72">
        <v>7280</v>
      </c>
      <c r="BR72">
        <v>3053</v>
      </c>
      <c r="BT72">
        <v>0</v>
      </c>
      <c r="BW72">
        <v>1</v>
      </c>
      <c r="BZ72">
        <v>225</v>
      </c>
      <c r="CF72">
        <v>0.61</v>
      </c>
      <c r="CG72">
        <v>0</v>
      </c>
      <c r="CP72">
        <v>0</v>
      </c>
      <c r="CT72">
        <v>12.4</v>
      </c>
      <c r="CU72">
        <v>1.393</v>
      </c>
      <c r="CV72">
        <v>6.0999999999999999E-2</v>
      </c>
      <c r="CX72">
        <v>4.2999999999999997E-2</v>
      </c>
      <c r="CZ72">
        <v>2.5000000000000001E-2</v>
      </c>
      <c r="DB72">
        <v>5.7000000000000002E-2</v>
      </c>
      <c r="DD72">
        <v>6.6000000000000003E-2</v>
      </c>
      <c r="DF72">
        <v>0.214</v>
      </c>
      <c r="DH72">
        <v>0.66200000000000003</v>
      </c>
      <c r="DJ72">
        <v>0.224</v>
      </c>
      <c r="DP72">
        <v>0.51600000000000001</v>
      </c>
      <c r="DU72">
        <v>3.2000000000000001E-2</v>
      </c>
      <c r="DY72">
        <v>0.45800000000000002</v>
      </c>
      <c r="EA72">
        <v>3.0000000000000001E-3</v>
      </c>
      <c r="EC72">
        <v>0</v>
      </c>
      <c r="EH72">
        <v>0.16900000000000001</v>
      </c>
      <c r="EI72">
        <v>0.16</v>
      </c>
      <c r="EN72">
        <v>1.2E-2</v>
      </c>
      <c r="ER72">
        <v>0</v>
      </c>
      <c r="FA72">
        <v>3.0000000000000001E-3</v>
      </c>
      <c r="FD72">
        <v>1E-3</v>
      </c>
      <c r="FH72">
        <v>1E-3</v>
      </c>
      <c r="FJ72">
        <v>0</v>
      </c>
      <c r="FX72">
        <v>7</v>
      </c>
      <c r="GT72">
        <v>0</v>
      </c>
      <c r="GU72">
        <v>0</v>
      </c>
      <c r="GV72">
        <v>0</v>
      </c>
    </row>
    <row r="73" spans="1:206" x14ac:dyDescent="0.3">
      <c r="A73">
        <v>2345196</v>
      </c>
      <c r="B73" t="s">
        <v>270</v>
      </c>
      <c r="D73" t="s">
        <v>247</v>
      </c>
      <c r="E73" s="8">
        <v>100</v>
      </c>
      <c r="F73" s="9">
        <f>E73/SUM($E$3:$E$82)</f>
        <v>1.3025803062487084E-2</v>
      </c>
      <c r="G73">
        <v>88.87</v>
      </c>
      <c r="H73">
        <v>42.27</v>
      </c>
      <c r="I73">
        <v>176.85767999999999</v>
      </c>
      <c r="K73">
        <v>0.95</v>
      </c>
      <c r="L73">
        <v>0.15</v>
      </c>
      <c r="M73">
        <v>0.15</v>
      </c>
      <c r="O73">
        <v>9.2799999999999994</v>
      </c>
      <c r="P73">
        <v>0.8</v>
      </c>
      <c r="V73">
        <v>3.91</v>
      </c>
      <c r="AF73">
        <v>24</v>
      </c>
      <c r="AG73">
        <v>0.46</v>
      </c>
      <c r="AH73">
        <v>14</v>
      </c>
      <c r="AI73">
        <v>42</v>
      </c>
      <c r="AJ73">
        <v>292</v>
      </c>
      <c r="AK73">
        <v>66</v>
      </c>
      <c r="AL73">
        <v>0.18</v>
      </c>
      <c r="AM73">
        <v>4.5999999999999999E-2</v>
      </c>
      <c r="AP73">
        <v>0.6</v>
      </c>
      <c r="AS73">
        <v>8.5</v>
      </c>
      <c r="AT73">
        <v>9.1999999999999998E-2</v>
      </c>
      <c r="AU73">
        <v>5.5E-2</v>
      </c>
      <c r="AV73">
        <v>0.38600000000000001</v>
      </c>
      <c r="AX73">
        <v>0.217</v>
      </c>
      <c r="AZ73">
        <v>4</v>
      </c>
      <c r="BA73">
        <v>0</v>
      </c>
      <c r="BB73">
        <v>4</v>
      </c>
      <c r="BC73">
        <v>4</v>
      </c>
      <c r="BD73">
        <v>9.9</v>
      </c>
      <c r="BK73">
        <v>0</v>
      </c>
      <c r="BL73">
        <v>0</v>
      </c>
      <c r="BM73">
        <v>956</v>
      </c>
      <c r="BN73">
        <v>0</v>
      </c>
      <c r="BO73">
        <v>9303</v>
      </c>
      <c r="BR73">
        <v>4342</v>
      </c>
      <c r="BT73">
        <v>0</v>
      </c>
      <c r="BW73">
        <v>2</v>
      </c>
      <c r="BZ73">
        <v>333</v>
      </c>
      <c r="CF73">
        <v>1.1599999999999999</v>
      </c>
      <c r="CG73">
        <v>0</v>
      </c>
      <c r="CP73">
        <v>0</v>
      </c>
      <c r="CT73">
        <v>15.5</v>
      </c>
      <c r="CU73">
        <v>2.7E-2</v>
      </c>
      <c r="CV73">
        <v>0</v>
      </c>
      <c r="CX73">
        <v>0</v>
      </c>
      <c r="CZ73">
        <v>0</v>
      </c>
      <c r="DB73">
        <v>0</v>
      </c>
      <c r="DD73">
        <v>2E-3</v>
      </c>
      <c r="DF73">
        <v>1E-3</v>
      </c>
      <c r="DH73">
        <v>2.1000000000000001E-2</v>
      </c>
      <c r="DJ73">
        <v>1E-3</v>
      </c>
      <c r="DP73">
        <v>7.0000000000000001E-3</v>
      </c>
      <c r="DU73">
        <v>2E-3</v>
      </c>
      <c r="DY73">
        <v>5.0000000000000001E-3</v>
      </c>
      <c r="EA73">
        <v>0</v>
      </c>
      <c r="EC73">
        <v>0</v>
      </c>
      <c r="EH73">
        <v>7.0999999999999994E-2</v>
      </c>
      <c r="EI73">
        <v>6.0999999999999999E-2</v>
      </c>
      <c r="EN73">
        <v>8.9999999999999993E-3</v>
      </c>
      <c r="ER73">
        <v>0</v>
      </c>
      <c r="FA73">
        <v>0</v>
      </c>
      <c r="FD73">
        <v>0</v>
      </c>
      <c r="FH73">
        <v>0</v>
      </c>
      <c r="FJ73">
        <v>0</v>
      </c>
      <c r="FX73">
        <v>0</v>
      </c>
      <c r="GT73">
        <v>0</v>
      </c>
      <c r="GU73">
        <v>0</v>
      </c>
      <c r="GV73">
        <v>0</v>
      </c>
    </row>
    <row r="74" spans="1:206" x14ac:dyDescent="0.3">
      <c r="A74">
        <v>2346367</v>
      </c>
      <c r="B74" t="s">
        <v>311</v>
      </c>
      <c r="D74" t="s">
        <v>247</v>
      </c>
      <c r="E74" s="8">
        <v>100</v>
      </c>
      <c r="F74" s="9">
        <f>E74/SUM($E$3:$E$82)</f>
        <v>1.3025803062487084E-2</v>
      </c>
      <c r="G74">
        <v>87.8</v>
      </c>
      <c r="H74">
        <v>46.05</v>
      </c>
      <c r="I74">
        <v>192.67320000000001</v>
      </c>
      <c r="K74">
        <v>0.97</v>
      </c>
      <c r="L74">
        <v>0.25</v>
      </c>
      <c r="M74">
        <v>0.25</v>
      </c>
      <c r="O74">
        <v>9.98</v>
      </c>
      <c r="P74">
        <v>2.9</v>
      </c>
      <c r="V74">
        <v>4.9400000000000004</v>
      </c>
      <c r="AF74">
        <v>34</v>
      </c>
      <c r="AG74">
        <v>0.31</v>
      </c>
      <c r="AH74">
        <v>12</v>
      </c>
      <c r="AI74">
        <v>36</v>
      </c>
      <c r="AJ74">
        <v>333</v>
      </c>
      <c r="AK74">
        <v>72</v>
      </c>
      <c r="AL74">
        <v>0.25</v>
      </c>
      <c r="AM74">
        <v>4.7E-2</v>
      </c>
      <c r="AP74">
        <v>0.1</v>
      </c>
      <c r="AS74">
        <v>5.2</v>
      </c>
      <c r="AT74">
        <v>6.2E-2</v>
      </c>
      <c r="AU74">
        <v>5.7000000000000002E-2</v>
      </c>
      <c r="AV74">
        <v>0.97299999999999998</v>
      </c>
      <c r="AX74">
        <v>0.129</v>
      </c>
      <c r="AZ74">
        <v>17</v>
      </c>
      <c r="BA74">
        <v>0</v>
      </c>
      <c r="BB74">
        <v>17</v>
      </c>
      <c r="BC74">
        <v>17</v>
      </c>
      <c r="BD74">
        <v>9.1999999999999993</v>
      </c>
      <c r="BK74">
        <v>0</v>
      </c>
      <c r="BL74">
        <v>0</v>
      </c>
      <c r="BM74">
        <v>826</v>
      </c>
      <c r="BN74">
        <v>0</v>
      </c>
      <c r="BO74">
        <v>8199</v>
      </c>
      <c r="BR74">
        <v>3441</v>
      </c>
      <c r="BT74">
        <v>0</v>
      </c>
      <c r="BW74">
        <v>1</v>
      </c>
      <c r="BZ74">
        <v>253</v>
      </c>
      <c r="CF74">
        <v>0.69</v>
      </c>
      <c r="CG74">
        <v>0</v>
      </c>
      <c r="CP74">
        <v>0</v>
      </c>
      <c r="CT74">
        <v>13.8</v>
      </c>
      <c r="CU74">
        <v>3.3000000000000002E-2</v>
      </c>
      <c r="CV74">
        <v>0</v>
      </c>
      <c r="CX74">
        <v>0</v>
      </c>
      <c r="CZ74">
        <v>0</v>
      </c>
      <c r="DB74">
        <v>0</v>
      </c>
      <c r="DD74">
        <v>0</v>
      </c>
      <c r="DF74">
        <v>0</v>
      </c>
      <c r="DH74">
        <v>3.1E-2</v>
      </c>
      <c r="DJ74">
        <v>2E-3</v>
      </c>
      <c r="DP74">
        <v>1.2E-2</v>
      </c>
      <c r="DU74">
        <v>2E-3</v>
      </c>
      <c r="DY74">
        <v>1.0999999999999999E-2</v>
      </c>
      <c r="EA74">
        <v>0</v>
      </c>
      <c r="EC74">
        <v>0</v>
      </c>
      <c r="EH74">
        <v>0.106</v>
      </c>
      <c r="EI74">
        <v>0.104</v>
      </c>
      <c r="EN74">
        <v>2E-3</v>
      </c>
      <c r="ER74">
        <v>0</v>
      </c>
      <c r="FA74">
        <v>0</v>
      </c>
      <c r="FD74">
        <v>0</v>
      </c>
      <c r="FH74">
        <v>0</v>
      </c>
      <c r="FJ74">
        <v>0</v>
      </c>
      <c r="FX74">
        <v>0</v>
      </c>
      <c r="GT74">
        <v>0</v>
      </c>
      <c r="GU74">
        <v>0</v>
      </c>
      <c r="GV74">
        <v>0</v>
      </c>
    </row>
    <row r="75" spans="1:206" x14ac:dyDescent="0.3">
      <c r="A75">
        <v>2346393</v>
      </c>
      <c r="B75" t="s">
        <v>238</v>
      </c>
      <c r="D75" t="s">
        <v>239</v>
      </c>
      <c r="E75" s="8">
        <v>100</v>
      </c>
      <c r="F75" s="9">
        <f>E75/SUM($E$3:$E$82)</f>
        <v>1.3025803062487084E-2</v>
      </c>
      <c r="G75">
        <v>4.2610000000000001</v>
      </c>
      <c r="H75">
        <v>625.75</v>
      </c>
      <c r="I75">
        <v>2618.1379999999999</v>
      </c>
      <c r="J75">
        <v>4.141</v>
      </c>
      <c r="K75">
        <v>21.450379999999999</v>
      </c>
      <c r="L75">
        <v>51.09</v>
      </c>
      <c r="M75">
        <v>51.09</v>
      </c>
      <c r="N75">
        <v>3.1640000000000001</v>
      </c>
      <c r="O75">
        <v>20.03462</v>
      </c>
      <c r="P75">
        <v>10.78</v>
      </c>
      <c r="AF75">
        <v>253.6</v>
      </c>
      <c r="AG75">
        <v>3.7410000000000001</v>
      </c>
      <c r="AH75">
        <v>257.60000000000002</v>
      </c>
      <c r="AI75">
        <v>502.9</v>
      </c>
      <c r="AJ75">
        <v>732.8</v>
      </c>
      <c r="AK75">
        <v>0</v>
      </c>
      <c r="AL75">
        <v>2.8650000000000002</v>
      </c>
      <c r="AM75">
        <v>0.91039999999999999</v>
      </c>
      <c r="AN75">
        <v>2.149</v>
      </c>
      <c r="AR75">
        <v>45.28</v>
      </c>
      <c r="AT75">
        <v>0.1605</v>
      </c>
      <c r="AV75">
        <v>3.77</v>
      </c>
      <c r="AX75">
        <v>0.1008</v>
      </c>
      <c r="AY75">
        <v>57.01</v>
      </c>
      <c r="CT75">
        <v>0</v>
      </c>
      <c r="CU75">
        <v>3.7850000000000001</v>
      </c>
      <c r="DP75">
        <v>31.314</v>
      </c>
      <c r="EH75">
        <v>11.18</v>
      </c>
      <c r="FZ75">
        <v>0.20799999999999999</v>
      </c>
      <c r="GA75">
        <v>0.60799999999999998</v>
      </c>
      <c r="GB75">
        <v>0.77400000000000002</v>
      </c>
      <c r="GC75">
        <v>1.488</v>
      </c>
      <c r="GD75">
        <v>0.61799999999999999</v>
      </c>
      <c r="GE75">
        <v>0.154</v>
      </c>
      <c r="GG75">
        <v>1.198</v>
      </c>
      <c r="GH75">
        <v>0.63</v>
      </c>
      <c r="GI75">
        <v>0.91600000000000004</v>
      </c>
      <c r="GJ75">
        <v>2.464</v>
      </c>
      <c r="GK75">
        <v>0.54800000000000004</v>
      </c>
      <c r="GL75">
        <v>0.98</v>
      </c>
      <c r="GM75">
        <v>2.4020000000000001</v>
      </c>
      <c r="GN75">
        <v>4.2480000000000002</v>
      </c>
      <c r="GO75">
        <v>1.4339999999999999</v>
      </c>
      <c r="GP75">
        <v>1.3140000000000001</v>
      </c>
      <c r="GQ75">
        <v>0.99</v>
      </c>
      <c r="GR75">
        <v>0</v>
      </c>
      <c r="GS75">
        <v>0.5</v>
      </c>
      <c r="GW75">
        <v>0</v>
      </c>
      <c r="GX75">
        <v>0</v>
      </c>
    </row>
    <row r="76" spans="1:206" x14ac:dyDescent="0.3">
      <c r="A76">
        <v>2512381</v>
      </c>
      <c r="B76" t="s">
        <v>322</v>
      </c>
      <c r="D76" t="s">
        <v>239</v>
      </c>
      <c r="E76" s="8">
        <v>100</v>
      </c>
      <c r="F76" s="9">
        <f>E76/SUM($E$3:$E$82)</f>
        <v>1.3025803062487084E-2</v>
      </c>
      <c r="G76">
        <v>11.19</v>
      </c>
      <c r="H76">
        <v>358.70499999999998</v>
      </c>
      <c r="I76">
        <v>1500.8217199999999</v>
      </c>
      <c r="J76">
        <v>1.1830000000000001</v>
      </c>
      <c r="K76">
        <v>7.0388500000000001</v>
      </c>
      <c r="L76">
        <v>1.0329999999999999</v>
      </c>
      <c r="M76">
        <v>1.0329999999999999</v>
      </c>
      <c r="N76">
        <v>0.42499999999999999</v>
      </c>
      <c r="O76">
        <v>80.313149999999993</v>
      </c>
      <c r="P76">
        <v>0.14879999999999999</v>
      </c>
      <c r="S76">
        <v>2.7709999999999999</v>
      </c>
      <c r="T76">
        <v>1.9339999999999999</v>
      </c>
      <c r="U76">
        <v>0.29630000000000001</v>
      </c>
      <c r="AC76">
        <v>74.36</v>
      </c>
      <c r="AF76">
        <v>4.46</v>
      </c>
      <c r="AG76">
        <v>0.14050000000000001</v>
      </c>
      <c r="AH76">
        <v>26.53</v>
      </c>
      <c r="AI76">
        <v>108.2</v>
      </c>
      <c r="AJ76">
        <v>82.26</v>
      </c>
      <c r="AK76">
        <v>0.46250000000000002</v>
      </c>
      <c r="AL76">
        <v>1.3540000000000001</v>
      </c>
      <c r="AM76">
        <v>0.21379999999999999</v>
      </c>
      <c r="AN76">
        <v>0.98109999999999997</v>
      </c>
      <c r="AP76">
        <v>6.6</v>
      </c>
      <c r="AR76">
        <v>64.180000000000007</v>
      </c>
      <c r="AT76">
        <v>6.5000000000000002E-2</v>
      </c>
      <c r="AU76">
        <v>0.08</v>
      </c>
      <c r="AV76">
        <v>1.4339999999999999</v>
      </c>
      <c r="AX76">
        <v>5.7880000000000001E-2</v>
      </c>
      <c r="AY76">
        <v>0</v>
      </c>
    </row>
    <row r="77" spans="1:206" x14ac:dyDescent="0.3">
      <c r="A77">
        <v>2549992</v>
      </c>
      <c r="B77" t="s">
        <v>272</v>
      </c>
      <c r="C77" t="s">
        <v>273</v>
      </c>
      <c r="D77" t="s">
        <v>251</v>
      </c>
      <c r="E77" s="8">
        <v>100</v>
      </c>
      <c r="F77" s="9">
        <f>E77/SUM($E$3:$E$82)</f>
        <v>1.3025803062487084E-2</v>
      </c>
      <c r="G77">
        <f>100-K77-M77-O77-P77</f>
        <v>89.440000000000012</v>
      </c>
      <c r="H77">
        <v>28.24</v>
      </c>
      <c r="I77">
        <v>118.15616</v>
      </c>
      <c r="K77">
        <v>2.35</v>
      </c>
      <c r="L77">
        <v>0</v>
      </c>
      <c r="M77">
        <v>0</v>
      </c>
      <c r="O77">
        <v>4.71</v>
      </c>
      <c r="P77">
        <v>3.5</v>
      </c>
      <c r="V77">
        <v>1.18</v>
      </c>
      <c r="AF77">
        <v>59</v>
      </c>
      <c r="AG77">
        <v>0.82</v>
      </c>
      <c r="AJ77">
        <v>212</v>
      </c>
      <c r="AK77">
        <v>24</v>
      </c>
      <c r="CO77">
        <v>0</v>
      </c>
      <c r="CU77">
        <v>0</v>
      </c>
      <c r="FK77">
        <v>0</v>
      </c>
      <c r="FX77">
        <v>0</v>
      </c>
    </row>
    <row r="78" spans="1:206" x14ac:dyDescent="0.3">
      <c r="A78">
        <v>2644283</v>
      </c>
      <c r="B78" t="s">
        <v>314</v>
      </c>
      <c r="D78" t="s">
        <v>239</v>
      </c>
      <c r="E78" s="8">
        <v>32.800000000000011</v>
      </c>
      <c r="F78" s="9">
        <f>E78/SUM($E$3:$E$82)</f>
        <v>4.2724634044957648E-3</v>
      </c>
      <c r="G78">
        <v>9.4510000000000005</v>
      </c>
      <c r="H78">
        <v>360.28500000000003</v>
      </c>
      <c r="I78">
        <v>1507.43244</v>
      </c>
      <c r="J78">
        <v>3.7709999999999999</v>
      </c>
      <c r="K78">
        <v>23.568750000000001</v>
      </c>
      <c r="L78">
        <v>1.925</v>
      </c>
      <c r="M78">
        <v>1.925</v>
      </c>
      <c r="N78">
        <v>2.8839999999999999</v>
      </c>
      <c r="O78">
        <v>62.171250000000001</v>
      </c>
      <c r="AC78">
        <v>37.130000000000003</v>
      </c>
      <c r="AD78">
        <v>16</v>
      </c>
      <c r="AF78">
        <v>61.85</v>
      </c>
      <c r="AG78">
        <v>7.1580000000000004</v>
      </c>
      <c r="AH78">
        <v>106.7</v>
      </c>
      <c r="AI78">
        <v>373.6</v>
      </c>
      <c r="AJ78">
        <v>948.9</v>
      </c>
      <c r="AK78">
        <v>0</v>
      </c>
      <c r="AL78">
        <v>3.863</v>
      </c>
      <c r="AM78">
        <v>0.83760000000000001</v>
      </c>
      <c r="AN78">
        <v>1.569</v>
      </c>
    </row>
    <row r="79" spans="1:206" x14ac:dyDescent="0.3">
      <c r="A79">
        <v>2707920</v>
      </c>
      <c r="B79" t="s">
        <v>280</v>
      </c>
      <c r="D79" t="s">
        <v>247</v>
      </c>
      <c r="E79" s="8">
        <v>100</v>
      </c>
      <c r="F79" s="9">
        <f>E79/SUM($E$3:$E$82)</f>
        <v>1.3025803062487084E-2</v>
      </c>
      <c r="G79">
        <v>3.11</v>
      </c>
      <c r="H79">
        <v>476.74</v>
      </c>
      <c r="I79">
        <v>1994.6801599999999</v>
      </c>
      <c r="K79">
        <v>5.21</v>
      </c>
      <c r="L79">
        <v>19.100000000000001</v>
      </c>
      <c r="M79">
        <v>19.100000000000001</v>
      </c>
      <c r="O79">
        <v>71</v>
      </c>
      <c r="P79">
        <v>2.9</v>
      </c>
      <c r="V79">
        <v>40.700000000000003</v>
      </c>
      <c r="AF79">
        <v>21</v>
      </c>
      <c r="AG79">
        <v>12.1</v>
      </c>
      <c r="AH79">
        <v>47</v>
      </c>
      <c r="AI79">
        <v>93</v>
      </c>
      <c r="AJ79">
        <v>234</v>
      </c>
      <c r="AK79">
        <v>388</v>
      </c>
      <c r="AL79">
        <v>0.74</v>
      </c>
      <c r="AM79">
        <v>0.33400000000000002</v>
      </c>
      <c r="AP79">
        <v>5.2</v>
      </c>
      <c r="AS79">
        <v>0</v>
      </c>
      <c r="AT79">
        <v>0.19700000000000001</v>
      </c>
      <c r="AU79">
        <v>0.23799999999999999</v>
      </c>
      <c r="AV79">
        <v>2.6</v>
      </c>
      <c r="AX79">
        <v>2.3E-2</v>
      </c>
      <c r="AZ79">
        <v>61</v>
      </c>
      <c r="BA79">
        <v>58</v>
      </c>
      <c r="BB79">
        <v>3</v>
      </c>
      <c r="BC79">
        <v>102</v>
      </c>
      <c r="BD79">
        <v>19.2</v>
      </c>
      <c r="BK79">
        <v>0</v>
      </c>
      <c r="BL79">
        <v>0</v>
      </c>
      <c r="BM79">
        <v>1</v>
      </c>
      <c r="BN79">
        <v>0</v>
      </c>
      <c r="BO79">
        <v>0</v>
      </c>
      <c r="BR79">
        <v>0</v>
      </c>
      <c r="BT79">
        <v>0</v>
      </c>
      <c r="BW79">
        <v>0</v>
      </c>
      <c r="BZ79">
        <v>4</v>
      </c>
      <c r="CF79">
        <v>2.4700000000000002</v>
      </c>
      <c r="CG79">
        <v>0</v>
      </c>
      <c r="CP79">
        <v>0</v>
      </c>
      <c r="CT79">
        <v>27.4</v>
      </c>
      <c r="CU79">
        <v>5.65</v>
      </c>
      <c r="CV79">
        <v>0</v>
      </c>
      <c r="CX79">
        <v>0</v>
      </c>
      <c r="CZ79">
        <v>3.0000000000000001E-3</v>
      </c>
      <c r="DB79">
        <v>1.0999999999999999E-2</v>
      </c>
      <c r="DD79">
        <v>4.4999999999999998E-2</v>
      </c>
      <c r="DF79">
        <v>0.111</v>
      </c>
      <c r="DH79">
        <v>4.45</v>
      </c>
      <c r="DJ79">
        <v>0.85699999999999998</v>
      </c>
      <c r="DP79">
        <v>9.2799999999999994</v>
      </c>
      <c r="DU79">
        <v>3.5999999999999997E-2</v>
      </c>
      <c r="DY79">
        <v>9.11</v>
      </c>
      <c r="EA79">
        <v>0.12</v>
      </c>
      <c r="EC79">
        <v>3.0000000000000001E-3</v>
      </c>
      <c r="EH79">
        <v>3.56</v>
      </c>
      <c r="EI79">
        <v>3.25</v>
      </c>
      <c r="EN79">
        <v>0.29799999999999999</v>
      </c>
      <c r="ER79">
        <v>0</v>
      </c>
      <c r="FA79">
        <v>4.0000000000000001E-3</v>
      </c>
      <c r="FD79">
        <v>0</v>
      </c>
      <c r="FH79">
        <v>0</v>
      </c>
      <c r="FJ79">
        <v>0</v>
      </c>
      <c r="FX79">
        <v>0</v>
      </c>
      <c r="GT79">
        <v>0</v>
      </c>
      <c r="GU79">
        <v>5</v>
      </c>
      <c r="GV79">
        <v>184</v>
      </c>
    </row>
    <row r="80" spans="1:206" x14ac:dyDescent="0.3">
      <c r="A80">
        <v>2709645</v>
      </c>
      <c r="B80" t="s">
        <v>310</v>
      </c>
      <c r="D80" t="s">
        <v>247</v>
      </c>
      <c r="E80" s="8">
        <v>100</v>
      </c>
      <c r="F80" s="9">
        <f>E80/SUM($E$3:$E$82)</f>
        <v>1.3025803062487084E-2</v>
      </c>
      <c r="G80">
        <v>89.3</v>
      </c>
      <c r="H80">
        <v>39.869999999999997</v>
      </c>
      <c r="I80">
        <v>166.81608</v>
      </c>
      <c r="K80">
        <v>2.67</v>
      </c>
      <c r="L80">
        <v>0.35</v>
      </c>
      <c r="M80">
        <v>0.35</v>
      </c>
      <c r="O80">
        <v>6.51</v>
      </c>
      <c r="P80">
        <v>2.5</v>
      </c>
      <c r="V80">
        <v>1.45</v>
      </c>
      <c r="AF80">
        <v>48</v>
      </c>
      <c r="AG80">
        <v>0.72</v>
      </c>
      <c r="AH80">
        <v>22</v>
      </c>
      <c r="AI80">
        <v>70</v>
      </c>
      <c r="AJ80">
        <v>315</v>
      </c>
      <c r="AK80">
        <v>158</v>
      </c>
      <c r="AL80">
        <v>0.44</v>
      </c>
      <c r="AM80">
        <v>6.0999999999999999E-2</v>
      </c>
      <c r="AP80">
        <v>1.7</v>
      </c>
      <c r="AS80">
        <v>80.599999999999994</v>
      </c>
      <c r="AT80">
        <v>7.1999999999999995E-2</v>
      </c>
      <c r="AU80">
        <v>0.112</v>
      </c>
      <c r="AV80">
        <v>0.63</v>
      </c>
      <c r="AX80">
        <v>0.17899999999999999</v>
      </c>
      <c r="AZ80">
        <v>57</v>
      </c>
      <c r="BA80">
        <v>0</v>
      </c>
      <c r="BB80">
        <v>57</v>
      </c>
      <c r="BC80">
        <v>57</v>
      </c>
      <c r="BD80">
        <v>19.399999999999999</v>
      </c>
      <c r="BK80">
        <v>0</v>
      </c>
      <c r="BL80">
        <v>0</v>
      </c>
      <c r="BM80">
        <v>8</v>
      </c>
      <c r="BN80">
        <v>0</v>
      </c>
      <c r="BO80">
        <v>92</v>
      </c>
      <c r="BR80">
        <v>0</v>
      </c>
      <c r="BT80">
        <v>0</v>
      </c>
      <c r="BW80">
        <v>0</v>
      </c>
      <c r="BZ80">
        <v>735</v>
      </c>
      <c r="CF80">
        <v>0.16</v>
      </c>
      <c r="CG80">
        <v>0</v>
      </c>
      <c r="CP80">
        <v>0</v>
      </c>
      <c r="CT80">
        <v>106</v>
      </c>
      <c r="CU80">
        <v>4.1000000000000002E-2</v>
      </c>
      <c r="CV80">
        <v>0</v>
      </c>
      <c r="CX80">
        <v>0</v>
      </c>
      <c r="CZ80">
        <v>0</v>
      </c>
      <c r="DB80">
        <v>0</v>
      </c>
      <c r="DD80">
        <v>0</v>
      </c>
      <c r="DF80">
        <v>1E-3</v>
      </c>
      <c r="DH80">
        <v>0.03</v>
      </c>
      <c r="DJ80">
        <v>6.0000000000000001E-3</v>
      </c>
      <c r="DP80">
        <v>1.0999999999999999E-2</v>
      </c>
      <c r="DU80">
        <v>0</v>
      </c>
      <c r="DY80">
        <v>0.01</v>
      </c>
      <c r="EA80">
        <v>0</v>
      </c>
      <c r="EC80">
        <v>0</v>
      </c>
      <c r="EH80">
        <v>1.7999999999999999E-2</v>
      </c>
      <c r="EI80">
        <v>1.7999999999999999E-2</v>
      </c>
      <c r="EN80">
        <v>2.1999999999999999E-2</v>
      </c>
      <c r="ER80">
        <v>0</v>
      </c>
      <c r="FA80">
        <v>0</v>
      </c>
      <c r="FD80">
        <v>0</v>
      </c>
      <c r="FH80">
        <v>0</v>
      </c>
      <c r="FJ80">
        <v>0</v>
      </c>
      <c r="FX80">
        <v>0</v>
      </c>
      <c r="GT80">
        <v>0</v>
      </c>
      <c r="GU80">
        <v>0</v>
      </c>
      <c r="GV80">
        <v>0</v>
      </c>
    </row>
    <row r="81" spans="1:226" x14ac:dyDescent="0.3">
      <c r="A81">
        <v>2709646</v>
      </c>
      <c r="B81" t="s">
        <v>289</v>
      </c>
      <c r="D81" t="s">
        <v>247</v>
      </c>
      <c r="E81" s="8">
        <v>100</v>
      </c>
      <c r="F81" s="9">
        <f>E81/SUM($E$3:$E$82)</f>
        <v>1.3025803062487084E-2</v>
      </c>
      <c r="G81">
        <v>90.4</v>
      </c>
      <c r="H81">
        <v>34.76</v>
      </c>
      <c r="I81">
        <v>145.43584000000001</v>
      </c>
      <c r="K81">
        <v>3.09</v>
      </c>
      <c r="L81">
        <v>0.12</v>
      </c>
      <c r="M81">
        <v>0.12</v>
      </c>
      <c r="O81">
        <v>5.33</v>
      </c>
      <c r="P81">
        <v>3</v>
      </c>
      <c r="V81">
        <v>1.47</v>
      </c>
      <c r="AF81">
        <v>33</v>
      </c>
      <c r="AG81">
        <v>0.61</v>
      </c>
      <c r="AH81">
        <v>13</v>
      </c>
      <c r="AI81">
        <v>49</v>
      </c>
      <c r="AJ81">
        <v>142</v>
      </c>
      <c r="AK81">
        <v>127</v>
      </c>
      <c r="AL81">
        <v>0.28000000000000003</v>
      </c>
      <c r="AM81">
        <v>3.4000000000000002E-2</v>
      </c>
      <c r="AP81">
        <v>0.7</v>
      </c>
      <c r="AS81">
        <v>40</v>
      </c>
      <c r="AT81">
        <v>5.5E-2</v>
      </c>
      <c r="AU81">
        <v>8.1000000000000003E-2</v>
      </c>
      <c r="AV81">
        <v>0.45700000000000002</v>
      </c>
      <c r="AX81">
        <v>0.13</v>
      </c>
      <c r="AZ81">
        <v>56</v>
      </c>
      <c r="BA81">
        <v>0</v>
      </c>
      <c r="BB81">
        <v>56</v>
      </c>
      <c r="BC81">
        <v>56</v>
      </c>
      <c r="BD81">
        <v>16.2</v>
      </c>
      <c r="BK81">
        <v>0</v>
      </c>
      <c r="BL81">
        <v>0</v>
      </c>
      <c r="BM81">
        <v>51</v>
      </c>
      <c r="BN81">
        <v>0</v>
      </c>
      <c r="BO81">
        <v>595</v>
      </c>
      <c r="BR81">
        <v>19</v>
      </c>
      <c r="BT81">
        <v>1</v>
      </c>
      <c r="BW81">
        <v>0</v>
      </c>
      <c r="BZ81">
        <v>1090</v>
      </c>
      <c r="CF81">
        <v>1.32</v>
      </c>
      <c r="CG81">
        <v>0</v>
      </c>
      <c r="CP81">
        <v>0</v>
      </c>
      <c r="CT81">
        <v>87.8</v>
      </c>
      <c r="CU81">
        <v>1.7999999999999999E-2</v>
      </c>
      <c r="CV81">
        <v>0</v>
      </c>
      <c r="CX81">
        <v>0</v>
      </c>
      <c r="CZ81">
        <v>0</v>
      </c>
      <c r="DB81">
        <v>0</v>
      </c>
      <c r="DD81">
        <v>0</v>
      </c>
      <c r="DF81">
        <v>0</v>
      </c>
      <c r="DH81">
        <v>1.6E-2</v>
      </c>
      <c r="DJ81">
        <v>2E-3</v>
      </c>
      <c r="DP81">
        <v>8.0000000000000002E-3</v>
      </c>
      <c r="DU81">
        <v>0</v>
      </c>
      <c r="DY81">
        <v>8.0000000000000002E-3</v>
      </c>
      <c r="EA81">
        <v>0</v>
      </c>
      <c r="EC81">
        <v>0</v>
      </c>
      <c r="EH81">
        <v>5.5E-2</v>
      </c>
      <c r="EI81">
        <v>1.2999999999999999E-2</v>
      </c>
      <c r="EN81">
        <v>4.2000000000000003E-2</v>
      </c>
      <c r="ER81">
        <v>0</v>
      </c>
      <c r="FA81">
        <v>0</v>
      </c>
      <c r="FD81">
        <v>0</v>
      </c>
      <c r="FH81">
        <v>0</v>
      </c>
      <c r="FJ81">
        <v>0</v>
      </c>
      <c r="FX81">
        <v>0</v>
      </c>
      <c r="GT81">
        <v>0</v>
      </c>
      <c r="GU81">
        <v>0</v>
      </c>
      <c r="GV81">
        <v>0</v>
      </c>
    </row>
    <row r="82" spans="1:226" x14ac:dyDescent="0.3">
      <c r="A82">
        <v>2720960</v>
      </c>
      <c r="B82" t="s">
        <v>297</v>
      </c>
      <c r="C82" t="s">
        <v>298</v>
      </c>
      <c r="D82" t="s">
        <v>251</v>
      </c>
      <c r="E82" s="8">
        <v>100</v>
      </c>
      <c r="F82" s="9">
        <f>E82/SUM($E$3:$E$82)</f>
        <v>1.3025803062487084E-2</v>
      </c>
      <c r="G82">
        <f>100-K82-M82-O82-P82</f>
        <v>4.2999999999999954</v>
      </c>
      <c r="H82">
        <v>529.20000000000005</v>
      </c>
      <c r="I82">
        <v>2214.1727999999998</v>
      </c>
      <c r="K82">
        <v>4.5</v>
      </c>
      <c r="L82">
        <v>31.2</v>
      </c>
      <c r="M82">
        <v>31.2</v>
      </c>
      <c r="O82">
        <v>57.6</v>
      </c>
      <c r="P82">
        <v>2.4</v>
      </c>
      <c r="V82">
        <v>4.3</v>
      </c>
      <c r="AE82">
        <v>3.2</v>
      </c>
      <c r="AF82">
        <v>9.6999999999999993</v>
      </c>
      <c r="AG82">
        <v>0.6</v>
      </c>
      <c r="AJ82">
        <v>412</v>
      </c>
      <c r="AK82">
        <v>482</v>
      </c>
      <c r="CP82">
        <v>0</v>
      </c>
      <c r="CU82">
        <v>8.6</v>
      </c>
      <c r="FK82">
        <v>0</v>
      </c>
      <c r="FX82">
        <v>0</v>
      </c>
    </row>
    <row r="83" spans="1:226" x14ac:dyDescent="0.3">
      <c r="A83" t="s">
        <v>327</v>
      </c>
      <c r="B83" t="s">
        <v>328</v>
      </c>
      <c r="C83" t="s">
        <v>328</v>
      </c>
      <c r="D83" t="s">
        <v>328</v>
      </c>
      <c r="E83" s="10">
        <f>SUBTOTAL(9,E3:E82)</f>
        <v>7677.0698528361199</v>
      </c>
      <c r="F83" s="11" t="s">
        <v>329</v>
      </c>
      <c r="G83" s="12">
        <f>SUMPRODUCT($F$3:$F$82,$G$3:$G$82)</f>
        <v>67.725626647836933</v>
      </c>
      <c r="H83" s="12">
        <f>SUMPRODUCT($F$3:$F$82,$H$3:$H$82)</f>
        <v>168.96559618868906</v>
      </c>
      <c r="I83" s="12">
        <f>SUMPRODUCT($F$3:$F$82,$I$3:$I$82)</f>
        <v>706.95205445347517</v>
      </c>
      <c r="J83" s="12">
        <f>SUMPRODUCT($F$3:$F$82,$J$3:$J$82)</f>
        <v>0.3274092652773542</v>
      </c>
      <c r="K83" s="12">
        <f>SUMPRODUCT($F$3:$F$82,$K$3:$K$82)</f>
        <v>4.822787138809475</v>
      </c>
      <c r="L83" s="12">
        <f>SUMPRODUCT($F$3:$F$82,$L$3:$L$82)</f>
        <v>8.8942732026127675</v>
      </c>
      <c r="M83" s="12">
        <f>SUMPRODUCT($F$3:$F$82,$M$3:$M$82)</f>
        <v>9.0225513111721423</v>
      </c>
      <c r="N83" s="12">
        <f>SUMPRODUCT($F$3:$F$82,$N$3:$N$82)</f>
        <v>0.75773923009657518</v>
      </c>
      <c r="O83" s="12">
        <f>SUMPRODUCT($F$3:$F$82,$O$3:$O$82)</f>
        <v>17.11787145822548</v>
      </c>
      <c r="P83" s="12">
        <f>SUMPRODUCT($F$3:$F$82,$P$3:$P$82)</f>
        <v>1.9550662280941991</v>
      </c>
      <c r="Q83" s="12">
        <f>SUMPRODUCT($F$3:$F$82,$Q$3:$Q$82)</f>
        <v>0.10980751981676622</v>
      </c>
      <c r="R83" s="12">
        <f>SUMPRODUCT($F$3:$F$82,$R$3:$R$82)</f>
        <v>4.2985150106207376E-2</v>
      </c>
      <c r="S83" s="12">
        <f>SUMPRODUCT($F$3:$F$82,$S$3:$S$82)</f>
        <v>8.7806938444225435E-2</v>
      </c>
      <c r="T83" s="12">
        <f>SUMPRODUCT($F$3:$F$82,$T$3:$T$82)</f>
        <v>2.519190312285002E-2</v>
      </c>
      <c r="U83" s="12">
        <f>SUMPRODUCT($F$3:$F$82,$U$3:$U$82)</f>
        <v>3.8595454474149231E-3</v>
      </c>
      <c r="V83" s="12">
        <f>SUMPRODUCT($F$3:$F$82,$V$3:$V$82)</f>
        <v>6.222399637150521</v>
      </c>
      <c r="W83" s="12">
        <f>SUMPRODUCT($F$3:$F$82,$W$3:$W$82)</f>
        <v>0.34439446090966452</v>
      </c>
      <c r="X83" s="12">
        <f>SUMPRODUCT($F$3:$F$82,$X$3:$X$82)</f>
        <v>0.83904972298170333</v>
      </c>
      <c r="Y83" s="12">
        <f>SUMPRODUCT($F$3:$F$82,$Y$3:$Y$82)</f>
        <v>0.77789184082958496</v>
      </c>
      <c r="Z83" s="12">
        <f>SUMPRODUCT($F$3:$F$82,$Z$3:$Z$82)</f>
        <v>0.32577533459280195</v>
      </c>
      <c r="AA83" s="12">
        <f>SUMPRODUCT($F$3:$F$82,$AA$3:$AA$82)</f>
        <v>8.3638681464229564E-2</v>
      </c>
      <c r="AB83" s="12">
        <f>SUMPRODUCT($F$3:$F$82,$AB$3:$AB$82)</f>
        <v>5.5932798350319538E-3</v>
      </c>
      <c r="AC83" s="12">
        <f>SUMPRODUCT($F$3:$F$82,$AC$3:$AC$82)</f>
        <v>3.233898411231503</v>
      </c>
      <c r="AD83" s="12">
        <f>SUMPRODUCT($F$3:$F$82,$AD$3:$AD$82)</f>
        <v>6.8359414471932237E-2</v>
      </c>
      <c r="AE83" s="12">
        <f>SUMPRODUCT($F$3:$F$82,$AE$3:$AE$82)</f>
        <v>4.1682569799958671E-2</v>
      </c>
      <c r="AF83" s="12">
        <f>SUMPRODUCT($F$3:$F$82,$AF$3:$AF$82)</f>
        <v>64.954513047418743</v>
      </c>
      <c r="AG83" s="12">
        <f>SUMPRODUCT($F$3:$F$82,$AG$3:$AG$82)</f>
        <v>1.0773851448251646</v>
      </c>
      <c r="AH83" s="12">
        <f>SUMPRODUCT($F$3:$F$82,$AH$3:$AH$82)</f>
        <v>25.447487123359046</v>
      </c>
      <c r="AI83" s="12">
        <f>SUMPRODUCT($F$3:$F$82,$AI$3:$AI$82)</f>
        <v>85.885078461685012</v>
      </c>
      <c r="AJ83" s="12">
        <f>SUMPRODUCT($F$3:$F$82,$AJ$3:$AJ$82)</f>
        <v>225.58962308657979</v>
      </c>
      <c r="AK83" s="12">
        <f>SUMPRODUCT($F$3:$F$82,$AK$3:$AK$82)</f>
        <v>155.79182285029171</v>
      </c>
      <c r="AL83" s="12">
        <f>SUMPRODUCT($F$3:$F$82,$AL$3:$AL$82)</f>
        <v>0.51225890738294633</v>
      </c>
      <c r="AM83" s="12">
        <f>SUMPRODUCT($F$3:$F$82,$AM$3:$AM$82)</f>
        <v>0.11629677895377281</v>
      </c>
      <c r="AN83" s="12">
        <f>SUMPRODUCT($F$3:$F$82,$AN$3:$AN$82)</f>
        <v>0.30396443688138508</v>
      </c>
      <c r="AO83" s="12">
        <f>SUMPRODUCT($F$3:$F$82,$AO$3:$AO$82)</f>
        <v>4.1759422038027338</v>
      </c>
      <c r="AP83" s="12">
        <f>SUMPRODUCT($F$3:$F$82,$AP$3:$AP$82)</f>
        <v>4.3767323113479435</v>
      </c>
      <c r="AQ83" s="12">
        <f>SUMPRODUCT($F$3:$F$82,$AQ$3:$AQ$82)</f>
        <v>1.6967750123460845</v>
      </c>
      <c r="AR83" s="12">
        <f>SUMPRODUCT($F$3:$F$82,$AR$3:$AR$82)</f>
        <v>3.4703344519078088</v>
      </c>
      <c r="AS83" s="12">
        <f>SUMPRODUCT($F$3:$F$82,$AS$3:$AS$82)</f>
        <v>11.899557394229621</v>
      </c>
      <c r="AT83" s="12">
        <f>SUMPRODUCT($F$3:$F$82,$AT$3:$AT$82)</f>
        <v>8.1365505152451445E-2</v>
      </c>
      <c r="AU83" s="12">
        <f>SUMPRODUCT($F$3:$F$82,$AU$3:$AU$82)</f>
        <v>0.11939820151495766</v>
      </c>
      <c r="AV83" s="12">
        <f>SUMPRODUCT($F$3:$F$82,$AV$3:$AV$82)</f>
        <v>1.2782873137952011</v>
      </c>
      <c r="AW83" s="12">
        <f>SUMPRODUCT($F$3:$F$82,$AW$3:$AW$82)</f>
        <v>0.19606447453524262</v>
      </c>
      <c r="AX83" s="12">
        <f>SUMPRODUCT($F$3:$F$82,$AX$3:$AX$82)</f>
        <v>0.11487915965848902</v>
      </c>
      <c r="AY83" s="12">
        <f>SUMPRODUCT($F$3:$F$82,$AY$3:$AY$82)</f>
        <v>0.87036852967171197</v>
      </c>
      <c r="AZ83" s="12">
        <f>SUMPRODUCT($F$3:$F$82,$AZ$3:$AZ$82)</f>
        <v>19.111588511311673</v>
      </c>
      <c r="BA83" s="12">
        <f>SUMPRODUCT($F$3:$F$82,$BA$3:$BA$82)</f>
        <v>4.2724634044957632</v>
      </c>
      <c r="BB83" s="12">
        <f>SUMPRODUCT($F$3:$F$82,$BB$3:$BB$82)</f>
        <v>9.7612762989665711</v>
      </c>
      <c r="BC83" s="12">
        <f>SUMPRODUCT($F$3:$F$82,$BC$3:$BC$82)</f>
        <v>17.029674407834364</v>
      </c>
      <c r="BD83" s="12">
        <f>SUMPRODUCT($F$3:$F$82,$BD$3:$BD$82)</f>
        <v>20.749105633640461</v>
      </c>
      <c r="BE83" s="12">
        <f>SUMPRODUCT($F$3:$F$82,$BE$3:$BE$82)</f>
        <v>0.23446445512476752</v>
      </c>
      <c r="BF83" s="12">
        <f>SUMPRODUCT($F$3:$F$82,$BF$3:$BF$82)</f>
        <v>10.846586210132994</v>
      </c>
      <c r="BG83" s="12">
        <f>SUMPRODUCT($F$3:$F$82,$BG$3:$BG$82)</f>
        <v>0.10420642449989669</v>
      </c>
      <c r="BH83" s="12">
        <f>SUMPRODUCT($F$3:$F$82,$BH$3:$BH$82)</f>
        <v>0.58095081658692393</v>
      </c>
      <c r="BI83" s="12">
        <f>SUMPRODUCT($F$3:$F$82,$BI$3:$BI$82)</f>
        <v>0.87338009533975902</v>
      </c>
      <c r="BJ83" s="12">
        <f>SUMPRODUCT($F$3:$F$82,$BJ$3:$BJ$82)</f>
        <v>0.59654270285272115</v>
      </c>
      <c r="BK83" s="12">
        <f>SUMPRODUCT($F$3:$F$82,$BK$3:$BK$82)</f>
        <v>0.25222122985954987</v>
      </c>
      <c r="BL83" s="12">
        <f>SUMPRODUCT($F$3:$F$82,$BL$3:$BL$82)</f>
        <v>0</v>
      </c>
      <c r="BM83" s="12">
        <f>SUMPRODUCT($F$3:$F$82,$BM$3:$BM$82)</f>
        <v>147.96726117847516</v>
      </c>
      <c r="BN83" s="12">
        <f>SUMPRODUCT($F$3:$F$82,$BN$3:$BN$82)</f>
        <v>28.905950350056962</v>
      </c>
      <c r="BO83" s="12">
        <f>SUMPRODUCT($F$3:$F$82,$BO$3:$BO$82)</f>
        <v>1274.8539292046469</v>
      </c>
      <c r="BP83" s="12">
        <f>SUMPRODUCT($F$3:$F$82,$BP$3:$BP$82)</f>
        <v>5.2103212249948336E-2</v>
      </c>
      <c r="BQ83" s="12">
        <f>SUMPRODUCT($F$3:$F$82,$BQ$3:$BQ$82)</f>
        <v>0.11723222756238376</v>
      </c>
      <c r="BR83" s="12">
        <f>SUMPRODUCT($F$3:$F$82,$BR$3:$BR$82)</f>
        <v>421.22056053352634</v>
      </c>
      <c r="BS83" s="12">
        <f>SUMPRODUCT($F$3:$F$82,$BS$3:$BS$82)</f>
        <v>0</v>
      </c>
      <c r="BT83" s="12">
        <f>SUMPRODUCT($F$3:$F$82,$BT$3:$BT$82)</f>
        <v>2.5227072791118732</v>
      </c>
      <c r="BU83" s="12">
        <f>SUMPRODUCT($F$3:$F$82,$BU$3:$BU$82)</f>
        <v>0.42333859953083031</v>
      </c>
      <c r="BV83" s="12">
        <f>SUMPRODUCT($F$3:$F$82,$BV$3:$BV$82)</f>
        <v>527.2716992631324</v>
      </c>
      <c r="BW83" s="12">
        <f>SUMPRODUCT($F$3:$F$82,$BW$3:$BW$82)</f>
        <v>0.207761558846669</v>
      </c>
      <c r="BX83" s="12">
        <f>SUMPRODUCT($F$3:$F$82,$BX$3:$BX$82)</f>
        <v>0</v>
      </c>
      <c r="BY83" s="12">
        <f>SUMPRODUCT($F$3:$F$82,$BY$3:$BY$82)</f>
        <v>0</v>
      </c>
      <c r="BZ83" s="12">
        <f>SUMPRODUCT($F$3:$F$82,$BZ$3:$BZ$82)</f>
        <v>109.79819985467493</v>
      </c>
      <c r="CA83" s="12">
        <f>SUMPRODUCT($F$3:$F$82,$CA$3:$CA$82)</f>
        <v>1.8687533492612409</v>
      </c>
      <c r="CB83" s="12">
        <f>SUMPRODUCT($F$3:$F$82,$CB$3:$CB$82)</f>
        <v>7.5679915793049961</v>
      </c>
      <c r="CC83" s="12">
        <f>SUMPRODUCT($F$3:$F$82,$CC$3:$CC$82)</f>
        <v>7.5648523607669373</v>
      </c>
      <c r="CD83" s="12">
        <f>SUMPRODUCT($F$3:$F$82,$CD$3:$CD$82)</f>
        <v>0</v>
      </c>
      <c r="CE83" s="12">
        <f>SUMPRODUCT($F$3:$F$82,$CE$3:$CE$82)</f>
        <v>0</v>
      </c>
      <c r="CF83" s="12">
        <f>SUMPRODUCT($F$3:$F$82,$CF$3:$CF$82)</f>
        <v>0.77134854575786205</v>
      </c>
      <c r="CG83" s="12">
        <f>SUMPRODUCT($F$3:$F$82,$CG$3:$CG$82)</f>
        <v>0</v>
      </c>
      <c r="CH83" s="12">
        <f>SUMPRODUCT($F$3:$F$82,$CH$3:$CH$82)</f>
        <v>5.3796566648071659E-3</v>
      </c>
      <c r="CI83" s="12">
        <f>SUMPRODUCT($F$3:$F$82,$CI$3:$CI$82)</f>
        <v>0.27368071937287497</v>
      </c>
      <c r="CJ83" s="12">
        <f>SUMPRODUCT($F$3:$F$82,$CJ$3:$CJ$82)</f>
        <v>4.5646755865308912E-2</v>
      </c>
      <c r="CK83" s="12">
        <f>SUMPRODUCT($F$3:$F$82,$CK$3:$CK$82)</f>
        <v>7.1511658813054099E-3</v>
      </c>
      <c r="CL83" s="12">
        <f>SUMPRODUCT($F$3:$F$82,$CL$3:$CL$82)</f>
        <v>1.0420642449989667E-3</v>
      </c>
      <c r="CM83" s="12">
        <f>SUMPRODUCT($F$3:$F$82,$CM$3:$CM$82)</f>
        <v>4.68928910249535E-3</v>
      </c>
      <c r="CN83" s="12">
        <f>SUMPRODUCT($F$3:$F$82,$CN$3:$CN$82)</f>
        <v>3.907740918746125E-5</v>
      </c>
      <c r="CO83" s="12">
        <f>SUMPRODUCT($F$3:$F$82,$CO$3:$CO$82)</f>
        <v>22.403078687171533</v>
      </c>
      <c r="CP83" s="12">
        <f>SUMPRODUCT($F$3:$F$82,$CP$3:$CP$82)</f>
        <v>0.57219747692893264</v>
      </c>
      <c r="CQ83" s="12">
        <f>SUMPRODUCT($F$3:$F$82,$CQ$3:$CQ$82)</f>
        <v>0.12361487106300242</v>
      </c>
      <c r="CR83" s="12">
        <f>SUMPRODUCT($F$3:$F$82,$CR$3:$CR$82)</f>
        <v>0.29357531495787881</v>
      </c>
      <c r="CS83" s="12">
        <f>SUMPRODUCT($F$3:$F$82,$CS$3:$CS$82)</f>
        <v>1.823612428748192E-2</v>
      </c>
      <c r="CT83" s="12">
        <f>SUMPRODUCT($F$3:$F$82,$CT$3:$CT$82)</f>
        <v>12.262048125721215</v>
      </c>
      <c r="CU83" s="12">
        <f>SUMPRODUCT($F$3:$F$82,$CU$3:$CU$82)</f>
        <v>2.3258476661383543</v>
      </c>
      <c r="CV83" s="12">
        <f>SUMPRODUCT($F$3:$F$82,$CV$3:$CV$82)</f>
        <v>5.6096767159270131E-2</v>
      </c>
      <c r="CW83" s="12">
        <f>SUMPRODUCT($F$3:$F$82,$CW$3:$CW$82)</f>
        <v>0</v>
      </c>
      <c r="CX83" s="12">
        <f>SUMPRODUCT($F$3:$F$82,$CX$3:$CX$82)</f>
        <v>3.7287663846675534E-2</v>
      </c>
      <c r="CY83" s="12">
        <f>SUMPRODUCT($F$3:$F$82,$CY$3:$CY$82)</f>
        <v>0</v>
      </c>
      <c r="CZ83" s="12">
        <f>SUMPRODUCT($F$3:$F$82,$CZ$3:$CZ$82)</f>
        <v>2.1948478160290729E-2</v>
      </c>
      <c r="DA83" s="12">
        <f>SUMPRODUCT($F$3:$F$82,$DA$3:$DA$82)</f>
        <v>0</v>
      </c>
      <c r="DB83" s="12">
        <f>SUMPRODUCT($F$3:$F$82,$DB$3:$DB$82)</f>
        <v>5.1115726119781178E-2</v>
      </c>
      <c r="DC83" s="12">
        <f>SUMPRODUCT($F$3:$F$82,$DC$3:$DC$82)</f>
        <v>0</v>
      </c>
      <c r="DD83" s="12">
        <f>SUMPRODUCT($F$3:$F$82,$DD$3:$DD$82)</f>
        <v>6.2970379228920056E-2</v>
      </c>
      <c r="DE83" s="12">
        <f>SUMPRODUCT($F$3:$F$82,$DE$3:$DE$82)</f>
        <v>0</v>
      </c>
      <c r="DF83" s="12">
        <f>SUMPRODUCT($F$3:$F$82,$DF$3:$DF$82)</f>
        <v>0.1752948489198444</v>
      </c>
      <c r="DG83" s="12">
        <f>SUMPRODUCT($F$3:$F$82,$DG$3:$DG$82)</f>
        <v>3.3429160463505601E-3</v>
      </c>
      <c r="DH83" s="12">
        <f>SUMPRODUCT($F$3:$F$82,$DH$3:$DH$82)</f>
        <v>0.87547286427912174</v>
      </c>
      <c r="DI83" s="12">
        <f>SUMPRODUCT($F$3:$F$82,$DI$3:$DI$82)</f>
        <v>1.0839052954028523E-2</v>
      </c>
      <c r="DJ83" s="12">
        <f>SUMPRODUCT($F$3:$F$82,$DJ$3:$DJ$82)</f>
        <v>0.3346581073138909</v>
      </c>
      <c r="DK83" s="12">
        <f>SUMPRODUCT($F$3:$F$82,$DK$3:$DK$82)</f>
        <v>7.1163218581132559E-3</v>
      </c>
      <c r="DL83" s="12">
        <f>SUMPRODUCT($F$3:$F$82,$DL$3:$DL$82)</f>
        <v>1.6282253828108855E-5</v>
      </c>
      <c r="DM83" s="12">
        <f>SUMPRODUCT($F$3:$F$82,$DM$3:$DM$82)</f>
        <v>3.3613084802747916E-3</v>
      </c>
      <c r="DN83" s="12">
        <f>SUMPRODUCT($F$3:$F$82,$DN$3:$DN$82)</f>
        <v>0</v>
      </c>
      <c r="DO83" s="12">
        <f>SUMPRODUCT($F$3:$F$82,$DO$3:$DO$82)</f>
        <v>9.1848845134515176E-4</v>
      </c>
      <c r="DP83" s="12">
        <f>SUMPRODUCT($F$3:$F$82,$DP$3:$DP$82)</f>
        <v>2.989219642377257</v>
      </c>
      <c r="DQ83" s="12">
        <f>SUMPRODUCT($F$3:$F$82,$DQ$3:$DQ$82)</f>
        <v>2.6051606124974168E-5</v>
      </c>
      <c r="DR83" s="12">
        <f>SUMPRODUCT($F$3:$F$82,$DR$3:$DR$82)</f>
        <v>9.1180621437409593E-5</v>
      </c>
      <c r="DS83" s="12">
        <f>SUMPRODUCT($F$3:$F$82,$DS$3:$DS$82)</f>
        <v>2.1101800961229079E-3</v>
      </c>
      <c r="DT83" s="12">
        <f>SUMPRODUCT($F$3:$F$82,$DT$3:$DT$82)</f>
        <v>2.6051606124974168E-5</v>
      </c>
      <c r="DU83" s="12">
        <f>SUMPRODUCT($F$3:$F$82,$DU$3:$DU$82)</f>
        <v>3.6466994834395305E-2</v>
      </c>
      <c r="DV83" s="12">
        <f>SUMPRODUCT($F$3:$F$82,$DV$3:$DV$82)</f>
        <v>3.5399586718571088E-2</v>
      </c>
      <c r="DW83" s="12">
        <f>SUMPRODUCT($F$3:$F$82,$DW$3:$DW$82)</f>
        <v>1.5142496060141235E-3</v>
      </c>
      <c r="DX83" s="12">
        <f>SUMPRODUCT($F$3:$F$82,$DX$3:$DX$82)</f>
        <v>1.2407077417018947E-3</v>
      </c>
      <c r="DY83" s="12">
        <f>SUMPRODUCT($F$3:$F$82,$DY$3:$DY$82)</f>
        <v>1.2985524674257261</v>
      </c>
      <c r="DZ83" s="12">
        <f>SUMPRODUCT($F$3:$F$82,$DZ$3:$DZ$82)</f>
        <v>1.2189244307244362</v>
      </c>
      <c r="EA83" s="12">
        <f>SUMPRODUCT($F$3:$F$82,$EA$3:$EA$82)</f>
        <v>2.355195451728289E-2</v>
      </c>
      <c r="EB83" s="12">
        <f>SUMPRODUCT($F$3:$F$82,$EB$3:$EB$82)</f>
        <v>1.8065225751302085E-3</v>
      </c>
      <c r="EC83" s="12">
        <f>SUMPRODUCT($F$3:$F$82,$EC$3:$EC$82)</f>
        <v>9.2483201743658288E-4</v>
      </c>
      <c r="ED83" s="12">
        <f>SUMPRODUCT($F$3:$F$82,$ED$3:$ED$82)</f>
        <v>6.9036756231181538E-4</v>
      </c>
      <c r="EE83" s="12">
        <f>SUMPRODUCT($F$3:$F$82,$EE$3:$EE$82)</f>
        <v>3.907740918746125E-5</v>
      </c>
      <c r="EF83" s="12">
        <f>SUMPRODUCT($F$3:$F$82,$EF$3:$EF$82)</f>
        <v>0</v>
      </c>
      <c r="EG83" s="12">
        <f>SUMPRODUCT($F$3:$F$82,$EG$3:$EG$82)</f>
        <v>5.3405792556197049E-4</v>
      </c>
      <c r="EH83" s="12">
        <f>SUMPRODUCT($F$3:$F$82,$EH$3:$EH$82)</f>
        <v>2.3586847170139817</v>
      </c>
      <c r="EI83" s="12">
        <f>SUMPRODUCT($F$3:$F$82,$EI$3:$EI$82)</f>
        <v>0.73899227727327021</v>
      </c>
      <c r="EJ83" s="12">
        <f>SUMPRODUCT($F$3:$F$82,$EJ$3:$EJ$82)</f>
        <v>0.29264290192305981</v>
      </c>
      <c r="EK83" s="12">
        <f>SUMPRODUCT($F$3:$F$82,$EK$3:$EK$82)</f>
        <v>0.55483147628602469</v>
      </c>
      <c r="EL83" s="12">
        <f>SUMPRODUCT($F$3:$F$82,$EL$3:$EL$82)</f>
        <v>4.936779360682605E-3</v>
      </c>
      <c r="EM83" s="12">
        <f>SUMPRODUCT($F$3:$F$82,$EM$3:$EM$82)</f>
        <v>3.8556377064961765E-3</v>
      </c>
      <c r="EN83" s="12">
        <f>SUMPRODUCT($F$3:$F$82,$EN$3:$EN$82)</f>
        <v>0.11119429023014203</v>
      </c>
      <c r="EO83" s="12">
        <f>SUMPRODUCT($F$3:$F$82,$EO$3:$EO$82)</f>
        <v>8.3824299157870003E-3</v>
      </c>
      <c r="EP83" s="12">
        <f>SUMPRODUCT($F$3:$F$82,$EP$3:$EP$82)</f>
        <v>6.5187479458514219E-2</v>
      </c>
      <c r="EQ83" s="12">
        <f>SUMPRODUCT($F$3:$F$82,$EQ$3:$EQ$82)</f>
        <v>1.2179125863425425E-3</v>
      </c>
      <c r="ER83" s="12">
        <f>SUMPRODUCT($F$3:$F$82,$ER$3:$ER$82)</f>
        <v>2.6181864155599035E-3</v>
      </c>
      <c r="ES83" s="12">
        <f>SUMPRODUCT($F$3:$F$82,$ES$3:$ES$82)</f>
        <v>3.3378620347623156E-5</v>
      </c>
      <c r="ET83" s="12">
        <f>SUMPRODUCT($F$3:$F$82,$ET$3:$ET$82)</f>
        <v>1.257804108221409E-3</v>
      </c>
      <c r="EU83" s="12">
        <f>SUMPRODUCT($F$3:$F$82,$EU$3:$EU$82)</f>
        <v>5.7313533474943174E-4</v>
      </c>
      <c r="EV83" s="12">
        <f>SUMPRODUCT($F$3:$F$82,$EV$3:$EV$82)</f>
        <v>8.9878041131160875E-4</v>
      </c>
      <c r="EW83" s="12">
        <f>SUMPRODUCT($F$3:$F$82,$EW$3:$EW$82)</f>
        <v>1.4328383368735794E-4</v>
      </c>
      <c r="EX83" s="12">
        <f>SUMPRODUCT($F$3:$F$82,$EX$3:$EX$82)</f>
        <v>1.081141654186428E-3</v>
      </c>
      <c r="EY83" s="12">
        <f>SUMPRODUCT($F$3:$F$82,$EY$3:$EY$82)</f>
        <v>0</v>
      </c>
      <c r="EZ83" s="12">
        <f>SUMPRODUCT($F$3:$F$82,$EZ$3:$EZ$82)</f>
        <v>0</v>
      </c>
      <c r="FA83" s="12">
        <f>SUMPRODUCT($F$3:$F$82,$FA$3:$FA$82)</f>
        <v>2.9959347043720295E-3</v>
      </c>
      <c r="FB83" s="12">
        <f>SUMPRODUCT($F$3:$F$82,$FB$3:$FB$82)</f>
        <v>3.6472248574963832E-4</v>
      </c>
      <c r="FC83" s="12">
        <f>SUMPRODUCT($F$3:$F$82,$FC$3:$FC$82)</f>
        <v>1.0420642449989667E-4</v>
      </c>
      <c r="FD83" s="12">
        <f>SUMPRODUCT($F$3:$F$82,$FD$3:$FD$82)</f>
        <v>1.5031776734110096E-2</v>
      </c>
      <c r="FE83" s="12">
        <f>SUMPRODUCT($F$3:$F$82,$FE$3:$FE$82)</f>
        <v>0</v>
      </c>
      <c r="FF83" s="12">
        <f>SUMPRODUCT($F$3:$F$82,$FF$3:$FF$82)</f>
        <v>1.3025803062487084E-4</v>
      </c>
      <c r="FG83" s="12">
        <f>SUMPRODUCT($F$3:$F$82,$FG$3:$FG$82)</f>
        <v>2.4749025818725462E-4</v>
      </c>
      <c r="FH83" s="12">
        <f>SUMPRODUCT($F$3:$F$82,$FH$3:$FH$82)</f>
        <v>6.1481790454939031E-3</v>
      </c>
      <c r="FI83" s="12">
        <f>SUMPRODUCT($F$3:$F$82,$FI$3:$FI$82)</f>
        <v>0</v>
      </c>
      <c r="FJ83" s="12">
        <f>SUMPRODUCT($F$3:$F$82,$FJ$3:$FJ$82)</f>
        <v>2.2013607175603175E-2</v>
      </c>
      <c r="FK83" s="12">
        <f>SUMPRODUCT($F$3:$F$82,$FK$3:$FK$82)</f>
        <v>5.4623705142539586E-2</v>
      </c>
      <c r="FL83" s="12">
        <f>SUMPRODUCT($F$3:$F$82,$FL$3:$FL$82)</f>
        <v>4.6161003715380011E-2</v>
      </c>
      <c r="FM83" s="12">
        <f>SUMPRODUCT($F$3:$F$82,$FM$3:$FM$82)</f>
        <v>1.1723222756238375E-4</v>
      </c>
      <c r="FN83" s="12">
        <f>SUMPRODUCT($F$3:$F$82,$FN$3:$FN$82)</f>
        <v>6.9036756231181538E-4</v>
      </c>
      <c r="FO83" s="12">
        <f>SUMPRODUCT($F$3:$F$82,$FO$3:$FO$82)</f>
        <v>4.5314326516318344E-2</v>
      </c>
      <c r="FP83" s="12">
        <f>SUMPRODUCT($F$3:$F$82,$FP$3:$FP$82)</f>
        <v>0</v>
      </c>
      <c r="FQ83" s="12">
        <f>SUMPRODUCT($F$3:$F$82,$FQ$3:$FQ$82)</f>
        <v>1.3025803062487084E-5</v>
      </c>
      <c r="FR83" s="12">
        <f>SUMPRODUCT($F$3:$F$82,$FR$3:$FR$82)</f>
        <v>1.4979673521860145E-3</v>
      </c>
      <c r="FS83" s="12">
        <f>SUMPRODUCT($F$3:$F$82,$FS$3:$FS$82)</f>
        <v>3.2206298071999315E-3</v>
      </c>
      <c r="FT83" s="12">
        <f>SUMPRODUCT($F$3:$F$82,$FT$3:$FT$82)</f>
        <v>1.6282253828108855E-5</v>
      </c>
      <c r="FU83" s="12">
        <f>SUMPRODUCT($F$3:$F$82,$FU$3:$FU$82)</f>
        <v>1.4263254353423355E-3</v>
      </c>
      <c r="FV83" s="12">
        <f>SUMPRODUCT($F$3:$F$82,$FV$3:$FV$82)</f>
        <v>7.0013691460868079E-3</v>
      </c>
      <c r="FW83" s="12">
        <f>SUMPRODUCT($F$3:$F$82,$FW$3:$FW$82)</f>
        <v>1.3025803062487084E-5</v>
      </c>
      <c r="FX83" s="12">
        <f>SUMPRODUCT($F$3:$F$82,$FX$3:$FX$82)</f>
        <v>21.584016190602345</v>
      </c>
      <c r="FY83" s="12">
        <f>SUMPRODUCT($F$3:$F$82,$FY$3:$FY$82)</f>
        <v>2.5571388185403809</v>
      </c>
      <c r="FZ83" s="12">
        <f>SUMPRODUCT($F$3:$F$82,$FZ$3:$FZ$82)</f>
        <v>3.4570177392435932E-2</v>
      </c>
      <c r="GA83" s="12">
        <f>SUMPRODUCT($F$3:$F$82,$GA$3:$GA$82)</f>
        <v>0.1170179096826623</v>
      </c>
      <c r="GB83" s="12">
        <f>SUMPRODUCT($F$3:$F$82,$GB$3:$GB$82)</f>
        <v>0.12761592015101952</v>
      </c>
      <c r="GC83" s="12">
        <f>SUMPRODUCT($F$3:$F$82,$GC$3:$GC$82)</f>
        <v>0.22790279367072672</v>
      </c>
      <c r="GD83" s="12">
        <f>SUMPRODUCT($F$3:$F$82,$GD$3:$GD$82)</f>
        <v>0.18902381088325071</v>
      </c>
      <c r="GE83" s="12">
        <f>SUMPRODUCT($F$3:$F$82,$GE$3:$GE$82)</f>
        <v>6.7503619210726826E-2</v>
      </c>
      <c r="GF83" s="12">
        <f>SUMPRODUCT($F$3:$F$82,$GF$3:$GF$82)</f>
        <v>2.3772177427726016E-2</v>
      </c>
      <c r="GG83" s="12">
        <f>SUMPRODUCT($F$3:$F$82,$GG$3:$GG$82)</f>
        <v>0.13481723537411547</v>
      </c>
      <c r="GH83" s="12">
        <f>SUMPRODUCT($F$3:$F$82,$GH$3:$GH$82)</f>
        <v>9.7963764962856179E-2</v>
      </c>
      <c r="GI83" s="12">
        <f>SUMPRODUCT($F$3:$F$82,$GI$3:$GI$82)</f>
        <v>0.15315938969852605</v>
      </c>
      <c r="GJ83" s="12">
        <f>SUMPRODUCT($F$3:$F$82,$GJ$3:$GJ$82)</f>
        <v>0.19441202115873557</v>
      </c>
      <c r="GK83" s="12">
        <f>SUMPRODUCT($F$3:$F$82,$GK$3:$GK$82)</f>
        <v>7.4034235834135348E-2</v>
      </c>
      <c r="GL83" s="12">
        <f>SUMPRODUCT($F$3:$F$82,$GL$3:$GL$82)</f>
        <v>0.144130467467076</v>
      </c>
      <c r="GM83" s="12">
        <f>SUMPRODUCT($F$3:$F$82,$GM$3:$GM$82)</f>
        <v>0.29841645887247664</v>
      </c>
      <c r="GN83" s="12">
        <f>SUMPRODUCT($F$3:$F$82,$GN$3:$GN$82)</f>
        <v>0.50272261952141606</v>
      </c>
      <c r="GO83" s="12">
        <f>SUMPRODUCT($F$3:$F$82,$GO$3:$GO$82)</f>
        <v>0.1289541477383159</v>
      </c>
      <c r="GP83" s="12">
        <f>SUMPRODUCT($F$3:$F$82,$GP$3:$GP$82)</f>
        <v>0.15777182656295274</v>
      </c>
      <c r="GQ83" s="12">
        <f>SUMPRODUCT($F$3:$F$82,$GQ$3:$GQ$82)</f>
        <v>0.14284095638323335</v>
      </c>
      <c r="GR83" s="12">
        <f>SUMPRODUCT($F$3:$F$82,$GR$3:$GR$82)</f>
        <v>1.5891479736234245E-3</v>
      </c>
      <c r="GS83" s="12">
        <f>SUMPRODUCT($F$3:$F$82,$GS$3:$GS$82)</f>
        <v>2.5033248841548929E-2</v>
      </c>
      <c r="GT83" s="12">
        <f>SUMPRODUCT($F$3:$F$82,$GT$3:$GT$82)</f>
        <v>5.0800631943699624E-2</v>
      </c>
      <c r="GU83" s="12">
        <f>SUMPRODUCT($F$3:$F$82,$GU$3:$GU$82)</f>
        <v>6.5129015312435423E-2</v>
      </c>
      <c r="GV83" s="12">
        <f>SUMPRODUCT($F$3:$F$82,$GV$3:$GV$82)</f>
        <v>2.3967477634976233</v>
      </c>
      <c r="GW83" s="12">
        <f>SUMPRODUCT($F$3:$F$82,$GW$3:$GW$82)</f>
        <v>0.21883349144978301</v>
      </c>
      <c r="GX83" s="12">
        <f>SUMPRODUCT($F$3:$F$82,$GX$3:$GX$82)</f>
        <v>0.11462706694988634</v>
      </c>
      <c r="GY83" s="12">
        <f>SUMPRODUCT($F$3:$F$82,$GY$3:$GY$82)</f>
        <v>4.78046972393276E-2</v>
      </c>
      <c r="GZ83" s="12">
        <f>SUMPRODUCT($F$3:$F$82,$GZ$3:$GZ$82)</f>
        <v>0.97954039029902862</v>
      </c>
      <c r="HA83" s="12">
        <f>SUMPRODUCT($F$3:$F$82,$HA$3:$HA$82)</f>
        <v>0</v>
      </c>
      <c r="HB83" s="12">
        <f>SUMPRODUCT($F$3:$F$82,$HB$3:$HB$82)</f>
        <v>1.7656476051201242</v>
      </c>
      <c r="HC83" s="12">
        <f>SUMPRODUCT($F$3:$F$82,$HC$3:$HC$82)</f>
        <v>1.4002738292173615E-3</v>
      </c>
      <c r="HD83" s="12">
        <f>SUMPRODUCT($F$3:$F$82,$HD$3:$HD$82)</f>
        <v>3.6602506605588709E-3</v>
      </c>
      <c r="HE83" s="12">
        <f>SUMPRODUCT($F$3:$F$82,$HE$3:$HE$82)</f>
        <v>6.8385466078057199E-3</v>
      </c>
      <c r="HF83" s="12">
        <f>SUMPRODUCT($F$3:$F$82,$HF$3:$HF$82)</f>
        <v>1.3546835184986568E-2</v>
      </c>
      <c r="HG83" s="12">
        <f>SUMPRODUCT($F$3:$F$82,$HG$3:$HG$82)</f>
        <v>19.04893439858111</v>
      </c>
      <c r="HH83" s="12">
        <f>SUMPRODUCT($F$3:$F$82,$HH$3:$HH$82)</f>
        <v>4.189098264895847</v>
      </c>
      <c r="HI83" s="12">
        <f>SUMPRODUCT($F$3:$F$82,$HI$3:$HI$82)</f>
        <v>0</v>
      </c>
      <c r="HJ83" s="12">
        <f>SUMPRODUCT($F$3:$F$82,$HJ$3:$HJ$82)</f>
        <v>0.16073840979109061</v>
      </c>
      <c r="HK83" s="12">
        <f>SUMPRODUCT($F$3:$F$82,$HK$3:$HK$82)</f>
        <v>9.6918487686435152E-4</v>
      </c>
      <c r="HL83" s="12">
        <f>SUMPRODUCT($F$3:$F$82,$HL$3:$HL$82)</f>
        <v>5.7561023733130427E-3</v>
      </c>
      <c r="HM83" s="12">
        <f>SUMPRODUCT($F$3:$F$82,$HM$3:$HM$82)</f>
        <v>3.4192733039028594E-4</v>
      </c>
      <c r="HN83" s="12">
        <f>SUMPRODUCT($F$3:$F$82,$HN$3:$HN$82)</f>
        <v>7.7659837858547985E-3</v>
      </c>
      <c r="HO83" s="12">
        <f>SUMPRODUCT($F$3:$F$82,$HO$3:$HO$82)</f>
        <v>8.0304075880232861E-3</v>
      </c>
      <c r="HP83" s="12">
        <f>SUMPRODUCT($F$3:$F$82,$HP$3:$HP$82)</f>
        <v>0.27186153571716792</v>
      </c>
      <c r="HQ83" s="12">
        <f>SUMPRODUCT($F$3:$F$82,$HQ$3:$HQ$82)</f>
        <v>0.4366249186545671</v>
      </c>
      <c r="HR83" s="12">
        <f>SUMPRODUCT($F$3:$F$82,$HR$3:$HR$82)</f>
        <v>2.2525521235958912E-2</v>
      </c>
    </row>
  </sheetData>
  <autoFilter ref="A2:HR83" xr:uid="{00000000-0001-0000-0000-000000000000}">
    <sortState xmlns:xlrd2="http://schemas.microsoft.com/office/spreadsheetml/2017/richdata2" ref="A3:HR82">
      <sortCondition ref="A2:A83"/>
    </sortState>
  </autoFilter>
  <mergeCells count="12">
    <mergeCell ref="A1:F1"/>
    <mergeCell ref="AS1:CT1"/>
    <mergeCell ref="AE1:AR1"/>
    <mergeCell ref="GY1:HF1"/>
    <mergeCell ref="HN1:HR1"/>
    <mergeCell ref="G1:N1"/>
    <mergeCell ref="CU1:FY1"/>
    <mergeCell ref="FZ1:GV1"/>
    <mergeCell ref="O1:AD1"/>
    <mergeCell ref="HG1:HJ1"/>
    <mergeCell ref="HK1:HM1"/>
    <mergeCell ref="GW1:G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3"/>
  <sheetViews>
    <sheetView workbookViewId="0"/>
  </sheetViews>
  <sheetFormatPr baseColWidth="10" defaultColWidth="8.88671875" defaultRowHeight="14.4" x14ac:dyDescent="0.3"/>
  <sheetData>
    <row r="1" spans="1:3" x14ac:dyDescent="0.3">
      <c r="A1" s="7" t="s">
        <v>330</v>
      </c>
      <c r="B1" s="7" t="s">
        <v>327</v>
      </c>
      <c r="C1" s="7" t="s">
        <v>331</v>
      </c>
    </row>
    <row r="2" spans="1:3" x14ac:dyDescent="0.3">
      <c r="A2" t="s">
        <v>332</v>
      </c>
      <c r="B2">
        <f>Ingredientes!G83</f>
        <v>67.725626647836933</v>
      </c>
      <c r="C2" t="s">
        <v>333</v>
      </c>
    </row>
    <row r="3" spans="1:3" x14ac:dyDescent="0.3">
      <c r="A3" t="s">
        <v>334</v>
      </c>
      <c r="B3" t="e">
        <f>Ingredientes!#REF!</f>
        <v>#REF!</v>
      </c>
      <c r="C3" t="s">
        <v>335</v>
      </c>
    </row>
    <row r="4" spans="1:3" x14ac:dyDescent="0.3">
      <c r="A4" t="s">
        <v>336</v>
      </c>
      <c r="B4" t="e">
        <f>Ingredientes!#REF!</f>
        <v>#REF!</v>
      </c>
      <c r="C4" t="s">
        <v>335</v>
      </c>
    </row>
    <row r="5" spans="1:3" x14ac:dyDescent="0.3">
      <c r="A5" t="s">
        <v>337</v>
      </c>
      <c r="B5">
        <f>Ingredientes!H83</f>
        <v>168.96559618868906</v>
      </c>
      <c r="C5" t="s">
        <v>335</v>
      </c>
    </row>
    <row r="6" spans="1:3" x14ac:dyDescent="0.3">
      <c r="A6" t="s">
        <v>337</v>
      </c>
      <c r="B6">
        <f>Ingredientes!I83</f>
        <v>706.95205445347517</v>
      </c>
      <c r="C6" t="s">
        <v>338</v>
      </c>
    </row>
    <row r="7" spans="1:3" x14ac:dyDescent="0.3">
      <c r="A7" t="s">
        <v>339</v>
      </c>
      <c r="B7">
        <f>Ingredientes!J83</f>
        <v>0.3274092652773542</v>
      </c>
      <c r="C7" t="s">
        <v>333</v>
      </c>
    </row>
    <row r="8" spans="1:3" x14ac:dyDescent="0.3">
      <c r="A8" t="s">
        <v>340</v>
      </c>
      <c r="B8">
        <f>Ingredientes!K83</f>
        <v>4.822787138809475</v>
      </c>
      <c r="C8" t="s">
        <v>333</v>
      </c>
    </row>
    <row r="9" spans="1:3" x14ac:dyDescent="0.3">
      <c r="A9" t="s">
        <v>341</v>
      </c>
      <c r="B9">
        <f>Ingredientes!L83</f>
        <v>8.8942732026127675</v>
      </c>
      <c r="C9" t="s">
        <v>333</v>
      </c>
    </row>
    <row r="10" spans="1:3" x14ac:dyDescent="0.3">
      <c r="A10" t="s">
        <v>342</v>
      </c>
      <c r="B10">
        <f>Ingredientes!M83</f>
        <v>9.0225513111721423</v>
      </c>
      <c r="C10" t="s">
        <v>333</v>
      </c>
    </row>
    <row r="11" spans="1:3" x14ac:dyDescent="0.3">
      <c r="A11" t="s">
        <v>343</v>
      </c>
      <c r="B11">
        <f>Ingredientes!N83</f>
        <v>0.75773923009657518</v>
      </c>
      <c r="C11" t="s">
        <v>333</v>
      </c>
    </row>
    <row r="12" spans="1:3" x14ac:dyDescent="0.3">
      <c r="A12" t="s">
        <v>344</v>
      </c>
      <c r="B12">
        <f>Ingredientes!O83</f>
        <v>17.11787145822548</v>
      </c>
      <c r="C12" t="s">
        <v>333</v>
      </c>
    </row>
    <row r="13" spans="1:3" x14ac:dyDescent="0.3">
      <c r="A13" t="s">
        <v>345</v>
      </c>
      <c r="B13">
        <f>Ingredientes!P83</f>
        <v>1.9550662280941991</v>
      </c>
      <c r="C13" t="s">
        <v>333</v>
      </c>
    </row>
    <row r="14" spans="1:3" x14ac:dyDescent="0.3">
      <c r="A14" t="s">
        <v>346</v>
      </c>
      <c r="B14">
        <f>Ingredientes!Q83</f>
        <v>0.10980751981676622</v>
      </c>
      <c r="C14" t="s">
        <v>333</v>
      </c>
    </row>
    <row r="15" spans="1:3" x14ac:dyDescent="0.3">
      <c r="A15" t="s">
        <v>347</v>
      </c>
      <c r="B15">
        <f>Ingredientes!R83</f>
        <v>4.2985150106207376E-2</v>
      </c>
      <c r="C15" t="s">
        <v>333</v>
      </c>
    </row>
    <row r="16" spans="1:3" x14ac:dyDescent="0.3">
      <c r="A16" t="s">
        <v>348</v>
      </c>
      <c r="B16">
        <f>Ingredientes!S83</f>
        <v>8.7806938444225435E-2</v>
      </c>
      <c r="C16" t="s">
        <v>333</v>
      </c>
    </row>
    <row r="17" spans="1:3" x14ac:dyDescent="0.3">
      <c r="A17" t="s">
        <v>349</v>
      </c>
      <c r="B17">
        <f>Ingredientes!T83</f>
        <v>2.519190312285002E-2</v>
      </c>
      <c r="C17" t="s">
        <v>333</v>
      </c>
    </row>
    <row r="18" spans="1:3" x14ac:dyDescent="0.3">
      <c r="A18" t="s">
        <v>350</v>
      </c>
      <c r="B18">
        <f>Ingredientes!U83</f>
        <v>3.8595454474149231E-3</v>
      </c>
      <c r="C18" t="s">
        <v>333</v>
      </c>
    </row>
    <row r="19" spans="1:3" x14ac:dyDescent="0.3">
      <c r="A19" t="s">
        <v>351</v>
      </c>
      <c r="B19">
        <f>Ingredientes!V83</f>
        <v>6.222399637150521</v>
      </c>
      <c r="C19" t="s">
        <v>333</v>
      </c>
    </row>
    <row r="20" spans="1:3" x14ac:dyDescent="0.3">
      <c r="A20" t="s">
        <v>352</v>
      </c>
      <c r="B20">
        <f>Ingredientes!W83</f>
        <v>0.34439446090966452</v>
      </c>
      <c r="C20" t="s">
        <v>333</v>
      </c>
    </row>
    <row r="21" spans="1:3" x14ac:dyDescent="0.3">
      <c r="A21" t="s">
        <v>353</v>
      </c>
      <c r="B21">
        <f>Ingredientes!X83</f>
        <v>0.83904972298170333</v>
      </c>
      <c r="C21" t="s">
        <v>333</v>
      </c>
    </row>
    <row r="22" spans="1:3" x14ac:dyDescent="0.3">
      <c r="A22" t="s">
        <v>354</v>
      </c>
      <c r="B22">
        <f>Ingredientes!Y83</f>
        <v>0.77789184082958496</v>
      </c>
      <c r="C22" t="s">
        <v>333</v>
      </c>
    </row>
    <row r="23" spans="1:3" x14ac:dyDescent="0.3">
      <c r="A23" t="s">
        <v>355</v>
      </c>
      <c r="B23">
        <f>Ingredientes!Z83</f>
        <v>0.32577533459280195</v>
      </c>
      <c r="C23" t="s">
        <v>333</v>
      </c>
    </row>
    <row r="24" spans="1:3" x14ac:dyDescent="0.3">
      <c r="A24" t="s">
        <v>356</v>
      </c>
      <c r="B24">
        <f>Ingredientes!AA83</f>
        <v>8.3638681464229564E-2</v>
      </c>
      <c r="C24" t="s">
        <v>333</v>
      </c>
    </row>
    <row r="25" spans="1:3" x14ac:dyDescent="0.3">
      <c r="A25" t="s">
        <v>357</v>
      </c>
      <c r="B25">
        <f>Ingredientes!AB83</f>
        <v>5.5932798350319538E-3</v>
      </c>
      <c r="C25" t="s">
        <v>333</v>
      </c>
    </row>
    <row r="26" spans="1:3" x14ac:dyDescent="0.3">
      <c r="A26" t="s">
        <v>358</v>
      </c>
      <c r="B26">
        <f>Ingredientes!AC83</f>
        <v>3.233898411231503</v>
      </c>
      <c r="C26" t="s">
        <v>333</v>
      </c>
    </row>
    <row r="27" spans="1:3" x14ac:dyDescent="0.3">
      <c r="A27" t="s">
        <v>359</v>
      </c>
      <c r="B27">
        <f>Ingredientes!AD83</f>
        <v>6.8359414471932237E-2</v>
      </c>
      <c r="C27" t="s">
        <v>333</v>
      </c>
    </row>
    <row r="28" spans="1:3" x14ac:dyDescent="0.3">
      <c r="A28" t="s">
        <v>360</v>
      </c>
      <c r="B28">
        <f>Ingredientes!AE83</f>
        <v>4.1682569799958671E-2</v>
      </c>
      <c r="C28" t="s">
        <v>333</v>
      </c>
    </row>
    <row r="29" spans="1:3" x14ac:dyDescent="0.3">
      <c r="A29" t="s">
        <v>361</v>
      </c>
      <c r="B29">
        <f>Ingredientes!AF83</f>
        <v>64.954513047418743</v>
      </c>
      <c r="C29" t="s">
        <v>362</v>
      </c>
    </row>
    <row r="30" spans="1:3" x14ac:dyDescent="0.3">
      <c r="A30" t="s">
        <v>363</v>
      </c>
      <c r="B30">
        <f>Ingredientes!AG83</f>
        <v>1.0773851448251646</v>
      </c>
      <c r="C30" t="s">
        <v>362</v>
      </c>
    </row>
    <row r="31" spans="1:3" x14ac:dyDescent="0.3">
      <c r="A31" t="s">
        <v>364</v>
      </c>
      <c r="B31">
        <f>Ingredientes!AH83</f>
        <v>25.447487123359046</v>
      </c>
      <c r="C31" t="s">
        <v>362</v>
      </c>
    </row>
    <row r="32" spans="1:3" x14ac:dyDescent="0.3">
      <c r="A32" t="s">
        <v>365</v>
      </c>
      <c r="B32">
        <f>Ingredientes!AI83</f>
        <v>85.885078461685012</v>
      </c>
      <c r="C32" t="s">
        <v>362</v>
      </c>
    </row>
    <row r="33" spans="1:3" x14ac:dyDescent="0.3">
      <c r="A33" t="s">
        <v>366</v>
      </c>
      <c r="B33">
        <f>Ingredientes!AJ83</f>
        <v>225.58962308657979</v>
      </c>
      <c r="C33" t="s">
        <v>362</v>
      </c>
    </row>
    <row r="34" spans="1:3" x14ac:dyDescent="0.3">
      <c r="A34" t="s">
        <v>367</v>
      </c>
      <c r="B34">
        <f>Ingredientes!AK83</f>
        <v>155.79182285029171</v>
      </c>
      <c r="C34" t="s">
        <v>362</v>
      </c>
    </row>
    <row r="35" spans="1:3" x14ac:dyDescent="0.3">
      <c r="A35" t="s">
        <v>368</v>
      </c>
      <c r="B35">
        <f>Ingredientes!AL83</f>
        <v>0.51225890738294633</v>
      </c>
      <c r="C35" t="s">
        <v>362</v>
      </c>
    </row>
    <row r="36" spans="1:3" x14ac:dyDescent="0.3">
      <c r="A36" t="s">
        <v>369</v>
      </c>
      <c r="B36">
        <f>Ingredientes!AM83</f>
        <v>0.11629677895377281</v>
      </c>
      <c r="C36" t="s">
        <v>362</v>
      </c>
    </row>
    <row r="37" spans="1:3" x14ac:dyDescent="0.3">
      <c r="A37" t="s">
        <v>370</v>
      </c>
      <c r="B37">
        <f>Ingredientes!AN83</f>
        <v>0.30396443688138508</v>
      </c>
      <c r="C37" t="s">
        <v>362</v>
      </c>
    </row>
    <row r="38" spans="1:3" x14ac:dyDescent="0.3">
      <c r="A38" t="s">
        <v>371</v>
      </c>
      <c r="B38">
        <f>Ingredientes!AO83</f>
        <v>4.1759422038027338</v>
      </c>
      <c r="C38" t="s">
        <v>372</v>
      </c>
    </row>
    <row r="39" spans="1:3" x14ac:dyDescent="0.3">
      <c r="A39" t="s">
        <v>373</v>
      </c>
      <c r="B39">
        <f>Ingredientes!AP83</f>
        <v>4.3767323113479435</v>
      </c>
      <c r="C39" t="s">
        <v>372</v>
      </c>
    </row>
    <row r="40" spans="1:3" x14ac:dyDescent="0.3">
      <c r="A40" t="s">
        <v>374</v>
      </c>
      <c r="B40">
        <f>Ingredientes!AQ83</f>
        <v>1.6967750123460845</v>
      </c>
      <c r="C40" t="s">
        <v>372</v>
      </c>
    </row>
    <row r="41" spans="1:3" x14ac:dyDescent="0.3">
      <c r="A41" t="s">
        <v>375</v>
      </c>
      <c r="B41">
        <f>Ingredientes!AR83</f>
        <v>3.4703344519078088</v>
      </c>
      <c r="C41" t="s">
        <v>372</v>
      </c>
    </row>
    <row r="42" spans="1:3" x14ac:dyDescent="0.3">
      <c r="A42" t="s">
        <v>376</v>
      </c>
      <c r="B42">
        <f>Ingredientes!AS83</f>
        <v>11.899557394229621</v>
      </c>
      <c r="C42" t="s">
        <v>362</v>
      </c>
    </row>
    <row r="43" spans="1:3" x14ac:dyDescent="0.3">
      <c r="A43" t="s">
        <v>377</v>
      </c>
      <c r="B43">
        <f>Ingredientes!AT83</f>
        <v>8.1365505152451445E-2</v>
      </c>
      <c r="C43" t="s">
        <v>362</v>
      </c>
    </row>
    <row r="44" spans="1:3" x14ac:dyDescent="0.3">
      <c r="A44" t="s">
        <v>378</v>
      </c>
      <c r="B44">
        <f>Ingredientes!AU83</f>
        <v>0.11939820151495766</v>
      </c>
      <c r="C44" t="s">
        <v>362</v>
      </c>
    </row>
    <row r="45" spans="1:3" x14ac:dyDescent="0.3">
      <c r="A45" t="s">
        <v>379</v>
      </c>
      <c r="B45">
        <f>Ingredientes!AV83</f>
        <v>1.2782873137952011</v>
      </c>
      <c r="C45" t="s">
        <v>362</v>
      </c>
    </row>
    <row r="46" spans="1:3" x14ac:dyDescent="0.3">
      <c r="A46" t="s">
        <v>380</v>
      </c>
      <c r="B46">
        <f>Ingredientes!AW83</f>
        <v>0.19606447453524262</v>
      </c>
      <c r="C46" t="s">
        <v>362</v>
      </c>
    </row>
    <row r="47" spans="1:3" x14ac:dyDescent="0.3">
      <c r="A47" t="s">
        <v>381</v>
      </c>
      <c r="B47">
        <f>Ingredientes!AX83</f>
        <v>0.11487915965848902</v>
      </c>
      <c r="C47" t="s">
        <v>362</v>
      </c>
    </row>
    <row r="48" spans="1:3" x14ac:dyDescent="0.3">
      <c r="A48" t="s">
        <v>382</v>
      </c>
      <c r="B48">
        <f>Ingredientes!AY83</f>
        <v>0.87036852967171197</v>
      </c>
      <c r="C48" t="s">
        <v>372</v>
      </c>
    </row>
    <row r="49" spans="1:3" x14ac:dyDescent="0.3">
      <c r="A49" t="s">
        <v>383</v>
      </c>
      <c r="B49">
        <f>Ingredientes!AZ83</f>
        <v>19.111588511311673</v>
      </c>
      <c r="C49" t="s">
        <v>372</v>
      </c>
    </row>
    <row r="50" spans="1:3" x14ac:dyDescent="0.3">
      <c r="A50" t="s">
        <v>384</v>
      </c>
      <c r="B50">
        <f>Ingredientes!BA83</f>
        <v>4.2724634044957632</v>
      </c>
      <c r="C50" t="s">
        <v>372</v>
      </c>
    </row>
    <row r="51" spans="1:3" x14ac:dyDescent="0.3">
      <c r="A51" t="s">
        <v>385</v>
      </c>
      <c r="B51">
        <f>Ingredientes!BB83</f>
        <v>9.7612762989665711</v>
      </c>
      <c r="C51" t="s">
        <v>372</v>
      </c>
    </row>
    <row r="52" spans="1:3" x14ac:dyDescent="0.3">
      <c r="A52" t="s">
        <v>386</v>
      </c>
      <c r="B52">
        <f>Ingredientes!BC83</f>
        <v>17.029674407834364</v>
      </c>
      <c r="C52" t="s">
        <v>372</v>
      </c>
    </row>
    <row r="53" spans="1:3" x14ac:dyDescent="0.3">
      <c r="A53" t="s">
        <v>387</v>
      </c>
      <c r="B53">
        <f>Ingredientes!BD83</f>
        <v>20.749105633640461</v>
      </c>
      <c r="C53" t="s">
        <v>362</v>
      </c>
    </row>
    <row r="54" spans="1:3" x14ac:dyDescent="0.3">
      <c r="A54" t="s">
        <v>388</v>
      </c>
      <c r="B54">
        <f>Ingredientes!BE83</f>
        <v>0.23446445512476752</v>
      </c>
      <c r="C54" t="s">
        <v>362</v>
      </c>
    </row>
    <row r="55" spans="1:3" x14ac:dyDescent="0.3">
      <c r="A55" t="s">
        <v>389</v>
      </c>
      <c r="B55">
        <f>Ingredientes!BF83</f>
        <v>10.846586210132994</v>
      </c>
      <c r="C55" t="s">
        <v>362</v>
      </c>
    </row>
    <row r="56" spans="1:3" x14ac:dyDescent="0.3">
      <c r="A56" t="s">
        <v>390</v>
      </c>
      <c r="B56">
        <f>Ingredientes!BG83</f>
        <v>0.10420642449989669</v>
      </c>
      <c r="C56" t="s">
        <v>362</v>
      </c>
    </row>
    <row r="57" spans="1:3" x14ac:dyDescent="0.3">
      <c r="A57" t="s">
        <v>391</v>
      </c>
      <c r="B57">
        <f>Ingredientes!BH83</f>
        <v>0.58095081658692393</v>
      </c>
      <c r="C57" t="s">
        <v>362</v>
      </c>
    </row>
    <row r="58" spans="1:3" x14ac:dyDescent="0.3">
      <c r="A58" t="s">
        <v>392</v>
      </c>
      <c r="B58">
        <f>Ingredientes!BI83</f>
        <v>0.87338009533975902</v>
      </c>
      <c r="C58" t="s">
        <v>362</v>
      </c>
    </row>
    <row r="59" spans="1:3" x14ac:dyDescent="0.3">
      <c r="A59" t="s">
        <v>393</v>
      </c>
      <c r="B59">
        <f>Ingredientes!BJ83</f>
        <v>0.59654270285272115</v>
      </c>
      <c r="C59" t="s">
        <v>362</v>
      </c>
    </row>
    <row r="60" spans="1:3" x14ac:dyDescent="0.3">
      <c r="A60" t="s">
        <v>394</v>
      </c>
      <c r="B60">
        <f>Ingredientes!BK83</f>
        <v>0.25222122985954987</v>
      </c>
      <c r="C60" t="s">
        <v>372</v>
      </c>
    </row>
    <row r="61" spans="1:3" x14ac:dyDescent="0.3">
      <c r="A61" t="s">
        <v>395</v>
      </c>
      <c r="B61">
        <f>Ingredientes!BL83</f>
        <v>0</v>
      </c>
      <c r="C61" t="s">
        <v>372</v>
      </c>
    </row>
    <row r="62" spans="1:3" x14ac:dyDescent="0.3">
      <c r="A62" t="s">
        <v>396</v>
      </c>
      <c r="B62">
        <f>Ingredientes!BM83</f>
        <v>147.96726117847516</v>
      </c>
      <c r="C62" t="s">
        <v>372</v>
      </c>
    </row>
    <row r="63" spans="1:3" x14ac:dyDescent="0.3">
      <c r="A63" t="s">
        <v>397</v>
      </c>
      <c r="B63">
        <f>Ingredientes!BN83</f>
        <v>28.905950350056962</v>
      </c>
      <c r="C63" t="s">
        <v>372</v>
      </c>
    </row>
    <row r="64" spans="1:3" x14ac:dyDescent="0.3">
      <c r="A64" t="s">
        <v>398</v>
      </c>
      <c r="B64">
        <f>Ingredientes!BO83</f>
        <v>1274.8539292046469</v>
      </c>
      <c r="C64" t="s">
        <v>372</v>
      </c>
    </row>
    <row r="65" spans="1:3" x14ac:dyDescent="0.3">
      <c r="A65" t="s">
        <v>399</v>
      </c>
      <c r="B65">
        <f>Ingredientes!BP83</f>
        <v>5.2103212249948336E-2</v>
      </c>
      <c r="C65" t="s">
        <v>372</v>
      </c>
    </row>
    <row r="66" spans="1:3" x14ac:dyDescent="0.3">
      <c r="A66" t="s">
        <v>400</v>
      </c>
      <c r="B66">
        <f>Ingredientes!BQ83</f>
        <v>0.11723222756238376</v>
      </c>
      <c r="C66" t="s">
        <v>372</v>
      </c>
    </row>
    <row r="67" spans="1:3" x14ac:dyDescent="0.3">
      <c r="A67" t="s">
        <v>401</v>
      </c>
      <c r="B67">
        <f>Ingredientes!BR83</f>
        <v>421.22056053352634</v>
      </c>
      <c r="C67" t="s">
        <v>372</v>
      </c>
    </row>
    <row r="68" spans="1:3" x14ac:dyDescent="0.3">
      <c r="A68" t="s">
        <v>402</v>
      </c>
      <c r="B68">
        <f>Ingredientes!BS83</f>
        <v>0</v>
      </c>
      <c r="C68" t="s">
        <v>372</v>
      </c>
    </row>
    <row r="69" spans="1:3" x14ac:dyDescent="0.3">
      <c r="A69" t="s">
        <v>403</v>
      </c>
      <c r="B69">
        <f>Ingredientes!BT83</f>
        <v>2.5227072791118732</v>
      </c>
      <c r="C69" t="s">
        <v>372</v>
      </c>
    </row>
    <row r="70" spans="1:3" x14ac:dyDescent="0.3">
      <c r="A70" t="s">
        <v>404</v>
      </c>
      <c r="B70">
        <f>Ingredientes!BU83</f>
        <v>0.42333859953083031</v>
      </c>
      <c r="C70" t="s">
        <v>372</v>
      </c>
    </row>
    <row r="71" spans="1:3" x14ac:dyDescent="0.3">
      <c r="A71" t="s">
        <v>405</v>
      </c>
      <c r="B71">
        <f>Ingredientes!BV83</f>
        <v>527.2716992631324</v>
      </c>
      <c r="C71" t="s">
        <v>406</v>
      </c>
    </row>
    <row r="72" spans="1:3" x14ac:dyDescent="0.3">
      <c r="A72" t="s">
        <v>407</v>
      </c>
      <c r="B72">
        <f>Ingredientes!BW83</f>
        <v>0.207761558846669</v>
      </c>
      <c r="C72" t="s">
        <v>372</v>
      </c>
    </row>
    <row r="73" spans="1:3" x14ac:dyDescent="0.3">
      <c r="A73" t="s">
        <v>408</v>
      </c>
      <c r="B73">
        <f>Ingredientes!BX83</f>
        <v>0</v>
      </c>
      <c r="C73" t="s">
        <v>372</v>
      </c>
    </row>
    <row r="74" spans="1:3" x14ac:dyDescent="0.3">
      <c r="A74" t="s">
        <v>409</v>
      </c>
      <c r="B74">
        <f>Ingredientes!BY83</f>
        <v>0</v>
      </c>
      <c r="C74" t="s">
        <v>372</v>
      </c>
    </row>
    <row r="75" spans="1:3" x14ac:dyDescent="0.3">
      <c r="A75" t="s">
        <v>410</v>
      </c>
      <c r="B75">
        <f>Ingredientes!BZ83</f>
        <v>109.79819985467493</v>
      </c>
      <c r="C75" t="s">
        <v>372</v>
      </c>
    </row>
    <row r="76" spans="1:3" x14ac:dyDescent="0.3">
      <c r="A76" t="s">
        <v>411</v>
      </c>
      <c r="B76">
        <f>Ingredientes!CA83</f>
        <v>1.8687533492612409</v>
      </c>
      <c r="C76" t="s">
        <v>372</v>
      </c>
    </row>
    <row r="77" spans="1:3" x14ac:dyDescent="0.3">
      <c r="A77" t="s">
        <v>412</v>
      </c>
      <c r="B77">
        <f>Ingredientes!CB83</f>
        <v>7.5679915793049961</v>
      </c>
      <c r="C77" t="s">
        <v>372</v>
      </c>
    </row>
    <row r="78" spans="1:3" x14ac:dyDescent="0.3">
      <c r="A78" t="s">
        <v>413</v>
      </c>
      <c r="B78">
        <f>Ingredientes!CC83</f>
        <v>7.5648523607669373</v>
      </c>
      <c r="C78" t="s">
        <v>372</v>
      </c>
    </row>
    <row r="79" spans="1:3" x14ac:dyDescent="0.3">
      <c r="A79" t="s">
        <v>414</v>
      </c>
      <c r="B79">
        <f>Ingredientes!CD83</f>
        <v>0</v>
      </c>
      <c r="C79" t="s">
        <v>372</v>
      </c>
    </row>
    <row r="80" spans="1:3" x14ac:dyDescent="0.3">
      <c r="A80" t="s">
        <v>415</v>
      </c>
      <c r="B80">
        <f>Ingredientes!CE83</f>
        <v>0</v>
      </c>
      <c r="C80" t="s">
        <v>372</v>
      </c>
    </row>
    <row r="81" spans="1:3" x14ac:dyDescent="0.3">
      <c r="A81" t="s">
        <v>416</v>
      </c>
      <c r="B81">
        <f>Ingredientes!CF83</f>
        <v>0.77134854575786205</v>
      </c>
      <c r="C81" t="s">
        <v>362</v>
      </c>
    </row>
    <row r="82" spans="1:3" x14ac:dyDescent="0.3">
      <c r="A82" t="s">
        <v>417</v>
      </c>
      <c r="B82">
        <f>Ingredientes!CG83</f>
        <v>0</v>
      </c>
      <c r="C82" t="s">
        <v>362</v>
      </c>
    </row>
    <row r="83" spans="1:3" x14ac:dyDescent="0.3">
      <c r="A83" t="s">
        <v>418</v>
      </c>
      <c r="B83">
        <f>Ingredientes!CH83</f>
        <v>5.3796566648071659E-3</v>
      </c>
      <c r="C83" t="s">
        <v>362</v>
      </c>
    </row>
    <row r="84" spans="1:3" x14ac:dyDescent="0.3">
      <c r="A84" t="s">
        <v>419</v>
      </c>
      <c r="B84">
        <f>Ingredientes!CI83</f>
        <v>0.27368071937287497</v>
      </c>
      <c r="C84" t="s">
        <v>362</v>
      </c>
    </row>
    <row r="85" spans="1:3" x14ac:dyDescent="0.3">
      <c r="A85" t="s">
        <v>420</v>
      </c>
      <c r="B85">
        <f>Ingredientes!CJ83</f>
        <v>4.5646755865308912E-2</v>
      </c>
      <c r="C85" t="s">
        <v>362</v>
      </c>
    </row>
    <row r="86" spans="1:3" x14ac:dyDescent="0.3">
      <c r="A86" t="s">
        <v>421</v>
      </c>
      <c r="B86">
        <f>Ingredientes!CK83</f>
        <v>7.1511658813054099E-3</v>
      </c>
      <c r="C86" t="s">
        <v>362</v>
      </c>
    </row>
    <row r="87" spans="1:3" x14ac:dyDescent="0.3">
      <c r="A87" t="s">
        <v>422</v>
      </c>
      <c r="B87">
        <f>Ingredientes!CL83</f>
        <v>1.0420642449989667E-3</v>
      </c>
      <c r="C87" t="s">
        <v>362</v>
      </c>
    </row>
    <row r="88" spans="1:3" x14ac:dyDescent="0.3">
      <c r="A88" t="s">
        <v>423</v>
      </c>
      <c r="B88">
        <f>Ingredientes!CM83</f>
        <v>4.68928910249535E-3</v>
      </c>
      <c r="C88" t="s">
        <v>362</v>
      </c>
    </row>
    <row r="89" spans="1:3" x14ac:dyDescent="0.3">
      <c r="A89" t="s">
        <v>424</v>
      </c>
      <c r="B89">
        <f>Ingredientes!CN83</f>
        <v>3.907740918746125E-5</v>
      </c>
      <c r="C89" t="s">
        <v>362</v>
      </c>
    </row>
    <row r="90" spans="1:3" x14ac:dyDescent="0.3">
      <c r="A90" t="s">
        <v>425</v>
      </c>
      <c r="B90">
        <f>Ingredientes!CO83</f>
        <v>22.403078687171533</v>
      </c>
      <c r="C90" t="s">
        <v>406</v>
      </c>
    </row>
    <row r="91" spans="1:3" x14ac:dyDescent="0.3">
      <c r="A91" t="s">
        <v>426</v>
      </c>
      <c r="B91">
        <f>Ingredientes!CP83</f>
        <v>0.57219747692893264</v>
      </c>
      <c r="C91" t="s">
        <v>372</v>
      </c>
    </row>
    <row r="92" spans="1:3" x14ac:dyDescent="0.3">
      <c r="A92" t="s">
        <v>427</v>
      </c>
      <c r="B92">
        <f>Ingredientes!CQ83</f>
        <v>0.12361487106300242</v>
      </c>
      <c r="C92" t="s">
        <v>372</v>
      </c>
    </row>
    <row r="93" spans="1:3" x14ac:dyDescent="0.3">
      <c r="A93" t="s">
        <v>428</v>
      </c>
      <c r="B93">
        <f>Ingredientes!CR83</f>
        <v>0.29357531495787881</v>
      </c>
      <c r="C93" t="s">
        <v>372</v>
      </c>
    </row>
    <row r="94" spans="1:3" x14ac:dyDescent="0.3">
      <c r="A94" t="s">
        <v>429</v>
      </c>
      <c r="B94">
        <f>Ingredientes!CS83</f>
        <v>1.823612428748192E-2</v>
      </c>
      <c r="C94" t="s">
        <v>372</v>
      </c>
    </row>
    <row r="95" spans="1:3" x14ac:dyDescent="0.3">
      <c r="A95" t="s">
        <v>430</v>
      </c>
      <c r="B95">
        <f>Ingredientes!CT83</f>
        <v>12.262048125721215</v>
      </c>
      <c r="C95" t="s">
        <v>372</v>
      </c>
    </row>
    <row r="96" spans="1:3" x14ac:dyDescent="0.3">
      <c r="A96" t="s">
        <v>431</v>
      </c>
      <c r="B96">
        <f>Ingredientes!CU83</f>
        <v>2.3258476661383543</v>
      </c>
      <c r="C96" t="s">
        <v>333</v>
      </c>
    </row>
    <row r="97" spans="1:3" x14ac:dyDescent="0.3">
      <c r="A97" t="s">
        <v>432</v>
      </c>
      <c r="B97">
        <f>Ingredientes!CV83</f>
        <v>5.6096767159270131E-2</v>
      </c>
      <c r="C97" t="s">
        <v>333</v>
      </c>
    </row>
    <row r="98" spans="1:3" x14ac:dyDescent="0.3">
      <c r="A98" t="s">
        <v>433</v>
      </c>
      <c r="B98">
        <f>Ingredientes!CW83</f>
        <v>0</v>
      </c>
      <c r="C98" t="s">
        <v>333</v>
      </c>
    </row>
    <row r="99" spans="1:3" x14ac:dyDescent="0.3">
      <c r="A99" t="s">
        <v>434</v>
      </c>
      <c r="B99">
        <f>Ingredientes!CX83</f>
        <v>3.7287663846675534E-2</v>
      </c>
      <c r="C99" t="s">
        <v>333</v>
      </c>
    </row>
    <row r="100" spans="1:3" x14ac:dyDescent="0.3">
      <c r="A100" t="s">
        <v>435</v>
      </c>
      <c r="B100">
        <f>Ingredientes!CY83</f>
        <v>0</v>
      </c>
      <c r="C100" t="s">
        <v>333</v>
      </c>
    </row>
    <row r="101" spans="1:3" x14ac:dyDescent="0.3">
      <c r="A101" t="s">
        <v>436</v>
      </c>
      <c r="B101">
        <f>Ingredientes!CZ83</f>
        <v>2.1948478160290729E-2</v>
      </c>
      <c r="C101" t="s">
        <v>333</v>
      </c>
    </row>
    <row r="102" spans="1:3" x14ac:dyDescent="0.3">
      <c r="A102" t="s">
        <v>437</v>
      </c>
      <c r="B102">
        <f>Ingredientes!DA83</f>
        <v>0</v>
      </c>
      <c r="C102" t="s">
        <v>333</v>
      </c>
    </row>
    <row r="103" spans="1:3" x14ac:dyDescent="0.3">
      <c r="A103" t="s">
        <v>438</v>
      </c>
      <c r="B103">
        <f>Ingredientes!DB83</f>
        <v>5.1115726119781178E-2</v>
      </c>
      <c r="C103" t="s">
        <v>333</v>
      </c>
    </row>
    <row r="104" spans="1:3" x14ac:dyDescent="0.3">
      <c r="A104" t="s">
        <v>439</v>
      </c>
      <c r="B104">
        <f>Ingredientes!DC83</f>
        <v>0</v>
      </c>
      <c r="C104" t="s">
        <v>333</v>
      </c>
    </row>
    <row r="105" spans="1:3" x14ac:dyDescent="0.3">
      <c r="A105" t="s">
        <v>440</v>
      </c>
      <c r="B105">
        <f>Ingredientes!DD83</f>
        <v>6.2970379228920056E-2</v>
      </c>
      <c r="C105" t="s">
        <v>333</v>
      </c>
    </row>
    <row r="106" spans="1:3" x14ac:dyDescent="0.3">
      <c r="A106" t="s">
        <v>441</v>
      </c>
      <c r="B106">
        <f>Ingredientes!DE83</f>
        <v>0</v>
      </c>
      <c r="C106" t="s">
        <v>333</v>
      </c>
    </row>
    <row r="107" spans="1:3" x14ac:dyDescent="0.3">
      <c r="A107" t="s">
        <v>442</v>
      </c>
      <c r="B107">
        <f>Ingredientes!DF83</f>
        <v>0.1752948489198444</v>
      </c>
      <c r="C107" t="s">
        <v>333</v>
      </c>
    </row>
    <row r="108" spans="1:3" x14ac:dyDescent="0.3">
      <c r="A108" t="s">
        <v>443</v>
      </c>
      <c r="B108">
        <f>Ingredientes!DG83</f>
        <v>3.3429160463505601E-3</v>
      </c>
      <c r="C108" t="s">
        <v>333</v>
      </c>
    </row>
    <row r="109" spans="1:3" x14ac:dyDescent="0.3">
      <c r="A109" t="s">
        <v>444</v>
      </c>
      <c r="B109">
        <f>Ingredientes!DH83</f>
        <v>0.87547286427912174</v>
      </c>
      <c r="C109" t="s">
        <v>333</v>
      </c>
    </row>
    <row r="110" spans="1:3" x14ac:dyDescent="0.3">
      <c r="A110" t="s">
        <v>445</v>
      </c>
      <c r="B110">
        <f>Ingredientes!DI83</f>
        <v>1.0839052954028523E-2</v>
      </c>
      <c r="C110" t="s">
        <v>333</v>
      </c>
    </row>
    <row r="111" spans="1:3" x14ac:dyDescent="0.3">
      <c r="A111" t="s">
        <v>446</v>
      </c>
      <c r="B111">
        <f>Ingredientes!DJ83</f>
        <v>0.3346581073138909</v>
      </c>
      <c r="C111" t="s">
        <v>333</v>
      </c>
    </row>
    <row r="112" spans="1:3" x14ac:dyDescent="0.3">
      <c r="A112" t="s">
        <v>447</v>
      </c>
      <c r="B112">
        <f>Ingredientes!DK83</f>
        <v>7.1163218581132559E-3</v>
      </c>
      <c r="C112" t="s">
        <v>333</v>
      </c>
    </row>
    <row r="113" spans="1:3" x14ac:dyDescent="0.3">
      <c r="A113" t="s">
        <v>448</v>
      </c>
      <c r="B113">
        <f>Ingredientes!DL83</f>
        <v>1.6282253828108855E-5</v>
      </c>
      <c r="C113" t="s">
        <v>333</v>
      </c>
    </row>
    <row r="114" spans="1:3" x14ac:dyDescent="0.3">
      <c r="A114" t="s">
        <v>449</v>
      </c>
      <c r="B114">
        <f>Ingredientes!DM83</f>
        <v>3.3613084802747916E-3</v>
      </c>
      <c r="C114" t="s">
        <v>333</v>
      </c>
    </row>
    <row r="115" spans="1:3" x14ac:dyDescent="0.3">
      <c r="A115" t="s">
        <v>450</v>
      </c>
      <c r="B115">
        <f>Ingredientes!DN83</f>
        <v>0</v>
      </c>
      <c r="C115" t="s">
        <v>333</v>
      </c>
    </row>
    <row r="116" spans="1:3" x14ac:dyDescent="0.3">
      <c r="A116" t="s">
        <v>451</v>
      </c>
      <c r="B116">
        <f>Ingredientes!DO83</f>
        <v>9.1848845134515176E-4</v>
      </c>
      <c r="C116" t="s">
        <v>333</v>
      </c>
    </row>
    <row r="117" spans="1:3" x14ac:dyDescent="0.3">
      <c r="A117" t="s">
        <v>452</v>
      </c>
      <c r="B117">
        <f>Ingredientes!DP83</f>
        <v>2.989219642377257</v>
      </c>
      <c r="C117" t="s">
        <v>333</v>
      </c>
    </row>
    <row r="118" spans="1:3" x14ac:dyDescent="0.3">
      <c r="A118" t="s">
        <v>453</v>
      </c>
      <c r="B118">
        <f>Ingredientes!DQ83</f>
        <v>2.6051606124974168E-5</v>
      </c>
      <c r="C118" t="s">
        <v>333</v>
      </c>
    </row>
    <row r="119" spans="1:3" x14ac:dyDescent="0.3">
      <c r="A119" t="s">
        <v>454</v>
      </c>
      <c r="B119">
        <f>Ingredientes!DR83</f>
        <v>9.1180621437409593E-5</v>
      </c>
      <c r="C119" t="s">
        <v>333</v>
      </c>
    </row>
    <row r="120" spans="1:3" x14ac:dyDescent="0.3">
      <c r="A120" t="s">
        <v>455</v>
      </c>
      <c r="B120">
        <f>Ingredientes!DS83</f>
        <v>2.1101800961229079E-3</v>
      </c>
      <c r="C120" t="s">
        <v>333</v>
      </c>
    </row>
    <row r="121" spans="1:3" x14ac:dyDescent="0.3">
      <c r="A121" t="s">
        <v>456</v>
      </c>
      <c r="B121">
        <f>Ingredientes!DT83</f>
        <v>2.6051606124974168E-5</v>
      </c>
      <c r="C121" t="s">
        <v>333</v>
      </c>
    </row>
    <row r="122" spans="1:3" x14ac:dyDescent="0.3">
      <c r="A122" t="s">
        <v>457</v>
      </c>
      <c r="B122">
        <f>Ingredientes!DU83</f>
        <v>3.6466994834395305E-2</v>
      </c>
      <c r="C122" t="s">
        <v>333</v>
      </c>
    </row>
    <row r="123" spans="1:3" x14ac:dyDescent="0.3">
      <c r="A123" t="s">
        <v>458</v>
      </c>
      <c r="B123">
        <f>Ingredientes!DV83</f>
        <v>3.5399586718571088E-2</v>
      </c>
      <c r="C123" t="s">
        <v>333</v>
      </c>
    </row>
    <row r="124" spans="1:3" x14ac:dyDescent="0.3">
      <c r="A124" t="s">
        <v>459</v>
      </c>
      <c r="B124">
        <f>Ingredientes!DW83</f>
        <v>1.5142496060141235E-3</v>
      </c>
      <c r="C124" t="s">
        <v>333</v>
      </c>
    </row>
    <row r="125" spans="1:3" x14ac:dyDescent="0.3">
      <c r="A125" t="s">
        <v>460</v>
      </c>
      <c r="B125">
        <f>Ingredientes!DX83</f>
        <v>1.2407077417018947E-3</v>
      </c>
      <c r="C125" t="s">
        <v>333</v>
      </c>
    </row>
    <row r="126" spans="1:3" x14ac:dyDescent="0.3">
      <c r="A126" t="s">
        <v>461</v>
      </c>
      <c r="B126">
        <f>Ingredientes!DY83</f>
        <v>1.2985524674257261</v>
      </c>
      <c r="C126" t="s">
        <v>333</v>
      </c>
    </row>
    <row r="127" spans="1:3" x14ac:dyDescent="0.3">
      <c r="A127" t="s">
        <v>462</v>
      </c>
      <c r="B127">
        <f>Ingredientes!DZ83</f>
        <v>1.2189244307244362</v>
      </c>
      <c r="C127" t="s">
        <v>333</v>
      </c>
    </row>
    <row r="128" spans="1:3" x14ac:dyDescent="0.3">
      <c r="A128" t="s">
        <v>463</v>
      </c>
      <c r="B128">
        <f>Ingredientes!EA83</f>
        <v>2.355195451728289E-2</v>
      </c>
      <c r="C128" t="s">
        <v>333</v>
      </c>
    </row>
    <row r="129" spans="1:3" x14ac:dyDescent="0.3">
      <c r="A129" t="s">
        <v>464</v>
      </c>
      <c r="B129">
        <f>Ingredientes!EB83</f>
        <v>1.8065225751302085E-3</v>
      </c>
      <c r="C129" t="s">
        <v>333</v>
      </c>
    </row>
    <row r="130" spans="1:3" x14ac:dyDescent="0.3">
      <c r="A130" t="s">
        <v>465</v>
      </c>
      <c r="B130">
        <f>Ingredientes!EC83</f>
        <v>9.2483201743658288E-4</v>
      </c>
      <c r="C130" t="s">
        <v>333</v>
      </c>
    </row>
    <row r="131" spans="1:3" x14ac:dyDescent="0.3">
      <c r="A131" t="s">
        <v>466</v>
      </c>
      <c r="B131">
        <f>Ingredientes!ED83</f>
        <v>6.9036756231181538E-4</v>
      </c>
      <c r="C131" t="s">
        <v>333</v>
      </c>
    </row>
    <row r="132" spans="1:3" x14ac:dyDescent="0.3">
      <c r="A132" t="s">
        <v>467</v>
      </c>
      <c r="B132">
        <f>Ingredientes!EE83</f>
        <v>3.907740918746125E-5</v>
      </c>
      <c r="C132" t="s">
        <v>333</v>
      </c>
    </row>
    <row r="133" spans="1:3" x14ac:dyDescent="0.3">
      <c r="A133" t="s">
        <v>468</v>
      </c>
      <c r="B133">
        <f>Ingredientes!EF83</f>
        <v>0</v>
      </c>
      <c r="C133" t="s">
        <v>333</v>
      </c>
    </row>
    <row r="134" spans="1:3" x14ac:dyDescent="0.3">
      <c r="A134" t="s">
        <v>469</v>
      </c>
      <c r="B134">
        <f>Ingredientes!EG83</f>
        <v>5.3405792556197049E-4</v>
      </c>
      <c r="C134" t="s">
        <v>333</v>
      </c>
    </row>
    <row r="135" spans="1:3" x14ac:dyDescent="0.3">
      <c r="A135" t="s">
        <v>470</v>
      </c>
      <c r="B135">
        <f>Ingredientes!EH83</f>
        <v>2.3586847170139817</v>
      </c>
      <c r="C135" t="s">
        <v>333</v>
      </c>
    </row>
    <row r="136" spans="1:3" x14ac:dyDescent="0.3">
      <c r="A136" t="s">
        <v>471</v>
      </c>
      <c r="B136">
        <f>Ingredientes!EI83</f>
        <v>0.73899227727327021</v>
      </c>
      <c r="C136" t="s">
        <v>333</v>
      </c>
    </row>
    <row r="137" spans="1:3" x14ac:dyDescent="0.3">
      <c r="A137" t="s">
        <v>472</v>
      </c>
      <c r="B137">
        <f>Ingredientes!EJ83</f>
        <v>0.29264290192305981</v>
      </c>
      <c r="C137" t="s">
        <v>333</v>
      </c>
    </row>
    <row r="138" spans="1:3" x14ac:dyDescent="0.3">
      <c r="A138" t="s">
        <v>473</v>
      </c>
      <c r="B138">
        <f>Ingredientes!EK83</f>
        <v>0.55483147628602469</v>
      </c>
      <c r="C138" t="s">
        <v>333</v>
      </c>
    </row>
    <row r="139" spans="1:3" x14ac:dyDescent="0.3">
      <c r="A139" t="s">
        <v>474</v>
      </c>
      <c r="B139">
        <f>Ingredientes!EL83</f>
        <v>4.936779360682605E-3</v>
      </c>
      <c r="C139" t="s">
        <v>333</v>
      </c>
    </row>
    <row r="140" spans="1:3" x14ac:dyDescent="0.3">
      <c r="A140" t="s">
        <v>475</v>
      </c>
      <c r="B140">
        <f>Ingredientes!EM83</f>
        <v>3.8556377064961765E-3</v>
      </c>
      <c r="C140" t="s">
        <v>333</v>
      </c>
    </row>
    <row r="141" spans="1:3" x14ac:dyDescent="0.3">
      <c r="A141" t="s">
        <v>476</v>
      </c>
      <c r="B141">
        <f>Ingredientes!EN83</f>
        <v>0.11119429023014203</v>
      </c>
      <c r="C141" t="s">
        <v>333</v>
      </c>
    </row>
    <row r="142" spans="1:3" x14ac:dyDescent="0.3">
      <c r="A142" t="s">
        <v>477</v>
      </c>
      <c r="B142">
        <f>Ingredientes!EO83</f>
        <v>8.3824299157870003E-3</v>
      </c>
      <c r="C142" t="s">
        <v>333</v>
      </c>
    </row>
    <row r="143" spans="1:3" x14ac:dyDescent="0.3">
      <c r="A143" t="s">
        <v>478</v>
      </c>
      <c r="B143">
        <f>Ingredientes!EP83</f>
        <v>6.5187479458514219E-2</v>
      </c>
      <c r="C143" t="s">
        <v>333</v>
      </c>
    </row>
    <row r="144" spans="1:3" x14ac:dyDescent="0.3">
      <c r="A144" t="s">
        <v>479</v>
      </c>
      <c r="B144">
        <f>Ingredientes!EQ83</f>
        <v>1.2179125863425425E-3</v>
      </c>
      <c r="C144" t="s">
        <v>333</v>
      </c>
    </row>
    <row r="145" spans="1:3" x14ac:dyDescent="0.3">
      <c r="A145" t="s">
        <v>480</v>
      </c>
      <c r="B145">
        <f>Ingredientes!ER83</f>
        <v>2.6181864155599035E-3</v>
      </c>
      <c r="C145" t="s">
        <v>333</v>
      </c>
    </row>
    <row r="146" spans="1:3" x14ac:dyDescent="0.3">
      <c r="A146" t="s">
        <v>481</v>
      </c>
      <c r="B146">
        <f>Ingredientes!ES83</f>
        <v>3.3378620347623156E-5</v>
      </c>
      <c r="C146" t="s">
        <v>333</v>
      </c>
    </row>
    <row r="147" spans="1:3" x14ac:dyDescent="0.3">
      <c r="A147" t="s">
        <v>482</v>
      </c>
      <c r="B147">
        <f>Ingredientes!ET83</f>
        <v>1.257804108221409E-3</v>
      </c>
      <c r="C147" t="s">
        <v>333</v>
      </c>
    </row>
    <row r="148" spans="1:3" x14ac:dyDescent="0.3">
      <c r="A148" t="s">
        <v>483</v>
      </c>
      <c r="B148">
        <f>Ingredientes!EU83</f>
        <v>5.7313533474943174E-4</v>
      </c>
      <c r="C148" t="s">
        <v>333</v>
      </c>
    </row>
    <row r="149" spans="1:3" x14ac:dyDescent="0.3">
      <c r="A149" t="s">
        <v>484</v>
      </c>
      <c r="B149">
        <f>Ingredientes!EV83</f>
        <v>8.9878041131160875E-4</v>
      </c>
      <c r="C149" t="s">
        <v>333</v>
      </c>
    </row>
    <row r="150" spans="1:3" x14ac:dyDescent="0.3">
      <c r="A150" t="s">
        <v>485</v>
      </c>
      <c r="B150">
        <f>Ingredientes!EW83</f>
        <v>1.4328383368735794E-4</v>
      </c>
      <c r="C150" t="s">
        <v>333</v>
      </c>
    </row>
    <row r="151" spans="1:3" x14ac:dyDescent="0.3">
      <c r="A151" t="s">
        <v>486</v>
      </c>
      <c r="B151">
        <f>Ingredientes!EX83</f>
        <v>1.081141654186428E-3</v>
      </c>
      <c r="C151" t="s">
        <v>333</v>
      </c>
    </row>
    <row r="152" spans="1:3" x14ac:dyDescent="0.3">
      <c r="A152" t="s">
        <v>487</v>
      </c>
      <c r="B152">
        <f>Ingredientes!EY83</f>
        <v>0</v>
      </c>
      <c r="C152" t="s">
        <v>333</v>
      </c>
    </row>
    <row r="153" spans="1:3" x14ac:dyDescent="0.3">
      <c r="A153" t="s">
        <v>488</v>
      </c>
      <c r="B153">
        <f>Ingredientes!EZ83</f>
        <v>0</v>
      </c>
      <c r="C153" t="s">
        <v>333</v>
      </c>
    </row>
    <row r="154" spans="1:3" x14ac:dyDescent="0.3">
      <c r="A154" t="s">
        <v>489</v>
      </c>
      <c r="B154">
        <f>Ingredientes!FA83</f>
        <v>2.9959347043720295E-3</v>
      </c>
      <c r="C154" t="s">
        <v>333</v>
      </c>
    </row>
    <row r="155" spans="1:3" x14ac:dyDescent="0.3">
      <c r="A155" t="s">
        <v>490</v>
      </c>
      <c r="B155">
        <f>Ingredientes!FB83</f>
        <v>3.6472248574963832E-4</v>
      </c>
      <c r="C155" t="s">
        <v>333</v>
      </c>
    </row>
    <row r="156" spans="1:3" x14ac:dyDescent="0.3">
      <c r="A156" t="s">
        <v>491</v>
      </c>
      <c r="B156">
        <f>Ingredientes!FC83</f>
        <v>1.0420642449989667E-4</v>
      </c>
      <c r="C156" t="s">
        <v>333</v>
      </c>
    </row>
    <row r="157" spans="1:3" x14ac:dyDescent="0.3">
      <c r="A157" t="s">
        <v>492</v>
      </c>
      <c r="B157">
        <f>Ingredientes!FD83</f>
        <v>1.5031776734110096E-2</v>
      </c>
      <c r="C157" t="s">
        <v>333</v>
      </c>
    </row>
    <row r="158" spans="1:3" x14ac:dyDescent="0.3">
      <c r="A158" t="s">
        <v>493</v>
      </c>
      <c r="B158">
        <f>Ingredientes!FE83</f>
        <v>0</v>
      </c>
      <c r="C158" t="s">
        <v>333</v>
      </c>
    </row>
    <row r="159" spans="1:3" x14ac:dyDescent="0.3">
      <c r="A159" t="s">
        <v>494</v>
      </c>
      <c r="B159">
        <f>Ingredientes!FF83</f>
        <v>1.3025803062487084E-4</v>
      </c>
      <c r="C159" t="s">
        <v>333</v>
      </c>
    </row>
    <row r="160" spans="1:3" x14ac:dyDescent="0.3">
      <c r="A160" t="s">
        <v>495</v>
      </c>
      <c r="B160">
        <f>Ingredientes!FG83</f>
        <v>2.4749025818725462E-4</v>
      </c>
      <c r="C160" t="s">
        <v>333</v>
      </c>
    </row>
    <row r="161" spans="1:3" x14ac:dyDescent="0.3">
      <c r="A161" t="s">
        <v>496</v>
      </c>
      <c r="B161">
        <f>Ingredientes!FH83</f>
        <v>6.1481790454939031E-3</v>
      </c>
      <c r="C161" t="s">
        <v>333</v>
      </c>
    </row>
    <row r="162" spans="1:3" x14ac:dyDescent="0.3">
      <c r="A162" t="s">
        <v>497</v>
      </c>
      <c r="B162">
        <f>Ingredientes!FI83</f>
        <v>0</v>
      </c>
      <c r="C162" t="s">
        <v>333</v>
      </c>
    </row>
    <row r="163" spans="1:3" x14ac:dyDescent="0.3">
      <c r="A163" t="s">
        <v>498</v>
      </c>
      <c r="B163">
        <f>Ingredientes!FJ83</f>
        <v>2.2013607175603175E-2</v>
      </c>
      <c r="C163" t="s">
        <v>333</v>
      </c>
    </row>
    <row r="164" spans="1:3" x14ac:dyDescent="0.3">
      <c r="A164" t="s">
        <v>499</v>
      </c>
      <c r="B164">
        <f>Ingredientes!FK83</f>
        <v>5.4623705142539586E-2</v>
      </c>
      <c r="C164" t="s">
        <v>333</v>
      </c>
    </row>
    <row r="165" spans="1:3" x14ac:dyDescent="0.3">
      <c r="A165" t="s">
        <v>500</v>
      </c>
      <c r="B165">
        <f>Ingredientes!FL83</f>
        <v>4.6161003715380011E-2</v>
      </c>
      <c r="C165" t="s">
        <v>333</v>
      </c>
    </row>
    <row r="166" spans="1:3" x14ac:dyDescent="0.3">
      <c r="A166" t="s">
        <v>501</v>
      </c>
      <c r="B166">
        <f>Ingredientes!FM83</f>
        <v>1.1723222756238375E-4</v>
      </c>
      <c r="C166" t="s">
        <v>333</v>
      </c>
    </row>
    <row r="167" spans="1:3" x14ac:dyDescent="0.3">
      <c r="A167" t="s">
        <v>502</v>
      </c>
      <c r="B167">
        <f>Ingredientes!FN83</f>
        <v>6.9036756231181538E-4</v>
      </c>
      <c r="C167" t="s">
        <v>333</v>
      </c>
    </row>
    <row r="168" spans="1:3" x14ac:dyDescent="0.3">
      <c r="A168" t="s">
        <v>503</v>
      </c>
      <c r="B168">
        <f>Ingredientes!FO83</f>
        <v>4.5314326516318344E-2</v>
      </c>
      <c r="C168" t="s">
        <v>333</v>
      </c>
    </row>
    <row r="169" spans="1:3" x14ac:dyDescent="0.3">
      <c r="A169" t="s">
        <v>504</v>
      </c>
      <c r="B169">
        <f>Ingredientes!FP83</f>
        <v>0</v>
      </c>
      <c r="C169" t="s">
        <v>333</v>
      </c>
    </row>
    <row r="170" spans="1:3" x14ac:dyDescent="0.3">
      <c r="A170" t="s">
        <v>505</v>
      </c>
      <c r="B170">
        <f>Ingredientes!FQ83</f>
        <v>1.3025803062487084E-5</v>
      </c>
      <c r="C170" t="s">
        <v>333</v>
      </c>
    </row>
    <row r="171" spans="1:3" x14ac:dyDescent="0.3">
      <c r="A171" t="s">
        <v>506</v>
      </c>
      <c r="B171">
        <f>Ingredientes!FR83</f>
        <v>1.4979673521860145E-3</v>
      </c>
      <c r="C171" t="s">
        <v>333</v>
      </c>
    </row>
    <row r="172" spans="1:3" x14ac:dyDescent="0.3">
      <c r="A172" t="s">
        <v>507</v>
      </c>
      <c r="B172">
        <f>Ingredientes!FS83</f>
        <v>3.2206298071999315E-3</v>
      </c>
      <c r="C172" t="s">
        <v>333</v>
      </c>
    </row>
    <row r="173" spans="1:3" x14ac:dyDescent="0.3">
      <c r="A173" t="s">
        <v>508</v>
      </c>
      <c r="B173">
        <f>Ingredientes!FT83</f>
        <v>1.6282253828108855E-5</v>
      </c>
      <c r="C173" t="s">
        <v>333</v>
      </c>
    </row>
    <row r="174" spans="1:3" x14ac:dyDescent="0.3">
      <c r="A174" t="s">
        <v>509</v>
      </c>
      <c r="B174">
        <f>Ingredientes!FU83</f>
        <v>1.4263254353423355E-3</v>
      </c>
      <c r="C174" t="s">
        <v>333</v>
      </c>
    </row>
    <row r="175" spans="1:3" x14ac:dyDescent="0.3">
      <c r="A175" t="s">
        <v>510</v>
      </c>
      <c r="B175">
        <f>Ingredientes!FV83</f>
        <v>7.0013691460868079E-3</v>
      </c>
      <c r="C175" t="s">
        <v>333</v>
      </c>
    </row>
    <row r="176" spans="1:3" x14ac:dyDescent="0.3">
      <c r="A176" t="s">
        <v>511</v>
      </c>
      <c r="B176">
        <f>Ingredientes!FW83</f>
        <v>1.3025803062487084E-5</v>
      </c>
      <c r="C176" t="s">
        <v>333</v>
      </c>
    </row>
    <row r="177" spans="1:3" x14ac:dyDescent="0.3">
      <c r="A177" t="s">
        <v>512</v>
      </c>
      <c r="B177">
        <f>Ingredientes!FX83</f>
        <v>21.584016190602345</v>
      </c>
      <c r="C177" t="s">
        <v>362</v>
      </c>
    </row>
    <row r="178" spans="1:3" x14ac:dyDescent="0.3">
      <c r="A178" t="s">
        <v>8</v>
      </c>
      <c r="B178">
        <f>Ingredientes!FY83</f>
        <v>2.5571388185403809</v>
      </c>
      <c r="C178" t="s">
        <v>362</v>
      </c>
    </row>
    <row r="179" spans="1:3" x14ac:dyDescent="0.3">
      <c r="A179" t="s">
        <v>513</v>
      </c>
      <c r="B179">
        <f>Ingredientes!FZ83</f>
        <v>3.4570177392435932E-2</v>
      </c>
      <c r="C179" t="s">
        <v>333</v>
      </c>
    </row>
    <row r="180" spans="1:3" x14ac:dyDescent="0.3">
      <c r="A180" t="s">
        <v>514</v>
      </c>
      <c r="B180">
        <f>Ingredientes!GA83</f>
        <v>0.1170179096826623</v>
      </c>
      <c r="C180" t="s">
        <v>333</v>
      </c>
    </row>
    <row r="181" spans="1:3" x14ac:dyDescent="0.3">
      <c r="A181" t="s">
        <v>515</v>
      </c>
      <c r="B181">
        <f>Ingredientes!GB83</f>
        <v>0.12761592015101952</v>
      </c>
      <c r="C181" t="s">
        <v>333</v>
      </c>
    </row>
    <row r="182" spans="1:3" x14ac:dyDescent="0.3">
      <c r="A182" t="s">
        <v>516</v>
      </c>
      <c r="B182">
        <f>Ingredientes!GC83</f>
        <v>0.22790279367072672</v>
      </c>
      <c r="C182" t="s">
        <v>333</v>
      </c>
    </row>
    <row r="183" spans="1:3" x14ac:dyDescent="0.3">
      <c r="A183" t="s">
        <v>517</v>
      </c>
      <c r="B183">
        <f>Ingredientes!GD83</f>
        <v>0.18902381088325071</v>
      </c>
      <c r="C183" t="s">
        <v>333</v>
      </c>
    </row>
    <row r="184" spans="1:3" x14ac:dyDescent="0.3">
      <c r="A184" t="s">
        <v>518</v>
      </c>
      <c r="B184">
        <f>Ingredientes!GE83</f>
        <v>6.7503619210726826E-2</v>
      </c>
      <c r="C184" t="s">
        <v>333</v>
      </c>
    </row>
    <row r="185" spans="1:3" x14ac:dyDescent="0.3">
      <c r="A185" t="s">
        <v>519</v>
      </c>
      <c r="B185">
        <f>Ingredientes!GF83</f>
        <v>2.3772177427726016E-2</v>
      </c>
      <c r="C185" t="s">
        <v>333</v>
      </c>
    </row>
    <row r="186" spans="1:3" x14ac:dyDescent="0.3">
      <c r="A186" t="s">
        <v>520</v>
      </c>
      <c r="B186">
        <f>Ingredientes!GG83</f>
        <v>0.13481723537411547</v>
      </c>
      <c r="C186" t="s">
        <v>333</v>
      </c>
    </row>
    <row r="187" spans="1:3" x14ac:dyDescent="0.3">
      <c r="A187" t="s">
        <v>521</v>
      </c>
      <c r="B187">
        <f>Ingredientes!GH83</f>
        <v>9.7963764962856179E-2</v>
      </c>
      <c r="C187" t="s">
        <v>333</v>
      </c>
    </row>
    <row r="188" spans="1:3" x14ac:dyDescent="0.3">
      <c r="A188" t="s">
        <v>522</v>
      </c>
      <c r="B188">
        <f>Ingredientes!GI83</f>
        <v>0.15315938969852605</v>
      </c>
      <c r="C188" t="s">
        <v>333</v>
      </c>
    </row>
    <row r="189" spans="1:3" x14ac:dyDescent="0.3">
      <c r="A189" t="s">
        <v>523</v>
      </c>
      <c r="B189">
        <f>Ingredientes!GJ83</f>
        <v>0.19441202115873557</v>
      </c>
      <c r="C189" t="s">
        <v>333</v>
      </c>
    </row>
    <row r="190" spans="1:3" x14ac:dyDescent="0.3">
      <c r="A190" t="s">
        <v>524</v>
      </c>
      <c r="B190">
        <f>Ingredientes!GK83</f>
        <v>7.4034235834135348E-2</v>
      </c>
      <c r="C190" t="s">
        <v>333</v>
      </c>
    </row>
    <row r="191" spans="1:3" x14ac:dyDescent="0.3">
      <c r="A191" t="s">
        <v>525</v>
      </c>
      <c r="B191">
        <f>Ingredientes!GL83</f>
        <v>0.144130467467076</v>
      </c>
      <c r="C191" t="s">
        <v>333</v>
      </c>
    </row>
    <row r="192" spans="1:3" x14ac:dyDescent="0.3">
      <c r="A192" t="s">
        <v>526</v>
      </c>
      <c r="B192">
        <f>Ingredientes!GM83</f>
        <v>0.29841645887247664</v>
      </c>
      <c r="C192" t="s">
        <v>333</v>
      </c>
    </row>
    <row r="193" spans="1:3" x14ac:dyDescent="0.3">
      <c r="A193" t="s">
        <v>527</v>
      </c>
      <c r="B193">
        <f>Ingredientes!GN83</f>
        <v>0.50272261952141606</v>
      </c>
      <c r="C193" t="s">
        <v>333</v>
      </c>
    </row>
    <row r="194" spans="1:3" x14ac:dyDescent="0.3">
      <c r="A194" t="s">
        <v>528</v>
      </c>
      <c r="B194">
        <f>Ingredientes!GO83</f>
        <v>0.1289541477383159</v>
      </c>
      <c r="C194" t="s">
        <v>333</v>
      </c>
    </row>
    <row r="195" spans="1:3" x14ac:dyDescent="0.3">
      <c r="A195" t="s">
        <v>529</v>
      </c>
      <c r="B195">
        <f>Ingredientes!GP83</f>
        <v>0.15777182656295274</v>
      </c>
      <c r="C195" t="s">
        <v>333</v>
      </c>
    </row>
    <row r="196" spans="1:3" x14ac:dyDescent="0.3">
      <c r="A196" t="s">
        <v>530</v>
      </c>
      <c r="B196">
        <f>Ingredientes!GQ83</f>
        <v>0.14284095638323335</v>
      </c>
      <c r="C196" t="s">
        <v>333</v>
      </c>
    </row>
    <row r="197" spans="1:3" x14ac:dyDescent="0.3">
      <c r="A197" t="s">
        <v>531</v>
      </c>
      <c r="B197">
        <f>Ingredientes!GR83</f>
        <v>1.5891479736234245E-3</v>
      </c>
      <c r="C197" t="s">
        <v>333</v>
      </c>
    </row>
    <row r="198" spans="1:3" x14ac:dyDescent="0.3">
      <c r="A198" t="s">
        <v>532</v>
      </c>
      <c r="B198">
        <f>Ingredientes!GS83</f>
        <v>2.5033248841548929E-2</v>
      </c>
      <c r="C198" t="s">
        <v>333</v>
      </c>
    </row>
    <row r="199" spans="1:3" x14ac:dyDescent="0.3">
      <c r="A199" t="s">
        <v>533</v>
      </c>
      <c r="B199">
        <f>Ingredientes!GT83</f>
        <v>5.0800631943699624E-2</v>
      </c>
      <c r="C199" t="s">
        <v>333</v>
      </c>
    </row>
    <row r="200" spans="1:3" x14ac:dyDescent="0.3">
      <c r="A200" t="s">
        <v>534</v>
      </c>
      <c r="B200">
        <f>Ingredientes!GU83</f>
        <v>6.5129015312435423E-2</v>
      </c>
      <c r="C200" t="s">
        <v>362</v>
      </c>
    </row>
    <row r="201" spans="1:3" x14ac:dyDescent="0.3">
      <c r="A201" t="s">
        <v>535</v>
      </c>
      <c r="B201">
        <f>Ingredientes!GV83</f>
        <v>2.3967477634976233</v>
      </c>
      <c r="C201" t="s">
        <v>362</v>
      </c>
    </row>
    <row r="202" spans="1:3" x14ac:dyDescent="0.3">
      <c r="A202" t="s">
        <v>536</v>
      </c>
      <c r="B202">
        <f>Ingredientes!GW83</f>
        <v>0.21883349144978301</v>
      </c>
      <c r="C202" t="s">
        <v>372</v>
      </c>
    </row>
    <row r="203" spans="1:3" x14ac:dyDescent="0.3">
      <c r="A203" t="s">
        <v>537</v>
      </c>
      <c r="B203">
        <f>Ingredientes!GX83</f>
        <v>0.11462706694988634</v>
      </c>
      <c r="C203" t="s">
        <v>372</v>
      </c>
    </row>
    <row r="204" spans="1:3" x14ac:dyDescent="0.3">
      <c r="A204" t="s">
        <v>538</v>
      </c>
      <c r="B204">
        <f>Ingredientes!GY83</f>
        <v>4.78046972393276E-2</v>
      </c>
      <c r="C204" t="s">
        <v>362</v>
      </c>
    </row>
    <row r="205" spans="1:3" x14ac:dyDescent="0.3">
      <c r="A205" t="s">
        <v>539</v>
      </c>
      <c r="B205">
        <f>Ingredientes!GZ83</f>
        <v>0.97954039029902862</v>
      </c>
      <c r="C205" t="s">
        <v>362</v>
      </c>
    </row>
    <row r="206" spans="1:3" x14ac:dyDescent="0.3">
      <c r="A206" t="s">
        <v>540</v>
      </c>
      <c r="B206">
        <f>Ingredientes!HA83</f>
        <v>0</v>
      </c>
      <c r="C206" t="s">
        <v>362</v>
      </c>
    </row>
    <row r="207" spans="1:3" x14ac:dyDescent="0.3">
      <c r="A207" t="s">
        <v>541</v>
      </c>
      <c r="B207">
        <f>Ingredientes!HB83</f>
        <v>1.7656476051201242</v>
      </c>
      <c r="C207" t="s">
        <v>362</v>
      </c>
    </row>
    <row r="208" spans="1:3" x14ac:dyDescent="0.3">
      <c r="A208" t="s">
        <v>542</v>
      </c>
      <c r="B208">
        <f>Ingredientes!HC83</f>
        <v>1.4002738292173615E-3</v>
      </c>
      <c r="C208" t="s">
        <v>362</v>
      </c>
    </row>
    <row r="209" spans="1:3" x14ac:dyDescent="0.3">
      <c r="A209" t="s">
        <v>543</v>
      </c>
      <c r="B209">
        <f>Ingredientes!HD83</f>
        <v>3.6602506605588709E-3</v>
      </c>
      <c r="C209" t="s">
        <v>362</v>
      </c>
    </row>
    <row r="210" spans="1:3" x14ac:dyDescent="0.3">
      <c r="A210" t="s">
        <v>544</v>
      </c>
      <c r="B210">
        <f>Ingredientes!HE83</f>
        <v>6.8385466078057199E-3</v>
      </c>
      <c r="C210" t="s">
        <v>362</v>
      </c>
    </row>
    <row r="211" spans="1:3" x14ac:dyDescent="0.3">
      <c r="A211" t="s">
        <v>545</v>
      </c>
      <c r="B211">
        <f>Ingredientes!HF83</f>
        <v>1.3546835184986568E-2</v>
      </c>
      <c r="C211" t="s">
        <v>362</v>
      </c>
    </row>
    <row r="212" spans="1:3" x14ac:dyDescent="0.3">
      <c r="A212" t="s">
        <v>546</v>
      </c>
      <c r="B212">
        <f>Ingredientes!HG83</f>
        <v>19.04893439858111</v>
      </c>
      <c r="C212" t="s">
        <v>362</v>
      </c>
    </row>
    <row r="213" spans="1:3" x14ac:dyDescent="0.3">
      <c r="A213" t="s">
        <v>547</v>
      </c>
      <c r="B213">
        <f>Ingredientes!HH83</f>
        <v>4.189098264895847</v>
      </c>
      <c r="C213" t="s">
        <v>362</v>
      </c>
    </row>
    <row r="214" spans="1:3" x14ac:dyDescent="0.3">
      <c r="A214" t="s">
        <v>548</v>
      </c>
      <c r="B214">
        <f>Ingredientes!HI83</f>
        <v>0</v>
      </c>
      <c r="C214" t="s">
        <v>362</v>
      </c>
    </row>
    <row r="215" spans="1:3" x14ac:dyDescent="0.3">
      <c r="A215" t="s">
        <v>549</v>
      </c>
      <c r="B215">
        <f>Ingredientes!HJ83</f>
        <v>0.16073840979109061</v>
      </c>
      <c r="C215" t="s">
        <v>362</v>
      </c>
    </row>
    <row r="216" spans="1:3" x14ac:dyDescent="0.3">
      <c r="A216" t="s">
        <v>550</v>
      </c>
      <c r="B216">
        <f>Ingredientes!HK83</f>
        <v>9.6918487686435152E-4</v>
      </c>
      <c r="C216" t="s">
        <v>333</v>
      </c>
    </row>
    <row r="217" spans="1:3" x14ac:dyDescent="0.3">
      <c r="A217" t="s">
        <v>551</v>
      </c>
      <c r="B217">
        <f>Ingredientes!HL83</f>
        <v>5.7561023733130427E-3</v>
      </c>
      <c r="C217" t="s">
        <v>333</v>
      </c>
    </row>
    <row r="218" spans="1:3" x14ac:dyDescent="0.3">
      <c r="A218" t="s">
        <v>552</v>
      </c>
      <c r="B218">
        <f>Ingredientes!HM83</f>
        <v>3.4192733039028594E-4</v>
      </c>
      <c r="C218" t="s">
        <v>333</v>
      </c>
    </row>
    <row r="219" spans="1:3" x14ac:dyDescent="0.3">
      <c r="A219" t="s">
        <v>553</v>
      </c>
      <c r="B219">
        <f>Ingredientes!HN83</f>
        <v>7.7659837858547985E-3</v>
      </c>
      <c r="C219" t="s">
        <v>362</v>
      </c>
    </row>
    <row r="220" spans="1:3" x14ac:dyDescent="0.3">
      <c r="A220" t="s">
        <v>554</v>
      </c>
      <c r="B220">
        <f>Ingredientes!HO83</f>
        <v>8.0304075880232861E-3</v>
      </c>
      <c r="C220" t="s">
        <v>362</v>
      </c>
    </row>
    <row r="221" spans="1:3" x14ac:dyDescent="0.3">
      <c r="A221" t="s">
        <v>555</v>
      </c>
      <c r="B221">
        <f>Ingredientes!HP83</f>
        <v>0.27186153571716792</v>
      </c>
      <c r="C221" t="s">
        <v>362</v>
      </c>
    </row>
    <row r="222" spans="1:3" x14ac:dyDescent="0.3">
      <c r="A222" t="s">
        <v>556</v>
      </c>
      <c r="B222">
        <f>Ingredientes!HQ83</f>
        <v>0.4366249186545671</v>
      </c>
      <c r="C222" t="s">
        <v>362</v>
      </c>
    </row>
    <row r="223" spans="1:3" x14ac:dyDescent="0.3">
      <c r="A223" t="s">
        <v>557</v>
      </c>
      <c r="B223">
        <f>Ingredientes!HR83</f>
        <v>2.2525521235958912E-2</v>
      </c>
      <c r="C223" t="s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Ingredientes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TORRES</cp:lastModifiedBy>
  <dcterms:created xsi:type="dcterms:W3CDTF">2025-12-09T01:05:58Z</dcterms:created>
  <dcterms:modified xsi:type="dcterms:W3CDTF">2025-12-09T02:49:42Z</dcterms:modified>
</cp:coreProperties>
</file>