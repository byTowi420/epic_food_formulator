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rgb="00DAEEF3"/>
      </patternFill>
    </fill>
    <fill>
      <patternFill patternType="solid">
        <fgColor rgb="00E6B8B7"/>
      </patternFill>
    </fill>
    <fill>
      <patternFill patternType="solid">
        <fgColor rgb="00C4D79B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E4DFE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4" fontId="0" fillId="5" borderId="0" pivotButton="0" quotePrefix="0" xfId="0"/>
    <xf numFmtId="10" fontId="0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2"/>
  <sheetViews>
    <sheetView workbookViewId="0">
      <pane xSplit="6" ySplit="2" topLeftCell="G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Detalles de formulación</t>
        </is>
      </c>
      <c r="G1" s="2" t="inlineStr">
        <is>
          <t>Proximates</t>
        </is>
      </c>
      <c r="P1" s="3" t="inlineStr">
        <is>
          <t>Carbohydrates</t>
        </is>
      </c>
      <c r="Z1" s="4" t="inlineStr">
        <is>
          <t>Minerals</t>
        </is>
      </c>
      <c r="AL1" s="5" t="inlineStr">
        <is>
          <t>Vitamins and Other Components</t>
        </is>
      </c>
      <c r="CN1" s="6" t="inlineStr">
        <is>
          <t>Lipids</t>
        </is>
      </c>
      <c r="FP1" s="7" t="inlineStr">
        <is>
          <t>Amino acids</t>
        </is>
      </c>
      <c r="GI1" s="8" t="inlineStr">
        <is>
          <t>Phytosterols</t>
        </is>
      </c>
      <c r="GR1" s="8" t="inlineStr">
        <is>
          <t>Nutrientes</t>
        </is>
      </c>
    </row>
    <row r="2">
      <c r="A2" s="8" t="inlineStr">
        <is>
          <t>FDC ID</t>
        </is>
      </c>
      <c r="B2" s="8" t="inlineStr">
        <is>
          <t>Ingrediente</t>
        </is>
      </c>
      <c r="C2" s="8" t="inlineStr">
        <is>
          <t>Marca / Origen</t>
        </is>
      </c>
      <c r="D2" s="8" t="inlineStr">
        <is>
          <t>Tipo de dato</t>
        </is>
      </c>
      <c r="E2" s="8" t="inlineStr">
        <is>
          <t>Cantidad (g)</t>
        </is>
      </c>
      <c r="F2" s="8" t="inlineStr">
        <is>
          <t>Cantidad (%)</t>
        </is>
      </c>
      <c r="G2" s="2" t="inlineStr">
        <is>
          <t>Water (g)</t>
        </is>
      </c>
      <c r="H2" s="2" t="inlineStr">
        <is>
          <t>Energy (kcal)</t>
        </is>
      </c>
      <c r="I2" s="2" t="inlineStr">
        <is>
          <t>Energy (kJ)</t>
        </is>
      </c>
      <c r="J2" s="2" t="inlineStr">
        <is>
          <t>Nitrogen (g)</t>
        </is>
      </c>
      <c r="K2" s="2" t="inlineStr">
        <is>
          <t>Protein (g)</t>
        </is>
      </c>
      <c r="L2" s="2" t="inlineStr">
        <is>
          <t>Total fat (NLEA) (g)</t>
        </is>
      </c>
      <c r="M2" s="2" t="inlineStr">
        <is>
          <t>Total lipid (fat) (g)</t>
        </is>
      </c>
      <c r="N2" s="2" t="inlineStr">
        <is>
          <t>Ash (g)</t>
        </is>
      </c>
      <c r="O2" s="2" t="inlineStr">
        <is>
          <t>Carbohydrate, by difference (g)</t>
        </is>
      </c>
      <c r="P2" s="3" t="inlineStr">
        <is>
          <t>Fiber, total dietary (g)</t>
        </is>
      </c>
      <c r="Q2" s="3" t="inlineStr">
        <is>
          <t>Sugars, Total (g)</t>
        </is>
      </c>
      <c r="R2" s="3" t="inlineStr">
        <is>
          <t>Sucrose (g)</t>
        </is>
      </c>
      <c r="S2" s="3" t="inlineStr">
        <is>
          <t>Glucose (g)</t>
        </is>
      </c>
      <c r="T2" s="3" t="inlineStr">
        <is>
          <t>Fructose (g)</t>
        </is>
      </c>
      <c r="U2" s="3" t="inlineStr">
        <is>
          <t>Lactose (g)</t>
        </is>
      </c>
      <c r="V2" s="3" t="inlineStr">
        <is>
          <t>Maltose (g)</t>
        </is>
      </c>
      <c r="W2" s="3" t="inlineStr">
        <is>
          <t>Galactose (g)</t>
        </is>
      </c>
      <c r="X2" s="3" t="inlineStr">
        <is>
          <t>Starch (g)</t>
        </is>
      </c>
      <c r="Y2" s="3" t="inlineStr">
        <is>
          <t>Resistant starch (g)</t>
        </is>
      </c>
      <c r="Z2" s="4" t="inlineStr">
        <is>
          <t>Calcium, Ca (mg)</t>
        </is>
      </c>
      <c r="AA2" s="4" t="inlineStr">
        <is>
          <t>Iron, Fe (mg)</t>
        </is>
      </c>
      <c r="AB2" s="4" t="inlineStr">
        <is>
          <t>Magnesium, Mg (mg)</t>
        </is>
      </c>
      <c r="AC2" s="4" t="inlineStr">
        <is>
          <t>Phosphorus, P (mg)</t>
        </is>
      </c>
      <c r="AD2" s="4" t="inlineStr">
        <is>
          <t>Potassium, K (mg)</t>
        </is>
      </c>
      <c r="AE2" s="4" t="inlineStr">
        <is>
          <t>Sodium, Na (mg)</t>
        </is>
      </c>
      <c r="AF2" s="4" t="inlineStr">
        <is>
          <t>Zinc, Zn (mg)</t>
        </is>
      </c>
      <c r="AG2" s="4" t="inlineStr">
        <is>
          <t>Copper, Cu (mg)</t>
        </is>
      </c>
      <c r="AH2" s="4" t="inlineStr">
        <is>
          <t>Manganese, Mn (mg)</t>
        </is>
      </c>
      <c r="AI2" s="4" t="inlineStr">
        <is>
          <t>Iodine, I (µg)</t>
        </is>
      </c>
      <c r="AJ2" s="4" t="inlineStr">
        <is>
          <t>Selenium, Se (µg)</t>
        </is>
      </c>
      <c r="AK2" s="4" t="inlineStr">
        <is>
          <t>Fluoride, F (µg)</t>
        </is>
      </c>
      <c r="AL2" s="5" t="inlineStr">
        <is>
          <t>Folate, food (µg)</t>
        </is>
      </c>
      <c r="AM2" s="5" t="inlineStr">
        <is>
          <t>Thiamin (mg)</t>
        </is>
      </c>
      <c r="AN2" s="5" t="inlineStr">
        <is>
          <t>Riboflavin (mg)</t>
        </is>
      </c>
      <c r="AO2" s="5" t="inlineStr">
        <is>
          <t>Niacin (mg)</t>
        </is>
      </c>
      <c r="AP2" s="5" t="inlineStr">
        <is>
          <t>Vitamin B-6 (mg)</t>
        </is>
      </c>
      <c r="AQ2" s="5" t="inlineStr">
        <is>
          <t>Folate, total (µg)</t>
        </is>
      </c>
      <c r="AR2" s="5" t="inlineStr">
        <is>
          <t>Folic acid (µg)</t>
        </is>
      </c>
      <c r="AS2" s="5" t="inlineStr">
        <is>
          <t>Folate, DFE (µg)</t>
        </is>
      </c>
      <c r="AT2" s="5" t="inlineStr">
        <is>
          <t>Choline, total (mg)</t>
        </is>
      </c>
      <c r="AU2" s="5" t="inlineStr">
        <is>
          <t>Choline, free (mg)</t>
        </is>
      </c>
      <c r="AV2" s="5" t="inlineStr">
        <is>
          <t>Choline, from phosphocholine (mg)</t>
        </is>
      </c>
      <c r="AW2" s="5" t="inlineStr">
        <is>
          <t>Choline, from phosphatidyl choline (mg)</t>
        </is>
      </c>
      <c r="AX2" s="5" t="inlineStr">
        <is>
          <t>Choline, from glycerophosphocholine (mg)</t>
        </is>
      </c>
      <c r="AY2" s="5" t="inlineStr">
        <is>
          <t>Choline, from sphingomyelin (mg)</t>
        </is>
      </c>
      <c r="AZ2" s="5" t="inlineStr">
        <is>
          <t>Betaine (mg)</t>
        </is>
      </c>
      <c r="BA2" s="5" t="inlineStr">
        <is>
          <t>Vitamin B-12 (µg)</t>
        </is>
      </c>
      <c r="BB2" s="5" t="inlineStr">
        <is>
          <t>Vitamin B-12, added (µg)</t>
        </is>
      </c>
      <c r="BC2" s="5" t="inlineStr">
        <is>
          <t>Vitamin A, RAE (µg)</t>
        </is>
      </c>
      <c r="BD2" s="5" t="inlineStr">
        <is>
          <t>Retinol (µg)</t>
        </is>
      </c>
      <c r="BE2" s="5" t="inlineStr">
        <is>
          <t>Carotene, beta (µg)</t>
        </is>
      </c>
      <c r="BF2" s="5" t="inlineStr">
        <is>
          <t>cis-beta-Carotene (µg)</t>
        </is>
      </c>
      <c r="BG2" s="5" t="inlineStr">
        <is>
          <t>trans-beta-Carotene (µg)</t>
        </is>
      </c>
      <c r="BH2" s="5" t="inlineStr">
        <is>
          <t>Carotene, alpha (µg)</t>
        </is>
      </c>
      <c r="BI2" s="5" t="inlineStr">
        <is>
          <t>Cryptoxanthin, beta (µg)</t>
        </is>
      </c>
      <c r="BJ2" s="5" t="inlineStr">
        <is>
          <t>Cryptoxanthin, alpha (µg)</t>
        </is>
      </c>
      <c r="BK2" s="5" t="inlineStr">
        <is>
          <t>Vitamin A, IU (iu)</t>
        </is>
      </c>
      <c r="BL2" s="5" t="inlineStr">
        <is>
          <t>Lycopene (µg)</t>
        </is>
      </c>
      <c r="BM2" s="5" t="inlineStr">
        <is>
          <t>cis-Lycopene (µg)</t>
        </is>
      </c>
      <c r="BN2" s="5" t="inlineStr">
        <is>
          <t>trans-Lycopene (µg)</t>
        </is>
      </c>
      <c r="BO2" s="5" t="inlineStr">
        <is>
          <t>Lutein + zeaxanthin (µg)</t>
        </is>
      </c>
      <c r="BP2" s="5" t="inlineStr">
        <is>
          <t>cis-Lutein/Zeaxanthin (µg)</t>
        </is>
      </c>
      <c r="BQ2" s="5" t="inlineStr">
        <is>
          <t>Lutein (µg)</t>
        </is>
      </c>
      <c r="BR2" s="5" t="inlineStr">
        <is>
          <t>Zeaxanthin (µg)</t>
        </is>
      </c>
      <c r="BS2" s="5" t="inlineStr">
        <is>
          <t>Vitamin D (D2 + D3), International Units (iu)</t>
        </is>
      </c>
      <c r="BT2" s="5" t="inlineStr">
        <is>
          <t>Vitamin D (D2 + D3) (µg)</t>
        </is>
      </c>
      <c r="BU2" s="5" t="inlineStr">
        <is>
          <t>Vitamin D2 (ergocalciferol) (µg)</t>
        </is>
      </c>
      <c r="BV2" s="5" t="inlineStr">
        <is>
          <t>Vitamin D3 (cholecalciferol) (µg)</t>
        </is>
      </c>
      <c r="BW2" s="5" t="inlineStr">
        <is>
          <t>25-hydroxycholecalciferol (µg)</t>
        </is>
      </c>
      <c r="BX2" s="5" t="inlineStr">
        <is>
          <t>Vitamin K (phylloquinone) (µg)</t>
        </is>
      </c>
      <c r="BY2" s="5" t="inlineStr">
        <is>
          <t>Vitamin K (Dihydrophylloquinone) (µg)</t>
        </is>
      </c>
      <c r="BZ2" s="5" t="inlineStr">
        <is>
          <t>Vitamin K (Menaquinone-4) (µg)</t>
        </is>
      </c>
      <c r="CA2" s="5" t="inlineStr">
        <is>
          <t>Vitamin E (alpha-tocopherol) (mg)</t>
        </is>
      </c>
      <c r="CB2" s="5" t="inlineStr">
        <is>
          <t>Vitamin E, added (mg)</t>
        </is>
      </c>
      <c r="CC2" s="5" t="inlineStr">
        <is>
          <t>Tocopherol, beta (mg)</t>
        </is>
      </c>
      <c r="CD2" s="5" t="inlineStr">
        <is>
          <t>Tocopherol, gamma (mg)</t>
        </is>
      </c>
      <c r="CE2" s="5" t="inlineStr">
        <is>
          <t>Tocopherol, delta (mg)</t>
        </is>
      </c>
      <c r="CF2" s="5" t="inlineStr">
        <is>
          <t>Tocotrienol, alpha (mg)</t>
        </is>
      </c>
      <c r="CG2" s="5" t="inlineStr">
        <is>
          <t>Tocotrienol, beta (mg)</t>
        </is>
      </c>
      <c r="CH2" s="5" t="inlineStr">
        <is>
          <t>Tocotrienol, gamma (mg)</t>
        </is>
      </c>
      <c r="CI2" s="5" t="inlineStr">
        <is>
          <t>Tocotrienol, delta (mg)</t>
        </is>
      </c>
      <c r="CJ2" s="5" t="inlineStr">
        <is>
          <t>Vitamin C, total ascorbic acid (mg)</t>
        </is>
      </c>
      <c r="CK2" s="5" t="inlineStr">
        <is>
          <t>Pantothenic acid (mg)</t>
        </is>
      </c>
      <c r="CL2" s="5" t="inlineStr">
        <is>
          <t>Caffeine (mg)</t>
        </is>
      </c>
      <c r="CM2" s="5" t="inlineStr">
        <is>
          <t>Theobromine (mg)</t>
        </is>
      </c>
      <c r="CN2" s="6" t="inlineStr">
        <is>
          <t>Fatty acids, total saturated (g)</t>
        </is>
      </c>
      <c r="CO2" s="6" t="inlineStr">
        <is>
          <t>SFA 4:0 (g)</t>
        </is>
      </c>
      <c r="CP2" s="6" t="inlineStr">
        <is>
          <t>SFA 5:0 (g)</t>
        </is>
      </c>
      <c r="CQ2" s="6" t="inlineStr">
        <is>
          <t>SFA 6:0 (g)</t>
        </is>
      </c>
      <c r="CR2" s="6" t="inlineStr">
        <is>
          <t>SFA 7:0 (g)</t>
        </is>
      </c>
      <c r="CS2" s="6" t="inlineStr">
        <is>
          <t>SFA 8:0 (g)</t>
        </is>
      </c>
      <c r="CT2" s="6" t="inlineStr">
        <is>
          <t>SFA 9:0 (g)</t>
        </is>
      </c>
      <c r="CU2" s="6" t="inlineStr">
        <is>
          <t>SFA 10:0 (g)</t>
        </is>
      </c>
      <c r="CV2" s="6" t="inlineStr">
        <is>
          <t>SFA 11:0 (g)</t>
        </is>
      </c>
      <c r="CW2" s="6" t="inlineStr">
        <is>
          <t>SFA 12:0 (g)</t>
        </is>
      </c>
      <c r="CX2" s="6" t="inlineStr">
        <is>
          <t>SFA 13:0 (g)</t>
        </is>
      </c>
      <c r="CY2" s="6" t="inlineStr">
        <is>
          <t>SFA 14:0 (g)</t>
        </is>
      </c>
      <c r="CZ2" s="6" t="inlineStr">
        <is>
          <t>SFA 15:0 (g)</t>
        </is>
      </c>
      <c r="DA2" s="6" t="inlineStr">
        <is>
          <t>SFA 16:0 (g)</t>
        </is>
      </c>
      <c r="DB2" s="6" t="inlineStr">
        <is>
          <t>SFA 17:0 (g)</t>
        </is>
      </c>
      <c r="DC2" s="6" t="inlineStr">
        <is>
          <t>SFA 18:0 (g)</t>
        </is>
      </c>
      <c r="DD2" s="6" t="inlineStr">
        <is>
          <t>SFA 20:0 (g)</t>
        </is>
      </c>
      <c r="DE2" s="6" t="inlineStr">
        <is>
          <t>SFA 21:0 (g)</t>
        </is>
      </c>
      <c r="DF2" s="6" t="inlineStr">
        <is>
          <t>SFA 22:0 (g)</t>
        </is>
      </c>
      <c r="DG2" s="6" t="inlineStr">
        <is>
          <t>SFA 23:0 (g)</t>
        </is>
      </c>
      <c r="DH2" s="6" t="inlineStr">
        <is>
          <t>SFA 24:0 (g)</t>
        </is>
      </c>
      <c r="DI2" s="6" t="inlineStr">
        <is>
          <t>Fatty acids, total monounsaturated (g)</t>
        </is>
      </c>
      <c r="DJ2" s="6" t="inlineStr">
        <is>
          <t>MUFA 12:1 (g)</t>
        </is>
      </c>
      <c r="DK2" s="6" t="inlineStr">
        <is>
          <t>MUFA 14:1 (g)</t>
        </is>
      </c>
      <c r="DL2" s="6" t="inlineStr">
        <is>
          <t>MUFA 14:1 c (g)</t>
        </is>
      </c>
      <c r="DM2" s="6" t="inlineStr">
        <is>
          <t>MUFA 15:1 (g)</t>
        </is>
      </c>
      <c r="DN2" s="6" t="inlineStr">
        <is>
          <t>MUFA 16:1 (g)</t>
        </is>
      </c>
      <c r="DO2" s="6" t="inlineStr">
        <is>
          <t>MUFA 16:1 c (g)</t>
        </is>
      </c>
      <c r="DP2" s="6" t="inlineStr">
        <is>
          <t>MUFA 17:1 (g)</t>
        </is>
      </c>
      <c r="DQ2" s="6" t="inlineStr">
        <is>
          <t>MUFA 17:1 c (g)</t>
        </is>
      </c>
      <c r="DR2" s="6" t="inlineStr">
        <is>
          <t>MUFA 18:1 (g)</t>
        </is>
      </c>
      <c r="DS2" s="6" t="inlineStr">
        <is>
          <t>MUFA 18:1 c (g)</t>
        </is>
      </c>
      <c r="DT2" s="6" t="inlineStr">
        <is>
          <t>MUFA 20:1 (g)</t>
        </is>
      </c>
      <c r="DU2" s="6" t="inlineStr">
        <is>
          <t>MUFA 20:1 c (g)</t>
        </is>
      </c>
      <c r="DV2" s="6" t="inlineStr">
        <is>
          <t>MUFA 22:1 (g)</t>
        </is>
      </c>
      <c r="DW2" s="6" t="inlineStr">
        <is>
          <t>MUFA 22:1 c (g)</t>
        </is>
      </c>
      <c r="DX2" s="6" t="inlineStr">
        <is>
          <t>MUFA 22:1 n-9 (g)</t>
        </is>
      </c>
      <c r="DY2" s="6" t="inlineStr">
        <is>
          <t>MUFA 22:1 n-11 (g)</t>
        </is>
      </c>
      <c r="DZ2" s="6" t="inlineStr">
        <is>
          <t>MUFA 24:1 c (g)</t>
        </is>
      </c>
      <c r="EA2" s="6" t="inlineStr">
        <is>
          <t>Fatty acids, total polyunsaturated (g)</t>
        </is>
      </c>
      <c r="EB2" s="6" t="inlineStr">
        <is>
          <t>PUFA 18:2 (g)</t>
        </is>
      </c>
      <c r="EC2" s="6" t="inlineStr">
        <is>
          <t>PUFA 18:2 c (g)</t>
        </is>
      </c>
      <c r="ED2" s="6" t="inlineStr">
        <is>
          <t>PUFA 18:2 n-6 c,c (g)</t>
        </is>
      </c>
      <c r="EE2" s="6" t="inlineStr">
        <is>
          <t>PUFA 18:2 CLAs (g)</t>
        </is>
      </c>
      <c r="EF2" s="6" t="inlineStr">
        <is>
          <t>PUFA 18:3 (g)</t>
        </is>
      </c>
      <c r="EG2" s="6" t="inlineStr">
        <is>
          <t>PUFA 18:3 c (g)</t>
        </is>
      </c>
      <c r="EH2" s="6" t="inlineStr">
        <is>
          <t>PUFA 18:3 n-3 c,c,c (ALA) (g)</t>
        </is>
      </c>
      <c r="EI2" s="6" t="inlineStr">
        <is>
          <t>PUFA 18:3 n-6 c,c,c (g)</t>
        </is>
      </c>
      <c r="EJ2" s="6" t="inlineStr">
        <is>
          <t>PUFA 18:4 (g)</t>
        </is>
      </c>
      <c r="EK2" s="6" t="inlineStr">
        <is>
          <t>PUFA 20:2 c (g)</t>
        </is>
      </c>
      <c r="EL2" s="6" t="inlineStr">
        <is>
          <t>PUFA 20:2 n-6 c,c (g)</t>
        </is>
      </c>
      <c r="EM2" s="6" t="inlineStr">
        <is>
          <t>PUFA 20:3 (g)</t>
        </is>
      </c>
      <c r="EN2" s="6" t="inlineStr">
        <is>
          <t>PUFA 20:3 c (g)</t>
        </is>
      </c>
      <c r="EO2" s="6" t="inlineStr">
        <is>
          <t>PUFA 20:3 n-3 (g)</t>
        </is>
      </c>
      <c r="EP2" s="6" t="inlineStr">
        <is>
          <t>PUFA 20:3 n-6 (g)</t>
        </is>
      </c>
      <c r="EQ2" s="6" t="inlineStr">
        <is>
          <t>PUFA 20:3 n-9 (g)</t>
        </is>
      </c>
      <c r="ER2" s="6" t="inlineStr">
        <is>
          <t>PUFA 20:4 (g)</t>
        </is>
      </c>
      <c r="ES2" s="6" t="inlineStr">
        <is>
          <t>PUFA 20:4c (g)</t>
        </is>
      </c>
      <c r="ET2" s="6" t="inlineStr">
        <is>
          <t>PUFA 20:5c (g)</t>
        </is>
      </c>
      <c r="EU2" s="6" t="inlineStr">
        <is>
          <t>PUFA 20:5 n-3 (EPA) (g)</t>
        </is>
      </c>
      <c r="EV2" s="6" t="inlineStr">
        <is>
          <t>PUFA 22:2 (g)</t>
        </is>
      </c>
      <c r="EW2" s="6" t="inlineStr">
        <is>
          <t>PUFA 22:3 (g)</t>
        </is>
      </c>
      <c r="EX2" s="6" t="inlineStr">
        <is>
          <t>PUFA 22:4 (g)</t>
        </is>
      </c>
      <c r="EY2" s="6" t="inlineStr">
        <is>
          <t>PUFA 22:5 c (g)</t>
        </is>
      </c>
      <c r="EZ2" s="6" t="inlineStr">
        <is>
          <t>PUFA 22:5 n-3 (DPA) (g)</t>
        </is>
      </c>
      <c r="FA2" s="6" t="inlineStr">
        <is>
          <t>PUFA 22:6 c (g)</t>
        </is>
      </c>
      <c r="FB2" s="6" t="inlineStr">
        <is>
          <t>PUFA 22:6 n-3 (DHA) (g)</t>
        </is>
      </c>
      <c r="FC2" s="6" t="inlineStr">
        <is>
          <t>Fatty acids, total trans (g)</t>
        </is>
      </c>
      <c r="FD2" s="6" t="inlineStr">
        <is>
          <t>Fatty acids, total trans-monoenoic (g)</t>
        </is>
      </c>
      <c r="FE2" s="6" t="inlineStr">
        <is>
          <t>Fatty acids, total trans-dienoic (g)</t>
        </is>
      </c>
      <c r="FF2" s="6" t="inlineStr">
        <is>
          <t>Fatty acids, total trans-polyenoic (g)</t>
        </is>
      </c>
      <c r="FG2" s="6" t="inlineStr">
        <is>
          <t>TFA 14:1 t (g)</t>
        </is>
      </c>
      <c r="FH2" s="6" t="inlineStr">
        <is>
          <t>TFA 16:1 t (g)</t>
        </is>
      </c>
      <c r="FI2" s="6" t="inlineStr">
        <is>
          <t>TFA 18:1 t (g)</t>
        </is>
      </c>
      <c r="FJ2" s="6" t="inlineStr">
        <is>
          <t>TFA 18:2 t,t (g)</t>
        </is>
      </c>
      <c r="FK2" s="6" t="inlineStr">
        <is>
          <t>TFA 18:2 t not further defined (g)</t>
        </is>
      </c>
      <c r="FL2" s="6" t="inlineStr">
        <is>
          <t>TFA 18:3 t (g)</t>
        </is>
      </c>
      <c r="FM2" s="6" t="inlineStr">
        <is>
          <t>TFA 20:1 t (g)</t>
        </is>
      </c>
      <c r="FN2" s="6" t="inlineStr">
        <is>
          <t>TFA 22:1 t (g)</t>
        </is>
      </c>
      <c r="FO2" s="6" t="inlineStr">
        <is>
          <t>Cholesterol (mg)</t>
        </is>
      </c>
      <c r="FP2" s="7" t="inlineStr">
        <is>
          <t>Tryptophan (g)</t>
        </is>
      </c>
      <c r="FQ2" s="7" t="inlineStr">
        <is>
          <t>Threonine (g)</t>
        </is>
      </c>
      <c r="FR2" s="7" t="inlineStr">
        <is>
          <t>Isoleucine (g)</t>
        </is>
      </c>
      <c r="FS2" s="7" t="inlineStr">
        <is>
          <t>Leucine (g)</t>
        </is>
      </c>
      <c r="FT2" s="7" t="inlineStr">
        <is>
          <t>Lysine (g)</t>
        </is>
      </c>
      <c r="FU2" s="7" t="inlineStr">
        <is>
          <t>Methionine (g)</t>
        </is>
      </c>
      <c r="FV2" s="7" t="inlineStr">
        <is>
          <t>Phenylalanine (g)</t>
        </is>
      </c>
      <c r="FW2" s="7" t="inlineStr">
        <is>
          <t>Tyrosine (g)</t>
        </is>
      </c>
      <c r="FX2" s="7" t="inlineStr">
        <is>
          <t>Valine (g)</t>
        </is>
      </c>
      <c r="FY2" s="7" t="inlineStr">
        <is>
          <t>Arginine (g)</t>
        </is>
      </c>
      <c r="FZ2" s="7" t="inlineStr">
        <is>
          <t>Histidine (g)</t>
        </is>
      </c>
      <c r="GA2" s="7" t="inlineStr">
        <is>
          <t>Alanine (g)</t>
        </is>
      </c>
      <c r="GB2" s="7" t="inlineStr">
        <is>
          <t>Aspartic acid (g)</t>
        </is>
      </c>
      <c r="GC2" s="7" t="inlineStr">
        <is>
          <t>Glutamic acid (g)</t>
        </is>
      </c>
      <c r="GD2" s="7" t="inlineStr">
        <is>
          <t>Glycine (g)</t>
        </is>
      </c>
      <c r="GE2" s="7" t="inlineStr">
        <is>
          <t>Proline (g)</t>
        </is>
      </c>
      <c r="GF2" s="7" t="inlineStr">
        <is>
          <t>Serine (g)</t>
        </is>
      </c>
      <c r="GG2" s="7" t="inlineStr">
        <is>
          <t>Hydroxyproline (g)</t>
        </is>
      </c>
      <c r="GH2" s="7" t="inlineStr">
        <is>
          <t>Cysteine (g)</t>
        </is>
      </c>
      <c r="GI2" s="8" t="inlineStr">
        <is>
          <t>Phytosterols (mg)</t>
        </is>
      </c>
      <c r="GJ2" s="8" t="inlineStr">
        <is>
          <t>Beta-sitosterol (mg)</t>
        </is>
      </c>
      <c r="GK2" s="8" t="inlineStr">
        <is>
          <t>Brassicasterol (mg)</t>
        </is>
      </c>
      <c r="GL2" s="8" t="inlineStr">
        <is>
          <t>Campesterol (mg)</t>
        </is>
      </c>
      <c r="GM2" s="8" t="inlineStr">
        <is>
          <t>Campestanol (mg)</t>
        </is>
      </c>
      <c r="GN2" s="8" t="inlineStr">
        <is>
          <t>Delta-5-avenasterol (mg)</t>
        </is>
      </c>
      <c r="GO2" s="8" t="inlineStr">
        <is>
          <t>Phytosterols, other (mg)</t>
        </is>
      </c>
      <c r="GP2" s="8" t="inlineStr">
        <is>
          <t>Stigmasterol (mg)</t>
        </is>
      </c>
      <c r="GQ2" s="8" t="inlineStr">
        <is>
          <t>Beta-sitostanol (mg)</t>
        </is>
      </c>
      <c r="GR2" s="8" t="inlineStr">
        <is>
          <t>Alcohol, ethyl (g)</t>
        </is>
      </c>
    </row>
    <row r="3">
      <c r="A3" t="n">
        <v>748967</v>
      </c>
      <c r="B3" t="inlineStr">
        <is>
          <t>Eggs, Grade A, Large, egg whole</t>
        </is>
      </c>
      <c r="C3" t="inlineStr"/>
      <c r="D3" t="inlineStr">
        <is>
          <t>Foundation</t>
        </is>
      </c>
      <c r="E3" s="9" t="n">
        <v>136.5907168881269</v>
      </c>
      <c r="F3" s="10">
        <f>E3/SUM($E$3:$E$11)</f>
        <v/>
      </c>
      <c r="G3" t="n">
        <v>75.8</v>
      </c>
      <c r="H3" t="n">
        <v>143.08</v>
      </c>
      <c r="I3" t="n">
        <v>598.6467200000001</v>
      </c>
      <c r="J3" t="n">
        <v>1.99</v>
      </c>
      <c r="K3" t="n">
        <v>12.4</v>
      </c>
      <c r="L3" t="n">
        <v>8.65</v>
      </c>
      <c r="M3" t="n">
        <v>9.960000000000001</v>
      </c>
      <c r="N3" t="n">
        <v>0.85</v>
      </c>
      <c r="O3" t="n">
        <v>0.96</v>
      </c>
      <c r="P3" t="n">
        <v>0</v>
      </c>
      <c r="Q3" t="n">
        <v>0.2</v>
      </c>
      <c r="R3" t="n">
        <v>0</v>
      </c>
      <c r="S3" t="n">
        <v>0.2</v>
      </c>
      <c r="T3" t="n">
        <v>0</v>
      </c>
      <c r="U3" t="n">
        <v>0</v>
      </c>
      <c r="V3" t="n">
        <v>0</v>
      </c>
      <c r="X3" t="n">
        <v>0</v>
      </c>
      <c r="Z3" t="n">
        <v>48</v>
      </c>
      <c r="AA3" t="n">
        <v>1.67</v>
      </c>
      <c r="AB3" t="n">
        <v>11.4</v>
      </c>
      <c r="AC3" t="n">
        <v>184</v>
      </c>
      <c r="AD3" t="n">
        <v>132</v>
      </c>
      <c r="AE3" t="n">
        <v>129</v>
      </c>
      <c r="AF3" t="n">
        <v>1.24</v>
      </c>
      <c r="AG3" t="n">
        <v>0</v>
      </c>
      <c r="AH3" t="n">
        <v>0</v>
      </c>
      <c r="AI3" t="n">
        <v>49.1</v>
      </c>
      <c r="AJ3" t="n">
        <v>31.1</v>
      </c>
      <c r="AM3" t="n">
        <v>0.077</v>
      </c>
      <c r="AN3" t="n">
        <v>0.419</v>
      </c>
      <c r="AO3" t="n">
        <v>0</v>
      </c>
      <c r="AP3" t="n">
        <v>0.063</v>
      </c>
      <c r="AQ3" t="n">
        <v>71</v>
      </c>
      <c r="AT3" t="n">
        <v>335</v>
      </c>
      <c r="AU3" t="n">
        <v>0.6</v>
      </c>
      <c r="AV3" t="n">
        <v>309</v>
      </c>
      <c r="AW3" t="n">
        <v>0.2</v>
      </c>
      <c r="AX3" t="n">
        <v>0.2</v>
      </c>
      <c r="AY3" t="n">
        <v>25.1</v>
      </c>
      <c r="AZ3" t="n">
        <v>0.3</v>
      </c>
      <c r="BA3" t="n">
        <v>1.02</v>
      </c>
      <c r="BC3" t="n">
        <v>180</v>
      </c>
      <c r="BD3" t="n">
        <v>179</v>
      </c>
      <c r="BE3" t="n">
        <v>0</v>
      </c>
      <c r="BF3" t="n">
        <v>0</v>
      </c>
      <c r="BG3" t="n">
        <v>0</v>
      </c>
      <c r="BH3" t="n">
        <v>0</v>
      </c>
      <c r="BI3" t="n">
        <v>13</v>
      </c>
      <c r="BJ3" t="n">
        <v>13</v>
      </c>
      <c r="BL3" t="n">
        <v>0</v>
      </c>
      <c r="BM3" t="n">
        <v>0</v>
      </c>
      <c r="BN3" t="n">
        <v>0</v>
      </c>
      <c r="BP3" t="n">
        <v>57</v>
      </c>
      <c r="BQ3" t="n">
        <v>230</v>
      </c>
      <c r="BR3" t="n">
        <v>229</v>
      </c>
      <c r="BS3" t="n">
        <v>98.40000000000001</v>
      </c>
      <c r="BT3" t="n">
        <v>2.46</v>
      </c>
      <c r="BU3" t="n">
        <v>0</v>
      </c>
      <c r="BV3" t="n">
        <v>2.46</v>
      </c>
      <c r="BW3" t="n">
        <v>0.5600000000000001</v>
      </c>
      <c r="CN3" t="n">
        <v>3.2</v>
      </c>
      <c r="CY3" t="n">
        <v>0.032</v>
      </c>
      <c r="DA3" t="n">
        <v>2.32</v>
      </c>
      <c r="DC3" t="n">
        <v>0.8129999999999999</v>
      </c>
      <c r="DI3" t="n">
        <v>3.63</v>
      </c>
      <c r="DO3" t="n">
        <v>0.238</v>
      </c>
      <c r="DS3" t="n">
        <v>3.35</v>
      </c>
      <c r="EA3" t="n">
        <v>1.82</v>
      </c>
      <c r="EC3" t="n">
        <v>1.46</v>
      </c>
      <c r="ED3" t="n">
        <v>1.46</v>
      </c>
      <c r="EG3" t="n">
        <v>0.011</v>
      </c>
      <c r="EI3" t="n">
        <v>0.011</v>
      </c>
      <c r="EN3" t="n">
        <v>0.02</v>
      </c>
      <c r="EP3" t="n">
        <v>0.02</v>
      </c>
      <c r="FO3" t="n">
        <v>411</v>
      </c>
      <c r="FP3" t="n">
        <v>0.166</v>
      </c>
      <c r="FQ3" t="n">
        <v>0.594</v>
      </c>
      <c r="FR3" t="n">
        <v>0.616</v>
      </c>
      <c r="FS3" t="n">
        <v>1.05</v>
      </c>
      <c r="FT3" t="n">
        <v>0.832</v>
      </c>
      <c r="FU3" t="n">
        <v>0.418</v>
      </c>
      <c r="FV3" t="n">
        <v>0.66</v>
      </c>
      <c r="FW3" t="n">
        <v>0.512</v>
      </c>
      <c r="FX3" t="n">
        <v>0.734</v>
      </c>
      <c r="FY3" t="n">
        <v>0.787</v>
      </c>
      <c r="FZ3" t="n">
        <v>0.283</v>
      </c>
      <c r="GA3" t="n">
        <v>0.667</v>
      </c>
      <c r="GB3" t="n">
        <v>1.27</v>
      </c>
      <c r="GC3" t="n">
        <v>1.63</v>
      </c>
      <c r="GD3" t="n">
        <v>0.408</v>
      </c>
      <c r="GE3" t="n">
        <v>0.5600000000000001</v>
      </c>
      <c r="GF3" t="n">
        <v>0.919</v>
      </c>
      <c r="GG3" t="n">
        <v>0</v>
      </c>
      <c r="GH3" t="n">
        <v>0.385</v>
      </c>
    </row>
    <row r="4">
      <c r="A4" t="n">
        <v>174158</v>
      </c>
      <c r="B4" t="inlineStr">
        <is>
          <t>Water, bottled, generic</t>
        </is>
      </c>
      <c r="C4" t="inlineStr"/>
      <c r="D4" t="inlineStr">
        <is>
          <t>SR Legacy</t>
        </is>
      </c>
      <c r="E4" s="9" t="n">
        <v>600</v>
      </c>
      <c r="F4" s="10">
        <f>E4/SUM($E$3:$E$11)</f>
        <v/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0.07000000000000001</v>
      </c>
      <c r="O4" t="n">
        <v>0</v>
      </c>
      <c r="P4" t="n">
        <v>0</v>
      </c>
      <c r="Q4" t="n">
        <v>0</v>
      </c>
      <c r="Z4" t="n">
        <v>10</v>
      </c>
      <c r="AA4" t="n">
        <v>0</v>
      </c>
      <c r="AB4" t="n">
        <v>2</v>
      </c>
      <c r="AC4" t="n">
        <v>0</v>
      </c>
      <c r="AD4" t="n">
        <v>0</v>
      </c>
      <c r="AE4" t="n">
        <v>2</v>
      </c>
      <c r="AF4" t="n">
        <v>0</v>
      </c>
      <c r="AG4" t="n">
        <v>0.007</v>
      </c>
      <c r="AJ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H4" t="n">
        <v>0</v>
      </c>
      <c r="BI4" t="n">
        <v>0</v>
      </c>
      <c r="BK4" t="n">
        <v>0</v>
      </c>
      <c r="BL4" t="n">
        <v>0</v>
      </c>
      <c r="BO4" t="n">
        <v>0</v>
      </c>
      <c r="BS4" t="n">
        <v>0</v>
      </c>
      <c r="BT4" t="n">
        <v>0</v>
      </c>
      <c r="BX4" t="n">
        <v>0</v>
      </c>
      <c r="CA4" t="n">
        <v>0</v>
      </c>
      <c r="CB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Q4" t="n">
        <v>0</v>
      </c>
      <c r="CS4" t="n">
        <v>0</v>
      </c>
      <c r="CU4" t="n">
        <v>0</v>
      </c>
      <c r="CW4" t="n">
        <v>0</v>
      </c>
      <c r="CY4" t="n">
        <v>0</v>
      </c>
      <c r="DA4" t="n">
        <v>0</v>
      </c>
      <c r="DC4" t="n">
        <v>0</v>
      </c>
      <c r="DI4" t="n">
        <v>0</v>
      </c>
      <c r="DN4" t="n">
        <v>0</v>
      </c>
      <c r="DR4" t="n">
        <v>0</v>
      </c>
      <c r="DT4" t="n">
        <v>0</v>
      </c>
      <c r="DV4" t="n">
        <v>0</v>
      </c>
      <c r="EA4" t="n">
        <v>0</v>
      </c>
      <c r="EB4" t="n">
        <v>0</v>
      </c>
      <c r="EF4" t="n">
        <v>0</v>
      </c>
      <c r="EJ4" t="n">
        <v>0</v>
      </c>
      <c r="ER4" t="n">
        <v>0</v>
      </c>
      <c r="EU4" t="n">
        <v>0</v>
      </c>
      <c r="EZ4" t="n">
        <v>0</v>
      </c>
      <c r="FB4" t="n">
        <v>0</v>
      </c>
      <c r="FC4" t="n">
        <v>0</v>
      </c>
      <c r="FO4" t="n">
        <v>0</v>
      </c>
      <c r="GR4" t="n">
        <v>0</v>
      </c>
    </row>
    <row r="5">
      <c r="A5" t="n">
        <v>171320</v>
      </c>
      <c r="B5" t="inlineStr">
        <is>
          <t>Spices, cinnamon, ground</t>
        </is>
      </c>
      <c r="C5" t="inlineStr"/>
      <c r="D5" t="inlineStr">
        <is>
          <t>SR Legacy</t>
        </is>
      </c>
      <c r="E5" s="9" t="n">
        <v>60.70698528361198</v>
      </c>
      <c r="F5" s="10">
        <f>E5/SUM($E$3:$E$11)</f>
        <v/>
      </c>
      <c r="G5" t="n">
        <v>10.6</v>
      </c>
      <c r="H5" t="n">
        <v>349.52</v>
      </c>
      <c r="I5" t="n">
        <v>1462.39168</v>
      </c>
      <c r="J5" t="n">
        <v>0.6384000000000001</v>
      </c>
      <c r="K5" t="n">
        <v>3.99</v>
      </c>
      <c r="L5" t="n">
        <v>1.24</v>
      </c>
      <c r="M5" t="n">
        <v>1.24</v>
      </c>
      <c r="N5" t="n">
        <v>3.6</v>
      </c>
      <c r="O5" t="n">
        <v>80.59999999999999</v>
      </c>
      <c r="P5" t="n">
        <v>53.1</v>
      </c>
      <c r="Q5" t="n">
        <v>2.17</v>
      </c>
      <c r="R5" t="n">
        <v>0.02</v>
      </c>
      <c r="S5" t="n">
        <v>1.04</v>
      </c>
      <c r="T5" t="n">
        <v>1.11</v>
      </c>
      <c r="U5" t="n">
        <v>0</v>
      </c>
      <c r="V5" t="n">
        <v>0</v>
      </c>
      <c r="W5" t="n">
        <v>0</v>
      </c>
      <c r="Z5" t="n">
        <v>1000</v>
      </c>
      <c r="AA5" t="n">
        <v>8.32</v>
      </c>
      <c r="AB5" t="n">
        <v>60</v>
      </c>
      <c r="AC5" t="n">
        <v>64</v>
      </c>
      <c r="AD5" t="n">
        <v>431</v>
      </c>
      <c r="AE5" t="n">
        <v>10</v>
      </c>
      <c r="AF5" t="n">
        <v>1.83</v>
      </c>
      <c r="AG5" t="n">
        <v>0.339</v>
      </c>
      <c r="AH5" t="n">
        <v>17.5</v>
      </c>
      <c r="AJ5" t="n">
        <v>3.1</v>
      </c>
      <c r="AL5" t="n">
        <v>6</v>
      </c>
      <c r="AM5" t="n">
        <v>0.022</v>
      </c>
      <c r="AN5" t="n">
        <v>0.041</v>
      </c>
      <c r="AO5" t="n">
        <v>1.33</v>
      </c>
      <c r="AP5" t="n">
        <v>0.158</v>
      </c>
      <c r="AQ5" t="n">
        <v>6</v>
      </c>
      <c r="AR5" t="n">
        <v>0</v>
      </c>
      <c r="AS5" t="n">
        <v>6</v>
      </c>
      <c r="AT5" t="n">
        <v>11</v>
      </c>
      <c r="AZ5" t="n">
        <v>3.9</v>
      </c>
      <c r="BA5" t="n">
        <v>0</v>
      </c>
      <c r="BB5" t="n">
        <v>0</v>
      </c>
      <c r="BC5" t="n">
        <v>15</v>
      </c>
      <c r="BD5" t="n">
        <v>0</v>
      </c>
      <c r="BE5" t="n">
        <v>112</v>
      </c>
      <c r="BH5" t="n">
        <v>1</v>
      </c>
      <c r="BI5" t="n">
        <v>129</v>
      </c>
      <c r="BK5" t="n">
        <v>295</v>
      </c>
      <c r="BL5" t="n">
        <v>15</v>
      </c>
      <c r="BO5" t="n">
        <v>222</v>
      </c>
      <c r="BS5" t="n">
        <v>0</v>
      </c>
      <c r="BT5" t="n">
        <v>0</v>
      </c>
      <c r="BX5" t="n">
        <v>31.2</v>
      </c>
      <c r="BY5" t="n">
        <v>0</v>
      </c>
      <c r="CA5" t="n">
        <v>2.32</v>
      </c>
      <c r="CB5" t="n">
        <v>0</v>
      </c>
      <c r="CC5" t="n">
        <v>0</v>
      </c>
      <c r="CD5" t="n">
        <v>10.4</v>
      </c>
      <c r="CE5" t="n">
        <v>0.26</v>
      </c>
      <c r="CF5" t="n">
        <v>0</v>
      </c>
      <c r="CG5" t="n">
        <v>0</v>
      </c>
      <c r="CH5" t="n">
        <v>0</v>
      </c>
      <c r="CI5" t="n">
        <v>0</v>
      </c>
      <c r="CJ5" t="n">
        <v>3.8</v>
      </c>
      <c r="CK5" t="n">
        <v>0.358</v>
      </c>
      <c r="CL5" t="n">
        <v>0</v>
      </c>
      <c r="CM5" t="n">
        <v>0</v>
      </c>
      <c r="CN5" t="n">
        <v>0.345</v>
      </c>
      <c r="CO5" t="n">
        <v>0</v>
      </c>
      <c r="CQ5" t="n">
        <v>0</v>
      </c>
      <c r="CS5" t="n">
        <v>0</v>
      </c>
      <c r="CU5" t="n">
        <v>0.003</v>
      </c>
      <c r="CW5" t="n">
        <v>0.006</v>
      </c>
      <c r="CX5" t="n">
        <v>0</v>
      </c>
      <c r="CY5" t="n">
        <v>0.008999999999999999</v>
      </c>
      <c r="CZ5" t="n">
        <v>0</v>
      </c>
      <c r="DA5" t="n">
        <v>0.104</v>
      </c>
      <c r="DB5" t="n">
        <v>0.136</v>
      </c>
      <c r="DC5" t="n">
        <v>0.082</v>
      </c>
      <c r="DD5" t="n">
        <v>0</v>
      </c>
      <c r="DF5" t="n">
        <v>0</v>
      </c>
      <c r="DH5" t="n">
        <v>0</v>
      </c>
      <c r="DI5" t="n">
        <v>0.246</v>
      </c>
      <c r="DK5" t="n">
        <v>0</v>
      </c>
      <c r="DM5" t="n">
        <v>0</v>
      </c>
      <c r="DN5" t="n">
        <v>0.001</v>
      </c>
      <c r="DP5" t="n">
        <v>0</v>
      </c>
      <c r="DR5" t="n">
        <v>0.246</v>
      </c>
      <c r="DS5" t="n">
        <v>0.246</v>
      </c>
      <c r="DT5" t="n">
        <v>0</v>
      </c>
      <c r="DV5" t="n">
        <v>0</v>
      </c>
      <c r="DZ5" t="n">
        <v>0</v>
      </c>
      <c r="EA5" t="n">
        <v>0.068</v>
      </c>
      <c r="EB5" t="n">
        <v>0.044</v>
      </c>
      <c r="EF5" t="n">
        <v>0.011</v>
      </c>
      <c r="EH5" t="n">
        <v>0.011</v>
      </c>
      <c r="EI5" t="n">
        <v>0</v>
      </c>
      <c r="EJ5" t="n">
        <v>0</v>
      </c>
      <c r="EL5" t="n">
        <v>0</v>
      </c>
      <c r="EM5" t="n">
        <v>0</v>
      </c>
      <c r="ER5" t="n">
        <v>0</v>
      </c>
      <c r="EU5" t="n">
        <v>0</v>
      </c>
      <c r="EZ5" t="n">
        <v>0</v>
      </c>
      <c r="FB5" t="n">
        <v>0</v>
      </c>
      <c r="FC5" t="n">
        <v>0</v>
      </c>
      <c r="FD5" t="n">
        <v>0</v>
      </c>
      <c r="FI5" t="n">
        <v>0</v>
      </c>
      <c r="FO5" t="n">
        <v>0</v>
      </c>
      <c r="FP5" t="n">
        <v>0.049</v>
      </c>
      <c r="FQ5" t="n">
        <v>0.136</v>
      </c>
      <c r="FR5" t="n">
        <v>0.146</v>
      </c>
      <c r="FS5" t="n">
        <v>0.253</v>
      </c>
      <c r="FT5" t="n">
        <v>0.243</v>
      </c>
      <c r="FU5" t="n">
        <v>0.078</v>
      </c>
      <c r="FV5" t="n">
        <v>0.146</v>
      </c>
      <c r="FW5" t="n">
        <v>0.136</v>
      </c>
      <c r="FX5" t="n">
        <v>0.224</v>
      </c>
      <c r="FY5" t="n">
        <v>0.166</v>
      </c>
      <c r="FZ5" t="n">
        <v>0.117</v>
      </c>
      <c r="GA5" t="n">
        <v>0.166</v>
      </c>
      <c r="GB5" t="n">
        <v>0.438</v>
      </c>
      <c r="GC5" t="n">
        <v>0.37</v>
      </c>
      <c r="GD5" t="n">
        <v>0.195</v>
      </c>
      <c r="GE5" t="n">
        <v>0.419</v>
      </c>
      <c r="GF5" t="n">
        <v>0.195</v>
      </c>
      <c r="GG5" t="n">
        <v>0</v>
      </c>
      <c r="GH5" t="n">
        <v>0.058</v>
      </c>
      <c r="GI5" t="n">
        <v>26</v>
      </c>
      <c r="GR5" t="n">
        <v>0</v>
      </c>
    </row>
    <row r="6">
      <c r="A6" t="n">
        <v>172336</v>
      </c>
      <c r="B6" t="inlineStr">
        <is>
          <t>Oil, canola</t>
        </is>
      </c>
      <c r="C6" t="inlineStr"/>
      <c r="D6" t="inlineStr">
        <is>
          <t>SR Legacy</t>
        </is>
      </c>
      <c r="E6" s="9" t="n">
        <v>0</v>
      </c>
      <c r="F6" s="10">
        <f>E6/SUM($E$3:$E$11)</f>
        <v/>
      </c>
      <c r="G6" t="n">
        <v>0</v>
      </c>
      <c r="H6" t="n">
        <v>900</v>
      </c>
      <c r="I6" t="n">
        <v>3765.6</v>
      </c>
      <c r="J6" t="n">
        <v>0</v>
      </c>
      <c r="K6" t="n">
        <v>0</v>
      </c>
      <c r="L6" t="n">
        <v>100</v>
      </c>
      <c r="M6" t="n">
        <v>100</v>
      </c>
      <c r="N6" t="n">
        <v>0</v>
      </c>
      <c r="O6" t="n">
        <v>0</v>
      </c>
      <c r="P6" t="n">
        <v>0</v>
      </c>
      <c r="Q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J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0.2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H6" t="n">
        <v>0</v>
      </c>
      <c r="BI6" t="n">
        <v>0</v>
      </c>
      <c r="BK6" t="n">
        <v>0</v>
      </c>
      <c r="BL6" t="n">
        <v>0</v>
      </c>
      <c r="BO6" t="n">
        <v>0</v>
      </c>
      <c r="BS6" t="n">
        <v>0</v>
      </c>
      <c r="BT6" t="n">
        <v>0</v>
      </c>
      <c r="BX6" t="n">
        <v>71.3</v>
      </c>
      <c r="BY6" t="n">
        <v>0</v>
      </c>
      <c r="BZ6" t="n">
        <v>0</v>
      </c>
      <c r="CA6" t="n">
        <v>17.5</v>
      </c>
      <c r="CB6" t="n">
        <v>0</v>
      </c>
      <c r="CC6" t="n">
        <v>0.01</v>
      </c>
      <c r="CD6" t="n">
        <v>27.3</v>
      </c>
      <c r="CE6" t="n">
        <v>0.99</v>
      </c>
      <c r="CF6" t="n">
        <v>0.03</v>
      </c>
      <c r="CG6" t="n">
        <v>0</v>
      </c>
      <c r="CH6" t="n">
        <v>0</v>
      </c>
      <c r="CI6" t="n">
        <v>0.01</v>
      </c>
      <c r="CJ6" t="n">
        <v>0</v>
      </c>
      <c r="CK6" t="n">
        <v>0</v>
      </c>
      <c r="CL6" t="n">
        <v>0</v>
      </c>
      <c r="CM6" t="n">
        <v>0</v>
      </c>
      <c r="CN6" t="n">
        <v>7.36</v>
      </c>
      <c r="CO6" t="n">
        <v>0</v>
      </c>
      <c r="CQ6" t="n">
        <v>0</v>
      </c>
      <c r="CS6" t="n">
        <v>0</v>
      </c>
      <c r="CU6" t="n">
        <v>0</v>
      </c>
      <c r="CW6" t="n">
        <v>0</v>
      </c>
      <c r="CY6" t="n">
        <v>0</v>
      </c>
      <c r="CZ6" t="n">
        <v>0</v>
      </c>
      <c r="DA6" t="n">
        <v>4.3</v>
      </c>
      <c r="DB6" t="n">
        <v>0</v>
      </c>
      <c r="DC6" t="n">
        <v>2.09</v>
      </c>
      <c r="DD6" t="n">
        <v>0.65</v>
      </c>
      <c r="DF6" t="n">
        <v>0.33</v>
      </c>
      <c r="DI6" t="n">
        <v>63.3</v>
      </c>
      <c r="DK6" t="n">
        <v>0</v>
      </c>
      <c r="DM6" t="n">
        <v>0</v>
      </c>
      <c r="DN6" t="n">
        <v>0.214</v>
      </c>
      <c r="DP6" t="n">
        <v>0</v>
      </c>
      <c r="DR6" t="n">
        <v>61.7</v>
      </c>
      <c r="DS6" t="n">
        <v>61.7</v>
      </c>
      <c r="DT6" t="n">
        <v>1.32</v>
      </c>
      <c r="DV6" t="n">
        <v>0</v>
      </c>
      <c r="EA6" t="n">
        <v>28.1</v>
      </c>
      <c r="EB6" t="n">
        <v>19</v>
      </c>
      <c r="ED6" t="n">
        <v>18.6</v>
      </c>
      <c r="EF6" t="n">
        <v>9.140000000000001</v>
      </c>
      <c r="EH6" t="n">
        <v>9.140000000000001</v>
      </c>
      <c r="EI6" t="n">
        <v>0</v>
      </c>
      <c r="EJ6" t="n">
        <v>0</v>
      </c>
      <c r="EL6" t="n">
        <v>0</v>
      </c>
      <c r="EM6" t="n">
        <v>0</v>
      </c>
      <c r="ER6" t="n">
        <v>0</v>
      </c>
      <c r="EU6" t="n">
        <v>0</v>
      </c>
      <c r="EZ6" t="n">
        <v>0</v>
      </c>
      <c r="FB6" t="n">
        <v>0</v>
      </c>
      <c r="FC6" t="n">
        <v>0.395</v>
      </c>
      <c r="FD6" t="n">
        <v>0.03</v>
      </c>
      <c r="FF6" t="n">
        <v>0.365</v>
      </c>
      <c r="FI6" t="n">
        <v>0.03</v>
      </c>
      <c r="FJ6" t="n">
        <v>0.365</v>
      </c>
      <c r="FO6" t="n">
        <v>0</v>
      </c>
      <c r="GJ6" t="n">
        <v>413</v>
      </c>
      <c r="GL6" t="n">
        <v>241</v>
      </c>
      <c r="GP6" t="n">
        <v>3</v>
      </c>
      <c r="GR6" t="n">
        <v>0</v>
      </c>
    </row>
    <row r="7">
      <c r="A7" t="n">
        <v>748366</v>
      </c>
      <c r="B7" t="inlineStr">
        <is>
          <t>Oil, soybean</t>
        </is>
      </c>
      <c r="C7" t="inlineStr"/>
      <c r="D7" t="inlineStr">
        <is>
          <t>Foundation</t>
        </is>
      </c>
      <c r="E7" s="9" t="n">
        <v>0</v>
      </c>
      <c r="F7" s="10">
        <f>E7/SUM($E$3:$E$11)</f>
        <v/>
      </c>
      <c r="H7" t="n">
        <v>851.4</v>
      </c>
      <c r="I7" t="n">
        <v>3562.2576</v>
      </c>
      <c r="L7" t="n">
        <v>94.59999999999999</v>
      </c>
      <c r="M7" t="n">
        <v>94.59999999999999</v>
      </c>
      <c r="CA7" t="n">
        <v>12.2</v>
      </c>
      <c r="CC7" t="n">
        <v>1.8</v>
      </c>
      <c r="CD7" t="n">
        <v>70.40000000000001</v>
      </c>
      <c r="CE7" t="n">
        <v>22</v>
      </c>
      <c r="CF7" t="n">
        <v>0</v>
      </c>
      <c r="CG7" t="n">
        <v>1.6</v>
      </c>
      <c r="CH7" t="n">
        <v>0</v>
      </c>
      <c r="CI7" t="n">
        <v>0</v>
      </c>
      <c r="CN7" t="n">
        <v>14.9</v>
      </c>
      <c r="CY7" t="n">
        <v>0.075</v>
      </c>
      <c r="CZ7" t="n">
        <v>0.014</v>
      </c>
      <c r="DA7" t="n">
        <v>10.3</v>
      </c>
      <c r="DB7" t="n">
        <v>0.08599999999999999</v>
      </c>
      <c r="DC7" t="n">
        <v>3.71</v>
      </c>
      <c r="DD7" t="n">
        <v>0.294</v>
      </c>
      <c r="DE7" t="n">
        <v>0.025</v>
      </c>
      <c r="DF7" t="n">
        <v>0.306</v>
      </c>
      <c r="DH7" t="n">
        <v>0.124</v>
      </c>
      <c r="DI7" t="n">
        <v>22.1</v>
      </c>
      <c r="DO7" t="n">
        <v>0.08</v>
      </c>
      <c r="DS7" t="n">
        <v>21.4</v>
      </c>
      <c r="DU7" t="n">
        <v>0.6</v>
      </c>
      <c r="EA7" t="n">
        <v>57.6</v>
      </c>
      <c r="EC7" t="n">
        <v>50.9</v>
      </c>
      <c r="ED7" t="n">
        <v>50.9</v>
      </c>
      <c r="EG7" t="n">
        <v>6.62</v>
      </c>
      <c r="EH7" t="n">
        <v>6.62</v>
      </c>
      <c r="EN7" t="n">
        <v>0</v>
      </c>
      <c r="EP7" t="n">
        <v>0</v>
      </c>
      <c r="GJ7" t="n">
        <v>153</v>
      </c>
      <c r="GK7" t="n">
        <v>0</v>
      </c>
      <c r="GL7" t="n">
        <v>58</v>
      </c>
      <c r="GM7" t="n">
        <v>2.15</v>
      </c>
      <c r="GN7" t="n">
        <v>10.5</v>
      </c>
      <c r="GO7" t="n">
        <v>20.8</v>
      </c>
      <c r="GP7" t="n">
        <v>55.4</v>
      </c>
      <c r="GQ7" t="n">
        <v>5.62</v>
      </c>
    </row>
    <row r="8">
      <c r="A8" t="n">
        <v>173468</v>
      </c>
      <c r="B8" t="inlineStr">
        <is>
          <t>Salt, table</t>
        </is>
      </c>
      <c r="C8" t="inlineStr"/>
      <c r="D8" t="inlineStr">
        <is>
          <t>SR Legacy</t>
        </is>
      </c>
      <c r="E8" s="9" t="n">
        <v>0</v>
      </c>
      <c r="F8" s="10">
        <f>E8/SUM($E$3:$E$11)</f>
        <v/>
      </c>
      <c r="G8" t="n">
        <v>0.2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99.8</v>
      </c>
      <c r="O8" t="n">
        <v>0</v>
      </c>
      <c r="P8" t="n">
        <v>0</v>
      </c>
      <c r="Q8" t="n">
        <v>0</v>
      </c>
      <c r="Z8" t="n">
        <v>24</v>
      </c>
      <c r="AA8" t="n">
        <v>0.33</v>
      </c>
      <c r="AB8" t="n">
        <v>1</v>
      </c>
      <c r="AC8" t="n">
        <v>0</v>
      </c>
      <c r="AD8" t="n">
        <v>8</v>
      </c>
      <c r="AE8" t="n">
        <v>38800</v>
      </c>
      <c r="AF8" t="n">
        <v>0.1</v>
      </c>
      <c r="AG8" t="n">
        <v>0.03</v>
      </c>
      <c r="AH8" t="n">
        <v>0.1</v>
      </c>
      <c r="AJ8" t="n">
        <v>0.1</v>
      </c>
      <c r="AK8" t="n">
        <v>2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H8" t="n">
        <v>0</v>
      </c>
      <c r="BI8" t="n">
        <v>0</v>
      </c>
      <c r="BK8" t="n">
        <v>0</v>
      </c>
      <c r="BL8" t="n">
        <v>0</v>
      </c>
      <c r="BO8" t="n">
        <v>0</v>
      </c>
      <c r="BS8" t="n">
        <v>0</v>
      </c>
      <c r="BT8" t="n">
        <v>0</v>
      </c>
      <c r="BX8" t="n">
        <v>0</v>
      </c>
      <c r="CA8" t="n">
        <v>0</v>
      </c>
      <c r="CB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Q8" t="n">
        <v>0</v>
      </c>
      <c r="CS8" t="n">
        <v>0</v>
      </c>
      <c r="CU8" t="n">
        <v>0</v>
      </c>
      <c r="CW8" t="n">
        <v>0</v>
      </c>
      <c r="CY8" t="n">
        <v>0</v>
      </c>
      <c r="DA8" t="n">
        <v>0</v>
      </c>
      <c r="DC8" t="n">
        <v>0</v>
      </c>
      <c r="DI8" t="n">
        <v>0</v>
      </c>
      <c r="DN8" t="n">
        <v>0</v>
      </c>
      <c r="DR8" t="n">
        <v>0</v>
      </c>
      <c r="DT8" t="n">
        <v>0</v>
      </c>
      <c r="DV8" t="n">
        <v>0</v>
      </c>
      <c r="EA8" t="n">
        <v>0</v>
      </c>
      <c r="EB8" t="n">
        <v>0</v>
      </c>
      <c r="EF8" t="n">
        <v>0</v>
      </c>
      <c r="EJ8" t="n">
        <v>0</v>
      </c>
      <c r="ER8" t="n">
        <v>0</v>
      </c>
      <c r="EU8" t="n">
        <v>0</v>
      </c>
      <c r="EZ8" t="n">
        <v>0</v>
      </c>
      <c r="FB8" t="n">
        <v>0</v>
      </c>
      <c r="FC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H8" t="n">
        <v>0</v>
      </c>
      <c r="GI8" t="n">
        <v>0</v>
      </c>
      <c r="GR8" t="n">
        <v>0</v>
      </c>
    </row>
    <row r="9">
      <c r="A9" t="n">
        <v>2644283</v>
      </c>
      <c r="B9" t="inlineStr">
        <is>
          <t>Lentils, dry</t>
        </is>
      </c>
      <c r="C9" t="inlineStr"/>
      <c r="D9" t="inlineStr">
        <is>
          <t>Foundation</t>
        </is>
      </c>
      <c r="E9" s="9" t="n">
        <v>0</v>
      </c>
      <c r="F9" s="10">
        <f>E9/SUM($E$3:$E$11)</f>
        <v/>
      </c>
      <c r="G9" t="n">
        <v>9.449999999999999</v>
      </c>
      <c r="H9" t="n">
        <v>360.48</v>
      </c>
      <c r="I9" t="n">
        <v>1508.24832</v>
      </c>
      <c r="J9" t="n">
        <v>3.77</v>
      </c>
      <c r="K9" t="n">
        <v>23.6</v>
      </c>
      <c r="L9" t="n">
        <v>1.92</v>
      </c>
      <c r="M9" t="n">
        <v>1.92</v>
      </c>
      <c r="N9" t="n">
        <v>2.88</v>
      </c>
      <c r="O9" t="n">
        <v>62.2</v>
      </c>
      <c r="X9" t="n">
        <v>37.1</v>
      </c>
      <c r="Y9" t="n">
        <v>16</v>
      </c>
      <c r="Z9" t="n">
        <v>61.8</v>
      </c>
      <c r="AA9" t="n">
        <v>7.16</v>
      </c>
      <c r="AB9" t="n">
        <v>107</v>
      </c>
      <c r="AC9" t="n">
        <v>374</v>
      </c>
      <c r="AD9" t="n">
        <v>949</v>
      </c>
      <c r="AE9" t="n">
        <v>0</v>
      </c>
      <c r="AF9" t="n">
        <v>3.86</v>
      </c>
      <c r="AG9" t="n">
        <v>0.838</v>
      </c>
      <c r="AH9" t="n">
        <v>1.57</v>
      </c>
    </row>
    <row r="10">
      <c r="A10" t="n">
        <v>2707920</v>
      </c>
      <c r="B10" t="inlineStr">
        <is>
          <t>Cookie, chocolate sandwich</t>
        </is>
      </c>
      <c r="C10" t="inlineStr"/>
      <c r="D10" t="inlineStr">
        <is>
          <t>Survey (FNDDS)</t>
        </is>
      </c>
      <c r="E10" s="9" t="n">
        <v>0</v>
      </c>
      <c r="F10" s="10">
        <f>E10/SUM($E$3:$E$11)</f>
        <v/>
      </c>
      <c r="G10" t="n">
        <v>3.11</v>
      </c>
      <c r="H10" t="n">
        <v>476.74</v>
      </c>
      <c r="I10" t="n">
        <v>1994.68016</v>
      </c>
      <c r="J10" t="n">
        <v>0.8336</v>
      </c>
      <c r="K10" t="n">
        <v>5.21</v>
      </c>
      <c r="L10" t="n">
        <v>19.1</v>
      </c>
      <c r="M10" t="n">
        <v>19.1</v>
      </c>
      <c r="O10" t="n">
        <v>71</v>
      </c>
      <c r="P10" t="n">
        <v>2.9</v>
      </c>
      <c r="Q10" t="n">
        <v>40.7</v>
      </c>
      <c r="Z10" t="n">
        <v>21</v>
      </c>
      <c r="AA10" t="n">
        <v>12.1</v>
      </c>
      <c r="AB10" t="n">
        <v>47</v>
      </c>
      <c r="AC10" t="n">
        <v>93</v>
      </c>
      <c r="AD10" t="n">
        <v>234</v>
      </c>
      <c r="AE10" t="n">
        <v>388</v>
      </c>
      <c r="AF10" t="n">
        <v>0.74</v>
      </c>
      <c r="AG10" t="n">
        <v>0.334</v>
      </c>
      <c r="AJ10" t="n">
        <v>5.2</v>
      </c>
      <c r="AL10" t="n">
        <v>3</v>
      </c>
      <c r="AM10" t="n">
        <v>0.197</v>
      </c>
      <c r="AN10" t="n">
        <v>0.238</v>
      </c>
      <c r="AO10" t="n">
        <v>2.6</v>
      </c>
      <c r="AP10" t="n">
        <v>0.023</v>
      </c>
      <c r="AQ10" t="n">
        <v>61</v>
      </c>
      <c r="AR10" t="n">
        <v>58</v>
      </c>
      <c r="AS10" t="n">
        <v>102</v>
      </c>
      <c r="AT10" t="n">
        <v>19.2</v>
      </c>
      <c r="BA10" t="n">
        <v>0</v>
      </c>
      <c r="BB10" t="n">
        <v>0</v>
      </c>
      <c r="BC10" t="n">
        <v>1</v>
      </c>
      <c r="BD10" t="n">
        <v>0</v>
      </c>
      <c r="BE10" t="n">
        <v>0</v>
      </c>
      <c r="BH10" t="n">
        <v>0</v>
      </c>
      <c r="BI10" t="n">
        <v>0</v>
      </c>
      <c r="BL10" t="n">
        <v>0</v>
      </c>
      <c r="BO10" t="n">
        <v>4</v>
      </c>
      <c r="BT10" t="n">
        <v>0</v>
      </c>
      <c r="BX10" t="n">
        <v>27.4</v>
      </c>
      <c r="CA10" t="n">
        <v>2.47</v>
      </c>
      <c r="CB10" t="n">
        <v>0</v>
      </c>
      <c r="CJ10" t="n">
        <v>0</v>
      </c>
      <c r="CL10" t="n">
        <v>5</v>
      </c>
      <c r="CM10" t="n">
        <v>184</v>
      </c>
      <c r="CN10" t="n">
        <v>5.65</v>
      </c>
      <c r="CO10" t="n">
        <v>0</v>
      </c>
      <c r="CQ10" t="n">
        <v>0</v>
      </c>
      <c r="CS10" t="n">
        <v>0.003</v>
      </c>
      <c r="CU10" t="n">
        <v>0.011</v>
      </c>
      <c r="CW10" t="n">
        <v>0.045</v>
      </c>
      <c r="CY10" t="n">
        <v>0.111</v>
      </c>
      <c r="DA10" t="n">
        <v>4.45</v>
      </c>
      <c r="DC10" t="n">
        <v>0.857</v>
      </c>
      <c r="DI10" t="n">
        <v>9.279999999999999</v>
      </c>
      <c r="DN10" t="n">
        <v>0.036</v>
      </c>
      <c r="DR10" t="n">
        <v>9.109999999999999</v>
      </c>
      <c r="DT10" t="n">
        <v>0.12</v>
      </c>
      <c r="DV10" t="n">
        <v>0.003</v>
      </c>
      <c r="EA10" t="n">
        <v>3.56</v>
      </c>
      <c r="EB10" t="n">
        <v>3.25</v>
      </c>
      <c r="EF10" t="n">
        <v>0.298</v>
      </c>
      <c r="EJ10" t="n">
        <v>0</v>
      </c>
      <c r="ER10" t="n">
        <v>0.004</v>
      </c>
      <c r="EU10" t="n">
        <v>0</v>
      </c>
      <c r="EZ10" t="n">
        <v>0</v>
      </c>
      <c r="FB10" t="n">
        <v>0</v>
      </c>
      <c r="FO10" t="n">
        <v>0</v>
      </c>
      <c r="GR10" t="n">
        <v>0</v>
      </c>
    </row>
    <row r="11">
      <c r="A11" t="n">
        <v>746782</v>
      </c>
      <c r="B11" t="inlineStr">
        <is>
          <t>Milk, whole, 3.25% milkfat, with added vitamin D</t>
        </is>
      </c>
      <c r="C11" t="inlineStr"/>
      <c r="D11" t="inlineStr">
        <is>
          <t>Foundation</t>
        </is>
      </c>
      <c r="E11" s="9" t="n">
        <v>0</v>
      </c>
      <c r="F11" s="10">
        <f>E11/SUM($E$3:$E$11)</f>
        <v/>
      </c>
      <c r="G11" t="n">
        <v>88.09999999999999</v>
      </c>
      <c r="H11" t="n">
        <v>60.40000000000001</v>
      </c>
      <c r="I11" t="n">
        <v>252.7136</v>
      </c>
      <c r="J11" t="n">
        <v>0.51</v>
      </c>
      <c r="K11" t="n">
        <v>3.27</v>
      </c>
      <c r="L11" t="n">
        <v>2.77</v>
      </c>
      <c r="M11" t="n">
        <v>3.2</v>
      </c>
      <c r="N11" t="n">
        <v>0.8</v>
      </c>
      <c r="O11" t="n">
        <v>4.63</v>
      </c>
      <c r="Q11" t="n">
        <v>4.81</v>
      </c>
      <c r="R11" t="n">
        <v>0</v>
      </c>
      <c r="S11" t="n">
        <v>0</v>
      </c>
      <c r="T11" t="n">
        <v>0</v>
      </c>
      <c r="U11" t="n">
        <v>4.81</v>
      </c>
      <c r="V11" t="n">
        <v>0</v>
      </c>
      <c r="W11" t="n">
        <v>0</v>
      </c>
      <c r="Z11" t="n">
        <v>123</v>
      </c>
      <c r="AA11" t="n">
        <v>0</v>
      </c>
      <c r="AB11" t="n">
        <v>11.9</v>
      </c>
      <c r="AC11" t="n">
        <v>101</v>
      </c>
      <c r="AD11" t="n">
        <v>150</v>
      </c>
      <c r="AE11" t="n">
        <v>38</v>
      </c>
      <c r="AF11" t="n">
        <v>0.42</v>
      </c>
      <c r="AG11" t="n">
        <v>0.001</v>
      </c>
      <c r="AH11" t="n">
        <v>0</v>
      </c>
      <c r="AI11" t="n">
        <v>37.9</v>
      </c>
      <c r="AJ11" t="n">
        <v>1.9</v>
      </c>
      <c r="AM11" t="n">
        <v>0.056</v>
      </c>
      <c r="AN11" t="n">
        <v>0.138</v>
      </c>
      <c r="AO11" t="n">
        <v>0.105</v>
      </c>
      <c r="AP11" t="n">
        <v>0.061</v>
      </c>
      <c r="AQ11" t="n">
        <v>0</v>
      </c>
      <c r="AT11" t="n">
        <v>17.8</v>
      </c>
      <c r="AU11" t="n">
        <v>3</v>
      </c>
      <c r="AV11" t="n">
        <v>1.3</v>
      </c>
      <c r="AW11" t="n">
        <v>1.8</v>
      </c>
      <c r="AX11" t="n">
        <v>10.3</v>
      </c>
      <c r="AY11" t="n">
        <v>1.4</v>
      </c>
      <c r="AZ11" t="n">
        <v>0.7</v>
      </c>
      <c r="BA11" t="n">
        <v>0.54</v>
      </c>
      <c r="BC11" t="n">
        <v>32</v>
      </c>
      <c r="BD11" t="n">
        <v>31</v>
      </c>
      <c r="BE11" t="n">
        <v>7</v>
      </c>
      <c r="BF11" t="n">
        <v>2</v>
      </c>
      <c r="BG11" t="n">
        <v>5</v>
      </c>
      <c r="BH11" t="n">
        <v>0</v>
      </c>
      <c r="BI11" t="n">
        <v>0</v>
      </c>
      <c r="BJ11" t="n">
        <v>0</v>
      </c>
      <c r="BL11" t="n">
        <v>0</v>
      </c>
      <c r="BM11" t="n">
        <v>0</v>
      </c>
      <c r="BN11" t="n">
        <v>0</v>
      </c>
      <c r="BP11" t="n">
        <v>0</v>
      </c>
      <c r="BQ11" t="n">
        <v>5</v>
      </c>
      <c r="BR11" t="n">
        <v>1</v>
      </c>
      <c r="BS11" t="n">
        <v>38.4</v>
      </c>
      <c r="BT11" t="n">
        <v>0.96</v>
      </c>
      <c r="BU11" t="n">
        <v>0</v>
      </c>
      <c r="BV11" t="n">
        <v>0.96</v>
      </c>
      <c r="BW11" t="n">
        <v>0</v>
      </c>
      <c r="CA11" t="n">
        <v>0.05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K11" t="n">
        <v>0.362</v>
      </c>
      <c r="CN11" t="n">
        <v>1.86</v>
      </c>
      <c r="CO11" t="n">
        <v>0.067</v>
      </c>
      <c r="CP11" t="n">
        <v>0</v>
      </c>
      <c r="CQ11" t="n">
        <v>0.054</v>
      </c>
      <c r="CR11" t="n">
        <v>0</v>
      </c>
      <c r="CS11" t="n">
        <v>0.034</v>
      </c>
      <c r="CT11" t="n">
        <v>0</v>
      </c>
      <c r="CU11" t="n">
        <v>0.08400000000000001</v>
      </c>
      <c r="CV11" t="n">
        <v>0</v>
      </c>
      <c r="CW11" t="n">
        <v>0.097</v>
      </c>
      <c r="CY11" t="n">
        <v>0.303</v>
      </c>
      <c r="CZ11" t="n">
        <v>0.032</v>
      </c>
      <c r="DA11" t="n">
        <v>0.857</v>
      </c>
      <c r="DB11" t="n">
        <v>0.018</v>
      </c>
      <c r="DC11" t="n">
        <v>0.309</v>
      </c>
      <c r="DD11" t="n">
        <v>0.004</v>
      </c>
      <c r="DE11" t="n">
        <v>0</v>
      </c>
      <c r="DF11" t="n">
        <v>0.002</v>
      </c>
      <c r="DG11" t="n">
        <v>0</v>
      </c>
      <c r="DH11" t="n">
        <v>0.001</v>
      </c>
      <c r="DI11" t="n">
        <v>0.6879999999999999</v>
      </c>
      <c r="DJ11" t="n">
        <v>0.001</v>
      </c>
      <c r="DL11" t="n">
        <v>0.024</v>
      </c>
      <c r="DM11" t="n">
        <v>0</v>
      </c>
      <c r="DO11" t="n">
        <v>0.039</v>
      </c>
      <c r="DP11" t="n">
        <v>0.005</v>
      </c>
      <c r="DQ11" t="n">
        <v>0.005</v>
      </c>
      <c r="DS11" t="n">
        <v>0.612</v>
      </c>
      <c r="DU11" t="n">
        <v>0.004</v>
      </c>
      <c r="DW11" t="n">
        <v>0</v>
      </c>
      <c r="DX11" t="n">
        <v>0</v>
      </c>
      <c r="DY11" t="n">
        <v>0</v>
      </c>
      <c r="DZ11" t="n">
        <v>0</v>
      </c>
      <c r="EA11" t="n">
        <v>0.108</v>
      </c>
      <c r="EC11" t="n">
        <v>0.097</v>
      </c>
      <c r="ED11" t="n">
        <v>0.08400000000000001</v>
      </c>
      <c r="EE11" t="n">
        <v>0.013</v>
      </c>
      <c r="EG11" t="n">
        <v>0.013</v>
      </c>
      <c r="EH11" t="n">
        <v>0.012</v>
      </c>
      <c r="EI11" t="n">
        <v>0.001</v>
      </c>
      <c r="EJ11" t="n">
        <v>0</v>
      </c>
      <c r="EK11" t="n">
        <v>0.001</v>
      </c>
      <c r="EL11" t="n">
        <v>0.001</v>
      </c>
      <c r="EN11" t="n">
        <v>0.004</v>
      </c>
      <c r="EO11" t="n">
        <v>0</v>
      </c>
      <c r="EP11" t="n">
        <v>0.004</v>
      </c>
      <c r="EQ11" t="n">
        <v>0</v>
      </c>
      <c r="ER11" t="n">
        <v>0.004</v>
      </c>
      <c r="ES11" t="n">
        <v>0.004</v>
      </c>
      <c r="ET11" t="n">
        <v>0.001</v>
      </c>
      <c r="EU11" t="n">
        <v>0.001</v>
      </c>
      <c r="EV11" t="n">
        <v>0</v>
      </c>
      <c r="EW11" t="n">
        <v>0</v>
      </c>
      <c r="EX11" t="n">
        <v>0.001</v>
      </c>
      <c r="EY11" t="n">
        <v>0.002</v>
      </c>
      <c r="EZ11" t="n">
        <v>0.002</v>
      </c>
      <c r="FA11" t="n">
        <v>0</v>
      </c>
      <c r="FB11" t="n">
        <v>0</v>
      </c>
      <c r="FC11" t="n">
        <v>0.112</v>
      </c>
      <c r="FD11" t="n">
        <v>0.095</v>
      </c>
      <c r="FE11" t="n">
        <v>0.018</v>
      </c>
      <c r="FF11" t="n">
        <v>0</v>
      </c>
      <c r="FG11" t="n">
        <v>0.005</v>
      </c>
      <c r="FH11" t="n">
        <v>0.008</v>
      </c>
      <c r="FI11" t="n">
        <v>0.082</v>
      </c>
      <c r="FK11" t="n">
        <v>0.018</v>
      </c>
      <c r="FL11" t="n">
        <v>0</v>
      </c>
      <c r="FM11" t="n">
        <v>0</v>
      </c>
      <c r="FN11" t="n">
        <v>0</v>
      </c>
      <c r="FO11" t="n">
        <v>12</v>
      </c>
      <c r="FP11" t="n">
        <v>0.043</v>
      </c>
      <c r="FQ11" t="n">
        <v>0.154</v>
      </c>
      <c r="FR11" t="n">
        <v>0.173</v>
      </c>
      <c r="FS11" t="n">
        <v>0.333</v>
      </c>
      <c r="FT11" t="n">
        <v>0.298</v>
      </c>
      <c r="FU11" t="n">
        <v>0.09</v>
      </c>
      <c r="FV11" t="n">
        <v>0.161</v>
      </c>
      <c r="FW11" t="n">
        <v>0.162</v>
      </c>
      <c r="FX11" t="n">
        <v>0.207</v>
      </c>
      <c r="FY11" t="n">
        <v>0.127</v>
      </c>
      <c r="FZ11" t="n">
        <v>0.097</v>
      </c>
      <c r="GA11" t="n">
        <v>0.11</v>
      </c>
      <c r="GB11" t="n">
        <v>0.279</v>
      </c>
      <c r="GC11" t="n">
        <v>0.788</v>
      </c>
      <c r="GD11" t="n">
        <v>0.06900000000000001</v>
      </c>
      <c r="GE11" t="n">
        <v>0.333</v>
      </c>
      <c r="GF11" t="n">
        <v>0.188</v>
      </c>
      <c r="GG11" t="n">
        <v>0</v>
      </c>
      <c r="GH11" t="n">
        <v>0.038</v>
      </c>
    </row>
    <row r="12">
      <c r="A12" t="inlineStr">
        <is>
          <t>Total</t>
        </is>
      </c>
      <c r="B12" t="inlineStr">
        <is>
          <t>Formulado</t>
        </is>
      </c>
      <c r="C12" t="inlineStr">
        <is>
          <t>Formulado</t>
        </is>
      </c>
      <c r="D12" t="inlineStr">
        <is>
          <t>Formulado</t>
        </is>
      </c>
      <c r="E12" s="11">
        <f>SUBTOTAL(9,E3:E11)</f>
        <v/>
      </c>
      <c r="F12" s="12" t="inlineStr">
        <is>
          <t>100%</t>
        </is>
      </c>
      <c r="G12" s="13">
        <f>SUMPRODUCT($F$3:$F$11,$G$3:$G$11)</f>
        <v/>
      </c>
      <c r="H12" s="13">
        <f>SUMPRODUCT($F$3:$F$11,$H$3:$H$11)</f>
        <v/>
      </c>
      <c r="I12" s="13">
        <f>SUMPRODUCT($F$3:$F$11,$I$3:$I$11)</f>
        <v/>
      </c>
      <c r="J12" s="13">
        <f>SUMPRODUCT($F$3:$F$11,$J$3:$J$11)</f>
        <v/>
      </c>
      <c r="K12" s="13">
        <f>SUMPRODUCT($F$3:$F$11,$K$3:$K$11)</f>
        <v/>
      </c>
      <c r="L12" s="13">
        <f>SUMPRODUCT($F$3:$F$11,$L$3:$L$11)</f>
        <v/>
      </c>
      <c r="M12" s="13">
        <f>SUMPRODUCT($F$3:$F$11,$M$3:$M$11)</f>
        <v/>
      </c>
      <c r="N12" s="13">
        <f>SUMPRODUCT($F$3:$F$11,$N$3:$N$11)</f>
        <v/>
      </c>
      <c r="O12" s="13">
        <f>SUMPRODUCT($F$3:$F$11,$O$3:$O$11)</f>
        <v/>
      </c>
      <c r="P12" s="13">
        <f>SUMPRODUCT($F$3:$F$11,$P$3:$P$11)</f>
        <v/>
      </c>
      <c r="Q12" s="13">
        <f>SUMPRODUCT($F$3:$F$11,$Q$3:$Q$11)</f>
        <v/>
      </c>
      <c r="R12" s="13">
        <f>SUMPRODUCT($F$3:$F$11,$R$3:$R$11)</f>
        <v/>
      </c>
      <c r="S12" s="13">
        <f>SUMPRODUCT($F$3:$F$11,$S$3:$S$11)</f>
        <v/>
      </c>
      <c r="T12" s="13">
        <f>SUMPRODUCT($F$3:$F$11,$T$3:$T$11)</f>
        <v/>
      </c>
      <c r="U12" s="13">
        <f>SUMPRODUCT($F$3:$F$11,$U$3:$U$11)</f>
        <v/>
      </c>
      <c r="V12" s="13">
        <f>SUMPRODUCT($F$3:$F$11,$V$3:$V$11)</f>
        <v/>
      </c>
      <c r="W12" s="13">
        <f>SUMPRODUCT($F$3:$F$11,$W$3:$W$11)</f>
        <v/>
      </c>
      <c r="X12" s="13">
        <f>SUMPRODUCT($F$3:$F$11,$X$3:$X$11)</f>
        <v/>
      </c>
      <c r="Y12" s="13">
        <f>SUMPRODUCT($F$3:$F$11,$Y$3:$Y$11)</f>
        <v/>
      </c>
      <c r="Z12" s="13">
        <f>SUMPRODUCT($F$3:$F$11,$Z$3:$Z$11)</f>
        <v/>
      </c>
      <c r="AA12" s="13">
        <f>SUMPRODUCT($F$3:$F$11,$AA$3:$AA$11)</f>
        <v/>
      </c>
      <c r="AB12" s="13">
        <f>SUMPRODUCT($F$3:$F$11,$AB$3:$AB$11)</f>
        <v/>
      </c>
      <c r="AC12" s="13">
        <f>SUMPRODUCT($F$3:$F$11,$AC$3:$AC$11)</f>
        <v/>
      </c>
      <c r="AD12" s="13">
        <f>SUMPRODUCT($F$3:$F$11,$AD$3:$AD$11)</f>
        <v/>
      </c>
      <c r="AE12" s="13">
        <f>SUMPRODUCT($F$3:$F$11,$AE$3:$AE$11)</f>
        <v/>
      </c>
      <c r="AF12" s="13">
        <f>SUMPRODUCT($F$3:$F$11,$AF$3:$AF$11)</f>
        <v/>
      </c>
      <c r="AG12" s="13">
        <f>SUMPRODUCT($F$3:$F$11,$AG$3:$AG$11)</f>
        <v/>
      </c>
      <c r="AH12" s="13">
        <f>SUMPRODUCT($F$3:$F$11,$AH$3:$AH$11)</f>
        <v/>
      </c>
      <c r="AI12" s="13">
        <f>SUMPRODUCT($F$3:$F$11,$AI$3:$AI$11)</f>
        <v/>
      </c>
      <c r="AJ12" s="13">
        <f>SUMPRODUCT($F$3:$F$11,$AJ$3:$AJ$11)</f>
        <v/>
      </c>
      <c r="AK12" s="13">
        <f>SUMPRODUCT($F$3:$F$11,$AK$3:$AK$11)</f>
        <v/>
      </c>
      <c r="AL12" s="13">
        <f>SUMPRODUCT($F$3:$F$11,$AL$3:$AL$11)</f>
        <v/>
      </c>
      <c r="AM12" s="13">
        <f>SUMPRODUCT($F$3:$F$11,$AM$3:$AM$11)</f>
        <v/>
      </c>
      <c r="AN12" s="13">
        <f>SUMPRODUCT($F$3:$F$11,$AN$3:$AN$11)</f>
        <v/>
      </c>
      <c r="AO12" s="13">
        <f>SUMPRODUCT($F$3:$F$11,$AO$3:$AO$11)</f>
        <v/>
      </c>
      <c r="AP12" s="13">
        <f>SUMPRODUCT($F$3:$F$11,$AP$3:$AP$11)</f>
        <v/>
      </c>
      <c r="AQ12" s="13">
        <f>SUMPRODUCT($F$3:$F$11,$AQ$3:$AQ$11)</f>
        <v/>
      </c>
      <c r="AR12" s="13">
        <f>SUMPRODUCT($F$3:$F$11,$AR$3:$AR$11)</f>
        <v/>
      </c>
      <c r="AS12" s="13">
        <f>SUMPRODUCT($F$3:$F$11,$AS$3:$AS$11)</f>
        <v/>
      </c>
      <c r="AT12" s="13">
        <f>SUMPRODUCT($F$3:$F$11,$AT$3:$AT$11)</f>
        <v/>
      </c>
      <c r="AU12" s="13">
        <f>SUMPRODUCT($F$3:$F$11,$AU$3:$AU$11)</f>
        <v/>
      </c>
      <c r="AV12" s="13">
        <f>SUMPRODUCT($F$3:$F$11,$AV$3:$AV$11)</f>
        <v/>
      </c>
      <c r="AW12" s="13">
        <f>SUMPRODUCT($F$3:$F$11,$AW$3:$AW$11)</f>
        <v/>
      </c>
      <c r="AX12" s="13">
        <f>SUMPRODUCT($F$3:$F$11,$AX$3:$AX$11)</f>
        <v/>
      </c>
      <c r="AY12" s="13">
        <f>SUMPRODUCT($F$3:$F$11,$AY$3:$AY$11)</f>
        <v/>
      </c>
      <c r="AZ12" s="13">
        <f>SUMPRODUCT($F$3:$F$11,$AZ$3:$AZ$11)</f>
        <v/>
      </c>
      <c r="BA12" s="13">
        <f>SUMPRODUCT($F$3:$F$11,$BA$3:$BA$11)</f>
        <v/>
      </c>
      <c r="BB12" s="13">
        <f>SUMPRODUCT($F$3:$F$11,$BB$3:$BB$11)</f>
        <v/>
      </c>
      <c r="BC12" s="13">
        <f>SUMPRODUCT($F$3:$F$11,$BC$3:$BC$11)</f>
        <v/>
      </c>
      <c r="BD12" s="13">
        <f>SUMPRODUCT($F$3:$F$11,$BD$3:$BD$11)</f>
        <v/>
      </c>
      <c r="BE12" s="13">
        <f>SUMPRODUCT($F$3:$F$11,$BE$3:$BE$11)</f>
        <v/>
      </c>
      <c r="BF12" s="13">
        <f>SUMPRODUCT($F$3:$F$11,$BF$3:$BF$11)</f>
        <v/>
      </c>
      <c r="BG12" s="13">
        <f>SUMPRODUCT($F$3:$F$11,$BG$3:$BG$11)</f>
        <v/>
      </c>
      <c r="BH12" s="13">
        <f>SUMPRODUCT($F$3:$F$11,$BH$3:$BH$11)</f>
        <v/>
      </c>
      <c r="BI12" s="13">
        <f>SUMPRODUCT($F$3:$F$11,$BI$3:$BI$11)</f>
        <v/>
      </c>
      <c r="BJ12" s="13">
        <f>SUMPRODUCT($F$3:$F$11,$BJ$3:$BJ$11)</f>
        <v/>
      </c>
      <c r="BK12" s="13">
        <f>SUMPRODUCT($F$3:$F$11,$BK$3:$BK$11)</f>
        <v/>
      </c>
      <c r="BL12" s="13">
        <f>SUMPRODUCT($F$3:$F$11,$BL$3:$BL$11)</f>
        <v/>
      </c>
      <c r="BM12" s="13">
        <f>SUMPRODUCT($F$3:$F$11,$BM$3:$BM$11)</f>
        <v/>
      </c>
      <c r="BN12" s="13">
        <f>SUMPRODUCT($F$3:$F$11,$BN$3:$BN$11)</f>
        <v/>
      </c>
      <c r="BO12" s="13">
        <f>SUMPRODUCT($F$3:$F$11,$BO$3:$BO$11)</f>
        <v/>
      </c>
      <c r="BP12" s="13">
        <f>SUMPRODUCT($F$3:$F$11,$BP$3:$BP$11)</f>
        <v/>
      </c>
      <c r="BQ12" s="13">
        <f>SUMPRODUCT($F$3:$F$11,$BQ$3:$BQ$11)</f>
        <v/>
      </c>
      <c r="BR12" s="13">
        <f>SUMPRODUCT($F$3:$F$11,$BR$3:$BR$11)</f>
        <v/>
      </c>
      <c r="BS12" s="13">
        <f>SUMPRODUCT($F$3:$F$11,$BS$3:$BS$11)</f>
        <v/>
      </c>
      <c r="BT12" s="13">
        <f>SUMPRODUCT($F$3:$F$11,$BT$3:$BT$11)</f>
        <v/>
      </c>
      <c r="BU12" s="13">
        <f>SUMPRODUCT($F$3:$F$11,$BU$3:$BU$11)</f>
        <v/>
      </c>
      <c r="BV12" s="13">
        <f>SUMPRODUCT($F$3:$F$11,$BV$3:$BV$11)</f>
        <v/>
      </c>
      <c r="BW12" s="13">
        <f>SUMPRODUCT($F$3:$F$11,$BW$3:$BW$11)</f>
        <v/>
      </c>
      <c r="BX12" s="13">
        <f>SUMPRODUCT($F$3:$F$11,$BX$3:$BX$11)</f>
        <v/>
      </c>
      <c r="BY12" s="13">
        <f>SUMPRODUCT($F$3:$F$11,$BY$3:$BY$11)</f>
        <v/>
      </c>
      <c r="BZ12" s="13">
        <f>SUMPRODUCT($F$3:$F$11,$BZ$3:$BZ$11)</f>
        <v/>
      </c>
      <c r="CA12" s="13">
        <f>SUMPRODUCT($F$3:$F$11,$CA$3:$CA$11)</f>
        <v/>
      </c>
      <c r="CB12" s="13">
        <f>SUMPRODUCT($F$3:$F$11,$CB$3:$CB$11)</f>
        <v/>
      </c>
      <c r="CC12" s="13">
        <f>SUMPRODUCT($F$3:$F$11,$CC$3:$CC$11)</f>
        <v/>
      </c>
      <c r="CD12" s="13">
        <f>SUMPRODUCT($F$3:$F$11,$CD$3:$CD$11)</f>
        <v/>
      </c>
      <c r="CE12" s="13">
        <f>SUMPRODUCT($F$3:$F$11,$CE$3:$CE$11)</f>
        <v/>
      </c>
      <c r="CF12" s="13">
        <f>SUMPRODUCT($F$3:$F$11,$CF$3:$CF$11)</f>
        <v/>
      </c>
      <c r="CG12" s="13">
        <f>SUMPRODUCT($F$3:$F$11,$CG$3:$CG$11)</f>
        <v/>
      </c>
      <c r="CH12" s="13">
        <f>SUMPRODUCT($F$3:$F$11,$CH$3:$CH$11)</f>
        <v/>
      </c>
      <c r="CI12" s="13">
        <f>SUMPRODUCT($F$3:$F$11,$CI$3:$CI$11)</f>
        <v/>
      </c>
      <c r="CJ12" s="13">
        <f>SUMPRODUCT($F$3:$F$11,$CJ$3:$CJ$11)</f>
        <v/>
      </c>
      <c r="CK12" s="13">
        <f>SUMPRODUCT($F$3:$F$11,$CK$3:$CK$11)</f>
        <v/>
      </c>
      <c r="CL12" s="13">
        <f>SUMPRODUCT($F$3:$F$11,$CL$3:$CL$11)</f>
        <v/>
      </c>
      <c r="CM12" s="13">
        <f>SUMPRODUCT($F$3:$F$11,$CM$3:$CM$11)</f>
        <v/>
      </c>
      <c r="CN12" s="13">
        <f>SUMPRODUCT($F$3:$F$11,$CN$3:$CN$11)</f>
        <v/>
      </c>
      <c r="CO12" s="13">
        <f>SUMPRODUCT($F$3:$F$11,$CO$3:$CO$11)</f>
        <v/>
      </c>
      <c r="CP12" s="13">
        <f>SUMPRODUCT($F$3:$F$11,$CP$3:$CP$11)</f>
        <v/>
      </c>
      <c r="CQ12" s="13">
        <f>SUMPRODUCT($F$3:$F$11,$CQ$3:$CQ$11)</f>
        <v/>
      </c>
      <c r="CR12" s="13">
        <f>SUMPRODUCT($F$3:$F$11,$CR$3:$CR$11)</f>
        <v/>
      </c>
      <c r="CS12" s="13">
        <f>SUMPRODUCT($F$3:$F$11,$CS$3:$CS$11)</f>
        <v/>
      </c>
      <c r="CT12" s="13">
        <f>SUMPRODUCT($F$3:$F$11,$CT$3:$CT$11)</f>
        <v/>
      </c>
      <c r="CU12" s="13">
        <f>SUMPRODUCT($F$3:$F$11,$CU$3:$CU$11)</f>
        <v/>
      </c>
      <c r="CV12" s="13">
        <f>SUMPRODUCT($F$3:$F$11,$CV$3:$CV$11)</f>
        <v/>
      </c>
      <c r="CW12" s="13">
        <f>SUMPRODUCT($F$3:$F$11,$CW$3:$CW$11)</f>
        <v/>
      </c>
      <c r="CX12" s="13">
        <f>SUMPRODUCT($F$3:$F$11,$CX$3:$CX$11)</f>
        <v/>
      </c>
      <c r="CY12" s="13">
        <f>SUMPRODUCT($F$3:$F$11,$CY$3:$CY$11)</f>
        <v/>
      </c>
      <c r="CZ12" s="13">
        <f>SUMPRODUCT($F$3:$F$11,$CZ$3:$CZ$11)</f>
        <v/>
      </c>
      <c r="DA12" s="13">
        <f>SUMPRODUCT($F$3:$F$11,$DA$3:$DA$11)</f>
        <v/>
      </c>
      <c r="DB12" s="13">
        <f>SUMPRODUCT($F$3:$F$11,$DB$3:$DB$11)</f>
        <v/>
      </c>
      <c r="DC12" s="13">
        <f>SUMPRODUCT($F$3:$F$11,$DC$3:$DC$11)</f>
        <v/>
      </c>
      <c r="DD12" s="13">
        <f>SUMPRODUCT($F$3:$F$11,$DD$3:$DD$11)</f>
        <v/>
      </c>
      <c r="DE12" s="13">
        <f>SUMPRODUCT($F$3:$F$11,$DE$3:$DE$11)</f>
        <v/>
      </c>
      <c r="DF12" s="13">
        <f>SUMPRODUCT($F$3:$F$11,$DF$3:$DF$11)</f>
        <v/>
      </c>
      <c r="DG12" s="13">
        <f>SUMPRODUCT($F$3:$F$11,$DG$3:$DG$11)</f>
        <v/>
      </c>
      <c r="DH12" s="13">
        <f>SUMPRODUCT($F$3:$F$11,$DH$3:$DH$11)</f>
        <v/>
      </c>
      <c r="DI12" s="13">
        <f>SUMPRODUCT($F$3:$F$11,$DI$3:$DI$11)</f>
        <v/>
      </c>
      <c r="DJ12" s="13">
        <f>SUMPRODUCT($F$3:$F$11,$DJ$3:$DJ$11)</f>
        <v/>
      </c>
      <c r="DK12" s="13">
        <f>SUMPRODUCT($F$3:$F$11,$DK$3:$DK$11)</f>
        <v/>
      </c>
      <c r="DL12" s="13">
        <f>SUMPRODUCT($F$3:$F$11,$DL$3:$DL$11)</f>
        <v/>
      </c>
      <c r="DM12" s="13">
        <f>SUMPRODUCT($F$3:$F$11,$DM$3:$DM$11)</f>
        <v/>
      </c>
      <c r="DN12" s="13">
        <f>SUMPRODUCT($F$3:$F$11,$DN$3:$DN$11)</f>
        <v/>
      </c>
      <c r="DO12" s="13">
        <f>SUMPRODUCT($F$3:$F$11,$DO$3:$DO$11)</f>
        <v/>
      </c>
      <c r="DP12" s="13">
        <f>SUMPRODUCT($F$3:$F$11,$DP$3:$DP$11)</f>
        <v/>
      </c>
      <c r="DQ12" s="13">
        <f>SUMPRODUCT($F$3:$F$11,$DQ$3:$DQ$11)</f>
        <v/>
      </c>
      <c r="DR12" s="13">
        <f>SUMPRODUCT($F$3:$F$11,$DR$3:$DR$11)</f>
        <v/>
      </c>
      <c r="DS12" s="13">
        <f>SUMPRODUCT($F$3:$F$11,$DS$3:$DS$11)</f>
        <v/>
      </c>
      <c r="DT12" s="13">
        <f>SUMPRODUCT($F$3:$F$11,$DT$3:$DT$11)</f>
        <v/>
      </c>
      <c r="DU12" s="13">
        <f>SUMPRODUCT($F$3:$F$11,$DU$3:$DU$11)</f>
        <v/>
      </c>
      <c r="DV12" s="13">
        <f>SUMPRODUCT($F$3:$F$11,$DV$3:$DV$11)</f>
        <v/>
      </c>
      <c r="DW12" s="13">
        <f>SUMPRODUCT($F$3:$F$11,$DW$3:$DW$11)</f>
        <v/>
      </c>
      <c r="DX12" s="13">
        <f>SUMPRODUCT($F$3:$F$11,$DX$3:$DX$11)</f>
        <v/>
      </c>
      <c r="DY12" s="13">
        <f>SUMPRODUCT($F$3:$F$11,$DY$3:$DY$11)</f>
        <v/>
      </c>
      <c r="DZ12" s="13">
        <f>SUMPRODUCT($F$3:$F$11,$DZ$3:$DZ$11)</f>
        <v/>
      </c>
      <c r="EA12" s="13">
        <f>SUMPRODUCT($F$3:$F$11,$EA$3:$EA$11)</f>
        <v/>
      </c>
      <c r="EB12" s="13">
        <f>SUMPRODUCT($F$3:$F$11,$EB$3:$EB$11)</f>
        <v/>
      </c>
      <c r="EC12" s="13">
        <f>SUMPRODUCT($F$3:$F$11,$EC$3:$EC$11)</f>
        <v/>
      </c>
      <c r="ED12" s="13">
        <f>SUMPRODUCT($F$3:$F$11,$ED$3:$ED$11)</f>
        <v/>
      </c>
      <c r="EE12" s="13">
        <f>SUMPRODUCT($F$3:$F$11,$EE$3:$EE$11)</f>
        <v/>
      </c>
      <c r="EF12" s="13">
        <f>SUMPRODUCT($F$3:$F$11,$EF$3:$EF$11)</f>
        <v/>
      </c>
      <c r="EG12" s="13">
        <f>SUMPRODUCT($F$3:$F$11,$EG$3:$EG$11)</f>
        <v/>
      </c>
      <c r="EH12" s="13">
        <f>SUMPRODUCT($F$3:$F$11,$EH$3:$EH$11)</f>
        <v/>
      </c>
      <c r="EI12" s="13">
        <f>SUMPRODUCT($F$3:$F$11,$EI$3:$EI$11)</f>
        <v/>
      </c>
      <c r="EJ12" s="13">
        <f>SUMPRODUCT($F$3:$F$11,$EJ$3:$EJ$11)</f>
        <v/>
      </c>
      <c r="EK12" s="13">
        <f>SUMPRODUCT($F$3:$F$11,$EK$3:$EK$11)</f>
        <v/>
      </c>
      <c r="EL12" s="13">
        <f>SUMPRODUCT($F$3:$F$11,$EL$3:$EL$11)</f>
        <v/>
      </c>
      <c r="EM12" s="13">
        <f>SUMPRODUCT($F$3:$F$11,$EM$3:$EM$11)</f>
        <v/>
      </c>
      <c r="EN12" s="13">
        <f>SUMPRODUCT($F$3:$F$11,$EN$3:$EN$11)</f>
        <v/>
      </c>
      <c r="EO12" s="13">
        <f>SUMPRODUCT($F$3:$F$11,$EO$3:$EO$11)</f>
        <v/>
      </c>
      <c r="EP12" s="13">
        <f>SUMPRODUCT($F$3:$F$11,$EP$3:$EP$11)</f>
        <v/>
      </c>
      <c r="EQ12" s="13">
        <f>SUMPRODUCT($F$3:$F$11,$EQ$3:$EQ$11)</f>
        <v/>
      </c>
      <c r="ER12" s="13">
        <f>SUMPRODUCT($F$3:$F$11,$ER$3:$ER$11)</f>
        <v/>
      </c>
      <c r="ES12" s="13">
        <f>SUMPRODUCT($F$3:$F$11,$ES$3:$ES$11)</f>
        <v/>
      </c>
      <c r="ET12" s="13">
        <f>SUMPRODUCT($F$3:$F$11,$ET$3:$ET$11)</f>
        <v/>
      </c>
      <c r="EU12" s="13">
        <f>SUMPRODUCT($F$3:$F$11,$EU$3:$EU$11)</f>
        <v/>
      </c>
      <c r="EV12" s="13">
        <f>SUMPRODUCT($F$3:$F$11,$EV$3:$EV$11)</f>
        <v/>
      </c>
      <c r="EW12" s="13">
        <f>SUMPRODUCT($F$3:$F$11,$EW$3:$EW$11)</f>
        <v/>
      </c>
      <c r="EX12" s="13">
        <f>SUMPRODUCT($F$3:$F$11,$EX$3:$EX$11)</f>
        <v/>
      </c>
      <c r="EY12" s="13">
        <f>SUMPRODUCT($F$3:$F$11,$EY$3:$EY$11)</f>
        <v/>
      </c>
      <c r="EZ12" s="13">
        <f>SUMPRODUCT($F$3:$F$11,$EZ$3:$EZ$11)</f>
        <v/>
      </c>
      <c r="FA12" s="13">
        <f>SUMPRODUCT($F$3:$F$11,$FA$3:$FA$11)</f>
        <v/>
      </c>
      <c r="FB12" s="13">
        <f>SUMPRODUCT($F$3:$F$11,$FB$3:$FB$11)</f>
        <v/>
      </c>
      <c r="FC12" s="13">
        <f>SUMPRODUCT($F$3:$F$11,$FC$3:$FC$11)</f>
        <v/>
      </c>
      <c r="FD12" s="13">
        <f>SUMPRODUCT($F$3:$F$11,$FD$3:$FD$11)</f>
        <v/>
      </c>
      <c r="FE12" s="13">
        <f>SUMPRODUCT($F$3:$F$11,$FE$3:$FE$11)</f>
        <v/>
      </c>
      <c r="FF12" s="13">
        <f>SUMPRODUCT($F$3:$F$11,$FF$3:$FF$11)</f>
        <v/>
      </c>
      <c r="FG12" s="13">
        <f>SUMPRODUCT($F$3:$F$11,$FG$3:$FG$11)</f>
        <v/>
      </c>
      <c r="FH12" s="13">
        <f>SUMPRODUCT($F$3:$F$11,$FH$3:$FH$11)</f>
        <v/>
      </c>
      <c r="FI12" s="13">
        <f>SUMPRODUCT($F$3:$F$11,$FI$3:$FI$11)</f>
        <v/>
      </c>
      <c r="FJ12" s="13">
        <f>SUMPRODUCT($F$3:$F$11,$FJ$3:$FJ$11)</f>
        <v/>
      </c>
      <c r="FK12" s="13">
        <f>SUMPRODUCT($F$3:$F$11,$FK$3:$FK$11)</f>
        <v/>
      </c>
      <c r="FL12" s="13">
        <f>SUMPRODUCT($F$3:$F$11,$FL$3:$FL$11)</f>
        <v/>
      </c>
      <c r="FM12" s="13">
        <f>SUMPRODUCT($F$3:$F$11,$FM$3:$FM$11)</f>
        <v/>
      </c>
      <c r="FN12" s="13">
        <f>SUMPRODUCT($F$3:$F$11,$FN$3:$FN$11)</f>
        <v/>
      </c>
      <c r="FO12" s="13">
        <f>SUMPRODUCT($F$3:$F$11,$FO$3:$FO$11)</f>
        <v/>
      </c>
      <c r="FP12" s="13">
        <f>SUMPRODUCT($F$3:$F$11,$FP$3:$FP$11)</f>
        <v/>
      </c>
      <c r="FQ12" s="13">
        <f>SUMPRODUCT($F$3:$F$11,$FQ$3:$FQ$11)</f>
        <v/>
      </c>
      <c r="FR12" s="13">
        <f>SUMPRODUCT($F$3:$F$11,$FR$3:$FR$11)</f>
        <v/>
      </c>
      <c r="FS12" s="13">
        <f>SUMPRODUCT($F$3:$F$11,$FS$3:$FS$11)</f>
        <v/>
      </c>
      <c r="FT12" s="13">
        <f>SUMPRODUCT($F$3:$F$11,$FT$3:$FT$11)</f>
        <v/>
      </c>
      <c r="FU12" s="13">
        <f>SUMPRODUCT($F$3:$F$11,$FU$3:$FU$11)</f>
        <v/>
      </c>
      <c r="FV12" s="13">
        <f>SUMPRODUCT($F$3:$F$11,$FV$3:$FV$11)</f>
        <v/>
      </c>
      <c r="FW12" s="13">
        <f>SUMPRODUCT($F$3:$F$11,$FW$3:$FW$11)</f>
        <v/>
      </c>
      <c r="FX12" s="13">
        <f>SUMPRODUCT($F$3:$F$11,$FX$3:$FX$11)</f>
        <v/>
      </c>
      <c r="FY12" s="13">
        <f>SUMPRODUCT($F$3:$F$11,$FY$3:$FY$11)</f>
        <v/>
      </c>
      <c r="FZ12" s="13">
        <f>SUMPRODUCT($F$3:$F$11,$FZ$3:$FZ$11)</f>
        <v/>
      </c>
      <c r="GA12" s="13">
        <f>SUMPRODUCT($F$3:$F$11,$GA$3:$GA$11)</f>
        <v/>
      </c>
      <c r="GB12" s="13">
        <f>SUMPRODUCT($F$3:$F$11,$GB$3:$GB$11)</f>
        <v/>
      </c>
      <c r="GC12" s="13">
        <f>SUMPRODUCT($F$3:$F$11,$GC$3:$GC$11)</f>
        <v/>
      </c>
      <c r="GD12" s="13">
        <f>SUMPRODUCT($F$3:$F$11,$GD$3:$GD$11)</f>
        <v/>
      </c>
      <c r="GE12" s="13">
        <f>SUMPRODUCT($F$3:$F$11,$GE$3:$GE$11)</f>
        <v/>
      </c>
      <c r="GF12" s="13">
        <f>SUMPRODUCT($F$3:$F$11,$GF$3:$GF$11)</f>
        <v/>
      </c>
      <c r="GG12" s="13">
        <f>SUMPRODUCT($F$3:$F$11,$GG$3:$GG$11)</f>
        <v/>
      </c>
      <c r="GH12" s="13">
        <f>SUMPRODUCT($F$3:$F$11,$GH$3:$GH$11)</f>
        <v/>
      </c>
      <c r="GI12" s="13">
        <f>SUMPRODUCT($F$3:$F$11,$GI$3:$GI$11)</f>
        <v/>
      </c>
      <c r="GJ12" s="13">
        <f>SUMPRODUCT($F$3:$F$11,$GJ$3:$GJ$11)</f>
        <v/>
      </c>
      <c r="GK12" s="13">
        <f>SUMPRODUCT($F$3:$F$11,$GK$3:$GK$11)</f>
        <v/>
      </c>
      <c r="GL12" s="13">
        <f>SUMPRODUCT($F$3:$F$11,$GL$3:$GL$11)</f>
        <v/>
      </c>
      <c r="GM12" s="13">
        <f>SUMPRODUCT($F$3:$F$11,$GM$3:$GM$11)</f>
        <v/>
      </c>
      <c r="GN12" s="13">
        <f>SUMPRODUCT($F$3:$F$11,$GN$3:$GN$11)</f>
        <v/>
      </c>
      <c r="GO12" s="13">
        <f>SUMPRODUCT($F$3:$F$11,$GO$3:$GO$11)</f>
        <v/>
      </c>
      <c r="GP12" s="13">
        <f>SUMPRODUCT($F$3:$F$11,$GP$3:$GP$11)</f>
        <v/>
      </c>
      <c r="GQ12" s="13">
        <f>SUMPRODUCT($F$3:$F$11,$GQ$3:$GQ$11)</f>
        <v/>
      </c>
      <c r="GR12" s="13">
        <f>SUMPRODUCT($F$3:$F$11,$GR$3:$GR$11)</f>
        <v/>
      </c>
    </row>
  </sheetData>
  <mergeCells count="9">
    <mergeCell ref="Z1:AK1"/>
    <mergeCell ref="G1:O1"/>
    <mergeCell ref="AL1:CM1"/>
    <mergeCell ref="GI1:GQ1"/>
    <mergeCell ref="A1:F1"/>
    <mergeCell ref="CN1:FO1"/>
    <mergeCell ref="GR1"/>
    <mergeCell ref="FP1:GH1"/>
    <mergeCell ref="P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Nutriente</t>
        </is>
      </c>
      <c r="B1" s="8" t="inlineStr">
        <is>
          <t>Total</t>
        </is>
      </c>
      <c r="C1" s="8" t="inlineStr">
        <is>
          <t>Unidad</t>
        </is>
      </c>
    </row>
    <row r="2">
      <c r="A2" t="inlineStr">
        <is>
          <t>Water</t>
        </is>
      </c>
      <c r="B2">
        <f>Ingredientes!G12</f>
        <v/>
      </c>
      <c r="C2" t="inlineStr">
        <is>
          <t>g</t>
        </is>
      </c>
    </row>
    <row r="3">
      <c r="A3" t="inlineStr">
        <is>
          <t>Energy</t>
        </is>
      </c>
      <c r="B3">
        <f>Ingredientes!H12</f>
        <v/>
      </c>
      <c r="C3" t="inlineStr">
        <is>
          <t>kcal</t>
        </is>
      </c>
    </row>
    <row r="4">
      <c r="A4" t="inlineStr">
        <is>
          <t>Energy</t>
        </is>
      </c>
      <c r="B4">
        <f>Ingredientes!I12</f>
        <v/>
      </c>
      <c r="C4" t="inlineStr">
        <is>
          <t>kJ</t>
        </is>
      </c>
    </row>
    <row r="5">
      <c r="A5" t="inlineStr">
        <is>
          <t>Nitrogen</t>
        </is>
      </c>
      <c r="B5">
        <f>Ingredientes!J12</f>
        <v/>
      </c>
      <c r="C5" t="inlineStr">
        <is>
          <t>g</t>
        </is>
      </c>
    </row>
    <row r="6">
      <c r="A6" t="inlineStr">
        <is>
          <t>Protein</t>
        </is>
      </c>
      <c r="B6">
        <f>Ingredientes!K12</f>
        <v/>
      </c>
      <c r="C6" t="inlineStr">
        <is>
          <t>g</t>
        </is>
      </c>
    </row>
    <row r="7">
      <c r="A7" t="inlineStr">
        <is>
          <t>Total fat (NLEA)</t>
        </is>
      </c>
      <c r="B7">
        <f>Ingredientes!L12</f>
        <v/>
      </c>
      <c r="C7" t="inlineStr">
        <is>
          <t>g</t>
        </is>
      </c>
    </row>
    <row r="8">
      <c r="A8" t="inlineStr">
        <is>
          <t>Total lipid (fat)</t>
        </is>
      </c>
      <c r="B8">
        <f>Ingredientes!M12</f>
        <v/>
      </c>
      <c r="C8" t="inlineStr">
        <is>
          <t>g</t>
        </is>
      </c>
    </row>
    <row r="9">
      <c r="A9" t="inlineStr">
        <is>
          <t>Ash</t>
        </is>
      </c>
      <c r="B9">
        <f>Ingredientes!N12</f>
        <v/>
      </c>
      <c r="C9" t="inlineStr">
        <is>
          <t>g</t>
        </is>
      </c>
    </row>
    <row r="10">
      <c r="A10" t="inlineStr">
        <is>
          <t>Carbohydrate, by difference</t>
        </is>
      </c>
      <c r="B10">
        <f>Ingredientes!O12</f>
        <v/>
      </c>
      <c r="C10" t="inlineStr">
        <is>
          <t>g</t>
        </is>
      </c>
    </row>
    <row r="11">
      <c r="A11" t="inlineStr">
        <is>
          <t>Fiber, total dietary</t>
        </is>
      </c>
      <c r="B11">
        <f>Ingredientes!P12</f>
        <v/>
      </c>
      <c r="C11" t="inlineStr">
        <is>
          <t>g</t>
        </is>
      </c>
    </row>
    <row r="12">
      <c r="A12" t="inlineStr">
        <is>
          <t>Sugars, Total</t>
        </is>
      </c>
      <c r="B12">
        <f>Ingredientes!Q12</f>
        <v/>
      </c>
      <c r="C12" t="inlineStr">
        <is>
          <t>g</t>
        </is>
      </c>
    </row>
    <row r="13">
      <c r="A13" t="inlineStr">
        <is>
          <t>Sucrose</t>
        </is>
      </c>
      <c r="B13">
        <f>Ingredientes!R12</f>
        <v/>
      </c>
      <c r="C13" t="inlineStr">
        <is>
          <t>g</t>
        </is>
      </c>
    </row>
    <row r="14">
      <c r="A14" t="inlineStr">
        <is>
          <t>Glucose</t>
        </is>
      </c>
      <c r="B14">
        <f>Ingredientes!S12</f>
        <v/>
      </c>
      <c r="C14" t="inlineStr">
        <is>
          <t>g</t>
        </is>
      </c>
    </row>
    <row r="15">
      <c r="A15" t="inlineStr">
        <is>
          <t>Fructose</t>
        </is>
      </c>
      <c r="B15">
        <f>Ingredientes!T12</f>
        <v/>
      </c>
      <c r="C15" t="inlineStr">
        <is>
          <t>g</t>
        </is>
      </c>
    </row>
    <row r="16">
      <c r="A16" t="inlineStr">
        <is>
          <t>Lactose</t>
        </is>
      </c>
      <c r="B16">
        <f>Ingredientes!U12</f>
        <v/>
      </c>
      <c r="C16" t="inlineStr">
        <is>
          <t>g</t>
        </is>
      </c>
    </row>
    <row r="17">
      <c r="A17" t="inlineStr">
        <is>
          <t>Maltose</t>
        </is>
      </c>
      <c r="B17">
        <f>Ingredientes!V12</f>
        <v/>
      </c>
      <c r="C17" t="inlineStr">
        <is>
          <t>g</t>
        </is>
      </c>
    </row>
    <row r="18">
      <c r="A18" t="inlineStr">
        <is>
          <t>Galactose</t>
        </is>
      </c>
      <c r="B18">
        <f>Ingredientes!W12</f>
        <v/>
      </c>
      <c r="C18" t="inlineStr">
        <is>
          <t>g</t>
        </is>
      </c>
    </row>
    <row r="19">
      <c r="A19" t="inlineStr">
        <is>
          <t>Starch</t>
        </is>
      </c>
      <c r="B19">
        <f>Ingredientes!X12</f>
        <v/>
      </c>
      <c r="C19" t="inlineStr">
        <is>
          <t>g</t>
        </is>
      </c>
    </row>
    <row r="20">
      <c r="A20" t="inlineStr">
        <is>
          <t>Resistant starch</t>
        </is>
      </c>
      <c r="B20">
        <f>Ingredientes!Y12</f>
        <v/>
      </c>
      <c r="C20" t="inlineStr">
        <is>
          <t>g</t>
        </is>
      </c>
    </row>
    <row r="21">
      <c r="A21" t="inlineStr">
        <is>
          <t>Calcium, Ca</t>
        </is>
      </c>
      <c r="B21">
        <f>Ingredientes!Z12</f>
        <v/>
      </c>
      <c r="C21" t="inlineStr">
        <is>
          <t>mg</t>
        </is>
      </c>
    </row>
    <row r="22">
      <c r="A22" t="inlineStr">
        <is>
          <t>Iron, Fe</t>
        </is>
      </c>
      <c r="B22">
        <f>Ingredientes!AA12</f>
        <v/>
      </c>
      <c r="C22" t="inlineStr">
        <is>
          <t>mg</t>
        </is>
      </c>
    </row>
    <row r="23">
      <c r="A23" t="inlineStr">
        <is>
          <t>Magnesium, Mg</t>
        </is>
      </c>
      <c r="B23">
        <f>Ingredientes!AB12</f>
        <v/>
      </c>
      <c r="C23" t="inlineStr">
        <is>
          <t>mg</t>
        </is>
      </c>
    </row>
    <row r="24">
      <c r="A24" t="inlineStr">
        <is>
          <t>Phosphorus, P</t>
        </is>
      </c>
      <c r="B24">
        <f>Ingredientes!AC12</f>
        <v/>
      </c>
      <c r="C24" t="inlineStr">
        <is>
          <t>mg</t>
        </is>
      </c>
    </row>
    <row r="25">
      <c r="A25" t="inlineStr">
        <is>
          <t>Potassium, K</t>
        </is>
      </c>
      <c r="B25">
        <f>Ingredientes!AD12</f>
        <v/>
      </c>
      <c r="C25" t="inlineStr">
        <is>
          <t>mg</t>
        </is>
      </c>
    </row>
    <row r="26">
      <c r="A26" t="inlineStr">
        <is>
          <t>Sodium, Na</t>
        </is>
      </c>
      <c r="B26">
        <f>Ingredientes!AE12</f>
        <v/>
      </c>
      <c r="C26" t="inlineStr">
        <is>
          <t>mg</t>
        </is>
      </c>
    </row>
    <row r="27">
      <c r="A27" t="inlineStr">
        <is>
          <t>Zinc, Zn</t>
        </is>
      </c>
      <c r="B27">
        <f>Ingredientes!AF12</f>
        <v/>
      </c>
      <c r="C27" t="inlineStr">
        <is>
          <t>mg</t>
        </is>
      </c>
    </row>
    <row r="28">
      <c r="A28" t="inlineStr">
        <is>
          <t>Copper, Cu</t>
        </is>
      </c>
      <c r="B28">
        <f>Ingredientes!AG12</f>
        <v/>
      </c>
      <c r="C28" t="inlineStr">
        <is>
          <t>mg</t>
        </is>
      </c>
    </row>
    <row r="29">
      <c r="A29" t="inlineStr">
        <is>
          <t>Manganese, Mn</t>
        </is>
      </c>
      <c r="B29">
        <f>Ingredientes!AH12</f>
        <v/>
      </c>
      <c r="C29" t="inlineStr">
        <is>
          <t>mg</t>
        </is>
      </c>
    </row>
    <row r="30">
      <c r="A30" t="inlineStr">
        <is>
          <t>Iodine, I</t>
        </is>
      </c>
      <c r="B30">
        <f>Ingredientes!AI12</f>
        <v/>
      </c>
      <c r="C30" t="inlineStr">
        <is>
          <t>µg</t>
        </is>
      </c>
    </row>
    <row r="31">
      <c r="A31" t="inlineStr">
        <is>
          <t>Selenium, Se</t>
        </is>
      </c>
      <c r="B31">
        <f>Ingredientes!AJ12</f>
        <v/>
      </c>
      <c r="C31" t="inlineStr">
        <is>
          <t>µg</t>
        </is>
      </c>
    </row>
    <row r="32">
      <c r="A32" t="inlineStr">
        <is>
          <t>Fluoride, F</t>
        </is>
      </c>
      <c r="B32">
        <f>Ingredientes!AK12</f>
        <v/>
      </c>
      <c r="C32" t="inlineStr">
        <is>
          <t>µg</t>
        </is>
      </c>
    </row>
    <row r="33">
      <c r="A33" t="inlineStr">
        <is>
          <t>Folate, food</t>
        </is>
      </c>
      <c r="B33">
        <f>Ingredientes!AL12</f>
        <v/>
      </c>
      <c r="C33" t="inlineStr">
        <is>
          <t>µg</t>
        </is>
      </c>
    </row>
    <row r="34">
      <c r="A34" t="inlineStr">
        <is>
          <t>Thiamin</t>
        </is>
      </c>
      <c r="B34">
        <f>Ingredientes!AM12</f>
        <v/>
      </c>
      <c r="C34" t="inlineStr">
        <is>
          <t>mg</t>
        </is>
      </c>
    </row>
    <row r="35">
      <c r="A35" t="inlineStr">
        <is>
          <t>Riboflavin</t>
        </is>
      </c>
      <c r="B35">
        <f>Ingredientes!AN12</f>
        <v/>
      </c>
      <c r="C35" t="inlineStr">
        <is>
          <t>mg</t>
        </is>
      </c>
    </row>
    <row r="36">
      <c r="A36" t="inlineStr">
        <is>
          <t>Niacin</t>
        </is>
      </c>
      <c r="B36">
        <f>Ingredientes!AO12</f>
        <v/>
      </c>
      <c r="C36" t="inlineStr">
        <is>
          <t>mg</t>
        </is>
      </c>
    </row>
    <row r="37">
      <c r="A37" t="inlineStr">
        <is>
          <t>Vitamin B-6</t>
        </is>
      </c>
      <c r="B37">
        <f>Ingredientes!AP12</f>
        <v/>
      </c>
      <c r="C37" t="inlineStr">
        <is>
          <t>mg</t>
        </is>
      </c>
    </row>
    <row r="38">
      <c r="A38" t="inlineStr">
        <is>
          <t>Folate, total</t>
        </is>
      </c>
      <c r="B38">
        <f>Ingredientes!AQ12</f>
        <v/>
      </c>
      <c r="C38" t="inlineStr">
        <is>
          <t>µg</t>
        </is>
      </c>
    </row>
    <row r="39">
      <c r="A39" t="inlineStr">
        <is>
          <t>Folic acid</t>
        </is>
      </c>
      <c r="B39">
        <f>Ingredientes!AR12</f>
        <v/>
      </c>
      <c r="C39" t="inlineStr">
        <is>
          <t>µg</t>
        </is>
      </c>
    </row>
    <row r="40">
      <c r="A40" t="inlineStr">
        <is>
          <t>Folate, DFE</t>
        </is>
      </c>
      <c r="B40">
        <f>Ingredientes!AS12</f>
        <v/>
      </c>
      <c r="C40" t="inlineStr">
        <is>
          <t>µg</t>
        </is>
      </c>
    </row>
    <row r="41">
      <c r="A41" t="inlineStr">
        <is>
          <t>Choline, total</t>
        </is>
      </c>
      <c r="B41">
        <f>Ingredientes!AT12</f>
        <v/>
      </c>
      <c r="C41" t="inlineStr">
        <is>
          <t>mg</t>
        </is>
      </c>
    </row>
    <row r="42">
      <c r="A42" t="inlineStr">
        <is>
          <t>Choline, free</t>
        </is>
      </c>
      <c r="B42">
        <f>Ingredientes!AU12</f>
        <v/>
      </c>
      <c r="C42" t="inlineStr">
        <is>
          <t>mg</t>
        </is>
      </c>
    </row>
    <row r="43">
      <c r="A43" t="inlineStr">
        <is>
          <t>Choline, from phosphocholine</t>
        </is>
      </c>
      <c r="B43">
        <f>Ingredientes!AV12</f>
        <v/>
      </c>
      <c r="C43" t="inlineStr">
        <is>
          <t>mg</t>
        </is>
      </c>
    </row>
    <row r="44">
      <c r="A44" t="inlineStr">
        <is>
          <t>Choline, from phosphatidyl choline</t>
        </is>
      </c>
      <c r="B44">
        <f>Ingredientes!AW12</f>
        <v/>
      </c>
      <c r="C44" t="inlineStr">
        <is>
          <t>mg</t>
        </is>
      </c>
    </row>
    <row r="45">
      <c r="A45" t="inlineStr">
        <is>
          <t>Choline, from glycerophosphocholine</t>
        </is>
      </c>
      <c r="B45">
        <f>Ingredientes!AX12</f>
        <v/>
      </c>
      <c r="C45" t="inlineStr">
        <is>
          <t>mg</t>
        </is>
      </c>
    </row>
    <row r="46">
      <c r="A46" t="inlineStr">
        <is>
          <t>Choline, from sphingomyelin</t>
        </is>
      </c>
      <c r="B46">
        <f>Ingredientes!AY12</f>
        <v/>
      </c>
      <c r="C46" t="inlineStr">
        <is>
          <t>mg</t>
        </is>
      </c>
    </row>
    <row r="47">
      <c r="A47" t="inlineStr">
        <is>
          <t>Betaine</t>
        </is>
      </c>
      <c r="B47">
        <f>Ingredientes!AZ12</f>
        <v/>
      </c>
      <c r="C47" t="inlineStr">
        <is>
          <t>mg</t>
        </is>
      </c>
    </row>
    <row r="48">
      <c r="A48" t="inlineStr">
        <is>
          <t>Vitamin B-12</t>
        </is>
      </c>
      <c r="B48">
        <f>Ingredientes!BA12</f>
        <v/>
      </c>
      <c r="C48" t="inlineStr">
        <is>
          <t>µg</t>
        </is>
      </c>
    </row>
    <row r="49">
      <c r="A49" t="inlineStr">
        <is>
          <t>Vitamin B-12, added</t>
        </is>
      </c>
      <c r="B49">
        <f>Ingredientes!BB12</f>
        <v/>
      </c>
      <c r="C49" t="inlineStr">
        <is>
          <t>µg</t>
        </is>
      </c>
    </row>
    <row r="50">
      <c r="A50" t="inlineStr">
        <is>
          <t>Vitamin A, RAE</t>
        </is>
      </c>
      <c r="B50">
        <f>Ingredientes!BC12</f>
        <v/>
      </c>
      <c r="C50" t="inlineStr">
        <is>
          <t>µg</t>
        </is>
      </c>
    </row>
    <row r="51">
      <c r="A51" t="inlineStr">
        <is>
          <t>Retinol</t>
        </is>
      </c>
      <c r="B51">
        <f>Ingredientes!BD12</f>
        <v/>
      </c>
      <c r="C51" t="inlineStr">
        <is>
          <t>µg</t>
        </is>
      </c>
    </row>
    <row r="52">
      <c r="A52" t="inlineStr">
        <is>
          <t>Carotene, beta</t>
        </is>
      </c>
      <c r="B52">
        <f>Ingredientes!BE12</f>
        <v/>
      </c>
      <c r="C52" t="inlineStr">
        <is>
          <t>µg</t>
        </is>
      </c>
    </row>
    <row r="53">
      <c r="A53" t="inlineStr">
        <is>
          <t>cis-beta-Carotene</t>
        </is>
      </c>
      <c r="B53">
        <f>Ingredientes!BF12</f>
        <v/>
      </c>
      <c r="C53" t="inlineStr">
        <is>
          <t>µg</t>
        </is>
      </c>
    </row>
    <row r="54">
      <c r="A54" t="inlineStr">
        <is>
          <t>trans-beta-Carotene</t>
        </is>
      </c>
      <c r="B54">
        <f>Ingredientes!BG12</f>
        <v/>
      </c>
      <c r="C54" t="inlineStr">
        <is>
          <t>µg</t>
        </is>
      </c>
    </row>
    <row r="55">
      <c r="A55" t="inlineStr">
        <is>
          <t>Carotene, alpha</t>
        </is>
      </c>
      <c r="B55">
        <f>Ingredientes!BH12</f>
        <v/>
      </c>
      <c r="C55" t="inlineStr">
        <is>
          <t>µg</t>
        </is>
      </c>
    </row>
    <row r="56">
      <c r="A56" t="inlineStr">
        <is>
          <t>Cryptoxanthin, beta</t>
        </is>
      </c>
      <c r="B56">
        <f>Ingredientes!BI12</f>
        <v/>
      </c>
      <c r="C56" t="inlineStr">
        <is>
          <t>µg</t>
        </is>
      </c>
    </row>
    <row r="57">
      <c r="A57" t="inlineStr">
        <is>
          <t>Cryptoxanthin, alpha</t>
        </is>
      </c>
      <c r="B57">
        <f>Ingredientes!BJ12</f>
        <v/>
      </c>
      <c r="C57" t="inlineStr">
        <is>
          <t>µg</t>
        </is>
      </c>
    </row>
    <row r="58">
      <c r="A58" t="inlineStr">
        <is>
          <t>Vitamin A, IU</t>
        </is>
      </c>
      <c r="B58">
        <f>Ingredientes!BK12</f>
        <v/>
      </c>
      <c r="C58" t="inlineStr">
        <is>
          <t>iu</t>
        </is>
      </c>
    </row>
    <row r="59">
      <c r="A59" t="inlineStr">
        <is>
          <t>Lycopene</t>
        </is>
      </c>
      <c r="B59">
        <f>Ingredientes!BL12</f>
        <v/>
      </c>
      <c r="C59" t="inlineStr">
        <is>
          <t>µg</t>
        </is>
      </c>
    </row>
    <row r="60">
      <c r="A60" t="inlineStr">
        <is>
          <t>cis-Lycopene</t>
        </is>
      </c>
      <c r="B60">
        <f>Ingredientes!BM12</f>
        <v/>
      </c>
      <c r="C60" t="inlineStr">
        <is>
          <t>µg</t>
        </is>
      </c>
    </row>
    <row r="61">
      <c r="A61" t="inlineStr">
        <is>
          <t>trans-Lycopene</t>
        </is>
      </c>
      <c r="B61">
        <f>Ingredientes!BN12</f>
        <v/>
      </c>
      <c r="C61" t="inlineStr">
        <is>
          <t>µg</t>
        </is>
      </c>
    </row>
    <row r="62">
      <c r="A62" t="inlineStr">
        <is>
          <t>Lutein + zeaxanthin</t>
        </is>
      </c>
      <c r="B62">
        <f>Ingredientes!BO12</f>
        <v/>
      </c>
      <c r="C62" t="inlineStr">
        <is>
          <t>µg</t>
        </is>
      </c>
    </row>
    <row r="63">
      <c r="A63" t="inlineStr">
        <is>
          <t>cis-Lutein/Zeaxanthin</t>
        </is>
      </c>
      <c r="B63">
        <f>Ingredientes!BP12</f>
        <v/>
      </c>
      <c r="C63" t="inlineStr">
        <is>
          <t>µg</t>
        </is>
      </c>
    </row>
    <row r="64">
      <c r="A64" t="inlineStr">
        <is>
          <t>Lutein</t>
        </is>
      </c>
      <c r="B64">
        <f>Ingredientes!BQ12</f>
        <v/>
      </c>
      <c r="C64" t="inlineStr">
        <is>
          <t>µg</t>
        </is>
      </c>
    </row>
    <row r="65">
      <c r="A65" t="inlineStr">
        <is>
          <t>Zeaxanthin</t>
        </is>
      </c>
      <c r="B65">
        <f>Ingredientes!BR12</f>
        <v/>
      </c>
      <c r="C65" t="inlineStr">
        <is>
          <t>µg</t>
        </is>
      </c>
    </row>
    <row r="66">
      <c r="A66" t="inlineStr">
        <is>
          <t>Vitamin D (D2 + D3), International Units</t>
        </is>
      </c>
      <c r="B66">
        <f>Ingredientes!BS12</f>
        <v/>
      </c>
      <c r="C66" t="inlineStr">
        <is>
          <t>iu</t>
        </is>
      </c>
    </row>
    <row r="67">
      <c r="A67" t="inlineStr">
        <is>
          <t>Vitamin D (D2 + D3)</t>
        </is>
      </c>
      <c r="B67">
        <f>Ingredientes!BT12</f>
        <v/>
      </c>
      <c r="C67" t="inlineStr">
        <is>
          <t>µg</t>
        </is>
      </c>
    </row>
    <row r="68">
      <c r="A68" t="inlineStr">
        <is>
          <t>Vitamin D2 (ergocalciferol)</t>
        </is>
      </c>
      <c r="B68">
        <f>Ingredientes!BU12</f>
        <v/>
      </c>
      <c r="C68" t="inlineStr">
        <is>
          <t>µg</t>
        </is>
      </c>
    </row>
    <row r="69">
      <c r="A69" t="inlineStr">
        <is>
          <t>Vitamin D3 (cholecalciferol)</t>
        </is>
      </c>
      <c r="B69">
        <f>Ingredientes!BV12</f>
        <v/>
      </c>
      <c r="C69" t="inlineStr">
        <is>
          <t>µg</t>
        </is>
      </c>
    </row>
    <row r="70">
      <c r="A70" t="inlineStr">
        <is>
          <t>25-hydroxycholecalciferol</t>
        </is>
      </c>
      <c r="B70">
        <f>Ingredientes!BW12</f>
        <v/>
      </c>
      <c r="C70" t="inlineStr">
        <is>
          <t>µg</t>
        </is>
      </c>
    </row>
    <row r="71">
      <c r="A71" t="inlineStr">
        <is>
          <t>Vitamin K (phylloquinone)</t>
        </is>
      </c>
      <c r="B71">
        <f>Ingredientes!BX12</f>
        <v/>
      </c>
      <c r="C71" t="inlineStr">
        <is>
          <t>µg</t>
        </is>
      </c>
    </row>
    <row r="72">
      <c r="A72" t="inlineStr">
        <is>
          <t>Vitamin K (Dihydrophylloquinone)</t>
        </is>
      </c>
      <c r="B72">
        <f>Ingredientes!BY12</f>
        <v/>
      </c>
      <c r="C72" t="inlineStr">
        <is>
          <t>µg</t>
        </is>
      </c>
    </row>
    <row r="73">
      <c r="A73" t="inlineStr">
        <is>
          <t>Vitamin K (Menaquinone-4)</t>
        </is>
      </c>
      <c r="B73">
        <f>Ingredientes!BZ12</f>
        <v/>
      </c>
      <c r="C73" t="inlineStr">
        <is>
          <t>µg</t>
        </is>
      </c>
    </row>
    <row r="74">
      <c r="A74" t="inlineStr">
        <is>
          <t>Vitamin E (alpha-tocopherol)</t>
        </is>
      </c>
      <c r="B74">
        <f>Ingredientes!CA12</f>
        <v/>
      </c>
      <c r="C74" t="inlineStr">
        <is>
          <t>mg</t>
        </is>
      </c>
    </row>
    <row r="75">
      <c r="A75" t="inlineStr">
        <is>
          <t>Vitamin E, added</t>
        </is>
      </c>
      <c r="B75">
        <f>Ingredientes!CB12</f>
        <v/>
      </c>
      <c r="C75" t="inlineStr">
        <is>
          <t>mg</t>
        </is>
      </c>
    </row>
    <row r="76">
      <c r="A76" t="inlineStr">
        <is>
          <t>Tocopherol, beta</t>
        </is>
      </c>
      <c r="B76">
        <f>Ingredientes!CC12</f>
        <v/>
      </c>
      <c r="C76" t="inlineStr">
        <is>
          <t>mg</t>
        </is>
      </c>
    </row>
    <row r="77">
      <c r="A77" t="inlineStr">
        <is>
          <t>Tocopherol, gamma</t>
        </is>
      </c>
      <c r="B77">
        <f>Ingredientes!CD12</f>
        <v/>
      </c>
      <c r="C77" t="inlineStr">
        <is>
          <t>mg</t>
        </is>
      </c>
    </row>
    <row r="78">
      <c r="A78" t="inlineStr">
        <is>
          <t>Tocopherol, delta</t>
        </is>
      </c>
      <c r="B78">
        <f>Ingredientes!CE12</f>
        <v/>
      </c>
      <c r="C78" t="inlineStr">
        <is>
          <t>mg</t>
        </is>
      </c>
    </row>
    <row r="79">
      <c r="A79" t="inlineStr">
        <is>
          <t>Tocotrienol, alpha</t>
        </is>
      </c>
      <c r="B79">
        <f>Ingredientes!CF12</f>
        <v/>
      </c>
      <c r="C79" t="inlineStr">
        <is>
          <t>mg</t>
        </is>
      </c>
    </row>
    <row r="80">
      <c r="A80" t="inlineStr">
        <is>
          <t>Tocotrienol, beta</t>
        </is>
      </c>
      <c r="B80">
        <f>Ingredientes!CG12</f>
        <v/>
      </c>
      <c r="C80" t="inlineStr">
        <is>
          <t>mg</t>
        </is>
      </c>
    </row>
    <row r="81">
      <c r="A81" t="inlineStr">
        <is>
          <t>Tocotrienol, gamma</t>
        </is>
      </c>
      <c r="B81">
        <f>Ingredientes!CH12</f>
        <v/>
      </c>
      <c r="C81" t="inlineStr">
        <is>
          <t>mg</t>
        </is>
      </c>
    </row>
    <row r="82">
      <c r="A82" t="inlineStr">
        <is>
          <t>Tocotrienol, delta</t>
        </is>
      </c>
      <c r="B82">
        <f>Ingredientes!CI12</f>
        <v/>
      </c>
      <c r="C82" t="inlineStr">
        <is>
          <t>mg</t>
        </is>
      </c>
    </row>
    <row r="83">
      <c r="A83" t="inlineStr">
        <is>
          <t>Vitamin C, total ascorbic acid</t>
        </is>
      </c>
      <c r="B83">
        <f>Ingredientes!CJ12</f>
        <v/>
      </c>
      <c r="C83" t="inlineStr">
        <is>
          <t>mg</t>
        </is>
      </c>
    </row>
    <row r="84">
      <c r="A84" t="inlineStr">
        <is>
          <t>Pantothenic acid</t>
        </is>
      </c>
      <c r="B84">
        <f>Ingredientes!CK12</f>
        <v/>
      </c>
      <c r="C84" t="inlineStr">
        <is>
          <t>mg</t>
        </is>
      </c>
    </row>
    <row r="85">
      <c r="A85" t="inlineStr">
        <is>
          <t>Caffeine</t>
        </is>
      </c>
      <c r="B85">
        <f>Ingredientes!CL12</f>
        <v/>
      </c>
      <c r="C85" t="inlineStr">
        <is>
          <t>mg</t>
        </is>
      </c>
    </row>
    <row r="86">
      <c r="A86" t="inlineStr">
        <is>
          <t>Theobromine</t>
        </is>
      </c>
      <c r="B86">
        <f>Ingredientes!CM12</f>
        <v/>
      </c>
      <c r="C86" t="inlineStr">
        <is>
          <t>mg</t>
        </is>
      </c>
    </row>
    <row r="87">
      <c r="A87" t="inlineStr">
        <is>
          <t>Fatty acids, total saturated</t>
        </is>
      </c>
      <c r="B87">
        <f>Ingredientes!CN12</f>
        <v/>
      </c>
      <c r="C87" t="inlineStr">
        <is>
          <t>g</t>
        </is>
      </c>
    </row>
    <row r="88">
      <c r="A88" t="inlineStr">
        <is>
          <t>SFA 4:0</t>
        </is>
      </c>
      <c r="B88">
        <f>Ingredientes!CO12</f>
        <v/>
      </c>
      <c r="C88" t="inlineStr">
        <is>
          <t>g</t>
        </is>
      </c>
    </row>
    <row r="89">
      <c r="A89" t="inlineStr">
        <is>
          <t>SFA 5:0</t>
        </is>
      </c>
      <c r="B89">
        <f>Ingredientes!CP12</f>
        <v/>
      </c>
      <c r="C89" t="inlineStr">
        <is>
          <t>g</t>
        </is>
      </c>
    </row>
    <row r="90">
      <c r="A90" t="inlineStr">
        <is>
          <t>SFA 6:0</t>
        </is>
      </c>
      <c r="B90">
        <f>Ingredientes!CQ12</f>
        <v/>
      </c>
      <c r="C90" t="inlineStr">
        <is>
          <t>g</t>
        </is>
      </c>
    </row>
    <row r="91">
      <c r="A91" t="inlineStr">
        <is>
          <t>SFA 7:0</t>
        </is>
      </c>
      <c r="B91">
        <f>Ingredientes!CR12</f>
        <v/>
      </c>
      <c r="C91" t="inlineStr">
        <is>
          <t>g</t>
        </is>
      </c>
    </row>
    <row r="92">
      <c r="A92" t="inlineStr">
        <is>
          <t>SFA 8:0</t>
        </is>
      </c>
      <c r="B92">
        <f>Ingredientes!CS12</f>
        <v/>
      </c>
      <c r="C92" t="inlineStr">
        <is>
          <t>g</t>
        </is>
      </c>
    </row>
    <row r="93">
      <c r="A93" t="inlineStr">
        <is>
          <t>SFA 9:0</t>
        </is>
      </c>
      <c r="B93">
        <f>Ingredientes!CT12</f>
        <v/>
      </c>
      <c r="C93" t="inlineStr">
        <is>
          <t>g</t>
        </is>
      </c>
    </row>
    <row r="94">
      <c r="A94" t="inlineStr">
        <is>
          <t>SFA 10:0</t>
        </is>
      </c>
      <c r="B94">
        <f>Ingredientes!CU12</f>
        <v/>
      </c>
      <c r="C94" t="inlineStr">
        <is>
          <t>g</t>
        </is>
      </c>
    </row>
    <row r="95">
      <c r="A95" t="inlineStr">
        <is>
          <t>SFA 11:0</t>
        </is>
      </c>
      <c r="B95">
        <f>Ingredientes!CV12</f>
        <v/>
      </c>
      <c r="C95" t="inlineStr">
        <is>
          <t>g</t>
        </is>
      </c>
    </row>
    <row r="96">
      <c r="A96" t="inlineStr">
        <is>
          <t>SFA 12:0</t>
        </is>
      </c>
      <c r="B96">
        <f>Ingredientes!CW12</f>
        <v/>
      </c>
      <c r="C96" t="inlineStr">
        <is>
          <t>g</t>
        </is>
      </c>
    </row>
    <row r="97">
      <c r="A97" t="inlineStr">
        <is>
          <t>SFA 13:0</t>
        </is>
      </c>
      <c r="B97">
        <f>Ingredientes!CX12</f>
        <v/>
      </c>
      <c r="C97" t="inlineStr">
        <is>
          <t>g</t>
        </is>
      </c>
    </row>
    <row r="98">
      <c r="A98" t="inlineStr">
        <is>
          <t>SFA 14:0</t>
        </is>
      </c>
      <c r="B98">
        <f>Ingredientes!CY12</f>
        <v/>
      </c>
      <c r="C98" t="inlineStr">
        <is>
          <t>g</t>
        </is>
      </c>
    </row>
    <row r="99">
      <c r="A99" t="inlineStr">
        <is>
          <t>SFA 15:0</t>
        </is>
      </c>
      <c r="B99">
        <f>Ingredientes!CZ12</f>
        <v/>
      </c>
      <c r="C99" t="inlineStr">
        <is>
          <t>g</t>
        </is>
      </c>
    </row>
    <row r="100">
      <c r="A100" t="inlineStr">
        <is>
          <t>SFA 16:0</t>
        </is>
      </c>
      <c r="B100">
        <f>Ingredientes!DA12</f>
        <v/>
      </c>
      <c r="C100" t="inlineStr">
        <is>
          <t>g</t>
        </is>
      </c>
    </row>
    <row r="101">
      <c r="A101" t="inlineStr">
        <is>
          <t>SFA 17:0</t>
        </is>
      </c>
      <c r="B101">
        <f>Ingredientes!DB12</f>
        <v/>
      </c>
      <c r="C101" t="inlineStr">
        <is>
          <t>g</t>
        </is>
      </c>
    </row>
    <row r="102">
      <c r="A102" t="inlineStr">
        <is>
          <t>SFA 18:0</t>
        </is>
      </c>
      <c r="B102">
        <f>Ingredientes!DC12</f>
        <v/>
      </c>
      <c r="C102" t="inlineStr">
        <is>
          <t>g</t>
        </is>
      </c>
    </row>
    <row r="103">
      <c r="A103" t="inlineStr">
        <is>
          <t>SFA 20:0</t>
        </is>
      </c>
      <c r="B103">
        <f>Ingredientes!DD12</f>
        <v/>
      </c>
      <c r="C103" t="inlineStr">
        <is>
          <t>g</t>
        </is>
      </c>
    </row>
    <row r="104">
      <c r="A104" t="inlineStr">
        <is>
          <t>SFA 21:0</t>
        </is>
      </c>
      <c r="B104">
        <f>Ingredientes!DE12</f>
        <v/>
      </c>
      <c r="C104" t="inlineStr">
        <is>
          <t>g</t>
        </is>
      </c>
    </row>
    <row r="105">
      <c r="A105" t="inlineStr">
        <is>
          <t>SFA 22:0</t>
        </is>
      </c>
      <c r="B105">
        <f>Ingredientes!DF12</f>
        <v/>
      </c>
      <c r="C105" t="inlineStr">
        <is>
          <t>g</t>
        </is>
      </c>
    </row>
    <row r="106">
      <c r="A106" t="inlineStr">
        <is>
          <t>SFA 23:0</t>
        </is>
      </c>
      <c r="B106">
        <f>Ingredientes!DG12</f>
        <v/>
      </c>
      <c r="C106" t="inlineStr">
        <is>
          <t>g</t>
        </is>
      </c>
    </row>
    <row r="107">
      <c r="A107" t="inlineStr">
        <is>
          <t>SFA 24:0</t>
        </is>
      </c>
      <c r="B107">
        <f>Ingredientes!DH12</f>
        <v/>
      </c>
      <c r="C107" t="inlineStr">
        <is>
          <t>g</t>
        </is>
      </c>
    </row>
    <row r="108">
      <c r="A108" t="inlineStr">
        <is>
          <t>Fatty acids, total monounsaturated</t>
        </is>
      </c>
      <c r="B108">
        <f>Ingredientes!DI12</f>
        <v/>
      </c>
      <c r="C108" t="inlineStr">
        <is>
          <t>g</t>
        </is>
      </c>
    </row>
    <row r="109">
      <c r="A109" t="inlineStr">
        <is>
          <t>MUFA 12:1</t>
        </is>
      </c>
      <c r="B109">
        <f>Ingredientes!DJ12</f>
        <v/>
      </c>
      <c r="C109" t="inlineStr">
        <is>
          <t>g</t>
        </is>
      </c>
    </row>
    <row r="110">
      <c r="A110" t="inlineStr">
        <is>
          <t>MUFA 14:1</t>
        </is>
      </c>
      <c r="B110">
        <f>Ingredientes!DK12</f>
        <v/>
      </c>
      <c r="C110" t="inlineStr">
        <is>
          <t>g</t>
        </is>
      </c>
    </row>
    <row r="111">
      <c r="A111" t="inlineStr">
        <is>
          <t>MUFA 14:1 c</t>
        </is>
      </c>
      <c r="B111">
        <f>Ingredientes!DL12</f>
        <v/>
      </c>
      <c r="C111" t="inlineStr">
        <is>
          <t>g</t>
        </is>
      </c>
    </row>
    <row r="112">
      <c r="A112" t="inlineStr">
        <is>
          <t>MUFA 15:1</t>
        </is>
      </c>
      <c r="B112">
        <f>Ingredientes!DM12</f>
        <v/>
      </c>
      <c r="C112" t="inlineStr">
        <is>
          <t>g</t>
        </is>
      </c>
    </row>
    <row r="113">
      <c r="A113" t="inlineStr">
        <is>
          <t>MUFA 16:1</t>
        </is>
      </c>
      <c r="B113">
        <f>Ingredientes!DN12</f>
        <v/>
      </c>
      <c r="C113" t="inlineStr">
        <is>
          <t>g</t>
        </is>
      </c>
    </row>
    <row r="114">
      <c r="A114" t="inlineStr">
        <is>
          <t>MUFA 16:1 c</t>
        </is>
      </c>
      <c r="B114">
        <f>Ingredientes!DO12</f>
        <v/>
      </c>
      <c r="C114" t="inlineStr">
        <is>
          <t>g</t>
        </is>
      </c>
    </row>
    <row r="115">
      <c r="A115" t="inlineStr">
        <is>
          <t>MUFA 17:1</t>
        </is>
      </c>
      <c r="B115">
        <f>Ingredientes!DP12</f>
        <v/>
      </c>
      <c r="C115" t="inlineStr">
        <is>
          <t>g</t>
        </is>
      </c>
    </row>
    <row r="116">
      <c r="A116" t="inlineStr">
        <is>
          <t>MUFA 17:1 c</t>
        </is>
      </c>
      <c r="B116">
        <f>Ingredientes!DQ12</f>
        <v/>
      </c>
      <c r="C116" t="inlineStr">
        <is>
          <t>g</t>
        </is>
      </c>
    </row>
    <row r="117">
      <c r="A117" t="inlineStr">
        <is>
          <t>MUFA 18:1</t>
        </is>
      </c>
      <c r="B117">
        <f>Ingredientes!DR12</f>
        <v/>
      </c>
      <c r="C117" t="inlineStr">
        <is>
          <t>g</t>
        </is>
      </c>
    </row>
    <row r="118">
      <c r="A118" t="inlineStr">
        <is>
          <t>MUFA 18:1 c</t>
        </is>
      </c>
      <c r="B118">
        <f>Ingredientes!DS12</f>
        <v/>
      </c>
      <c r="C118" t="inlineStr">
        <is>
          <t>g</t>
        </is>
      </c>
    </row>
    <row r="119">
      <c r="A119" t="inlineStr">
        <is>
          <t>MUFA 20:1</t>
        </is>
      </c>
      <c r="B119">
        <f>Ingredientes!DT12</f>
        <v/>
      </c>
      <c r="C119" t="inlineStr">
        <is>
          <t>g</t>
        </is>
      </c>
    </row>
    <row r="120">
      <c r="A120" t="inlineStr">
        <is>
          <t>MUFA 20:1 c</t>
        </is>
      </c>
      <c r="B120">
        <f>Ingredientes!DU12</f>
        <v/>
      </c>
      <c r="C120" t="inlineStr">
        <is>
          <t>g</t>
        </is>
      </c>
    </row>
    <row r="121">
      <c r="A121" t="inlineStr">
        <is>
          <t>MUFA 22:1</t>
        </is>
      </c>
      <c r="B121">
        <f>Ingredientes!DV12</f>
        <v/>
      </c>
      <c r="C121" t="inlineStr">
        <is>
          <t>g</t>
        </is>
      </c>
    </row>
    <row r="122">
      <c r="A122" t="inlineStr">
        <is>
          <t>MUFA 22:1 c</t>
        </is>
      </c>
      <c r="B122">
        <f>Ingredientes!DW12</f>
        <v/>
      </c>
      <c r="C122" t="inlineStr">
        <is>
          <t>g</t>
        </is>
      </c>
    </row>
    <row r="123">
      <c r="A123" t="inlineStr">
        <is>
          <t>MUFA 22:1 n-9</t>
        </is>
      </c>
      <c r="B123">
        <f>Ingredientes!DX12</f>
        <v/>
      </c>
      <c r="C123" t="inlineStr">
        <is>
          <t>g</t>
        </is>
      </c>
    </row>
    <row r="124">
      <c r="A124" t="inlineStr">
        <is>
          <t>MUFA 22:1 n-11</t>
        </is>
      </c>
      <c r="B124">
        <f>Ingredientes!DY12</f>
        <v/>
      </c>
      <c r="C124" t="inlineStr">
        <is>
          <t>g</t>
        </is>
      </c>
    </row>
    <row r="125">
      <c r="A125" t="inlineStr">
        <is>
          <t>MUFA 24:1 c</t>
        </is>
      </c>
      <c r="B125">
        <f>Ingredientes!DZ12</f>
        <v/>
      </c>
      <c r="C125" t="inlineStr">
        <is>
          <t>g</t>
        </is>
      </c>
    </row>
    <row r="126">
      <c r="A126" t="inlineStr">
        <is>
          <t>Fatty acids, total polyunsaturated</t>
        </is>
      </c>
      <c r="B126">
        <f>Ingredientes!EA12</f>
        <v/>
      </c>
      <c r="C126" t="inlineStr">
        <is>
          <t>g</t>
        </is>
      </c>
    </row>
    <row r="127">
      <c r="A127" t="inlineStr">
        <is>
          <t>PUFA 18:2</t>
        </is>
      </c>
      <c r="B127">
        <f>Ingredientes!EB12</f>
        <v/>
      </c>
      <c r="C127" t="inlineStr">
        <is>
          <t>g</t>
        </is>
      </c>
    </row>
    <row r="128">
      <c r="A128" t="inlineStr">
        <is>
          <t>PUFA 18:2 c</t>
        </is>
      </c>
      <c r="B128">
        <f>Ingredientes!EC12</f>
        <v/>
      </c>
      <c r="C128" t="inlineStr">
        <is>
          <t>g</t>
        </is>
      </c>
    </row>
    <row r="129">
      <c r="A129" t="inlineStr">
        <is>
          <t>PUFA 18:2 n-6 c,c</t>
        </is>
      </c>
      <c r="B129">
        <f>Ingredientes!ED12</f>
        <v/>
      </c>
      <c r="C129" t="inlineStr">
        <is>
          <t>g</t>
        </is>
      </c>
    </row>
    <row r="130">
      <c r="A130" t="inlineStr">
        <is>
          <t>PUFA 18:2 CLAs</t>
        </is>
      </c>
      <c r="B130">
        <f>Ingredientes!EE12</f>
        <v/>
      </c>
      <c r="C130" t="inlineStr">
        <is>
          <t>g</t>
        </is>
      </c>
    </row>
    <row r="131">
      <c r="A131" t="inlineStr">
        <is>
          <t>PUFA 18:3</t>
        </is>
      </c>
      <c r="B131">
        <f>Ingredientes!EF12</f>
        <v/>
      </c>
      <c r="C131" t="inlineStr">
        <is>
          <t>g</t>
        </is>
      </c>
    </row>
    <row r="132">
      <c r="A132" t="inlineStr">
        <is>
          <t>PUFA 18:3 c</t>
        </is>
      </c>
      <c r="B132">
        <f>Ingredientes!EG12</f>
        <v/>
      </c>
      <c r="C132" t="inlineStr">
        <is>
          <t>g</t>
        </is>
      </c>
    </row>
    <row r="133">
      <c r="A133" t="inlineStr">
        <is>
          <t>PUFA 18:3 n-3 c,c,c (ALA)</t>
        </is>
      </c>
      <c r="B133">
        <f>Ingredientes!EH12</f>
        <v/>
      </c>
      <c r="C133" t="inlineStr">
        <is>
          <t>g</t>
        </is>
      </c>
    </row>
    <row r="134">
      <c r="A134" t="inlineStr">
        <is>
          <t>PUFA 18:3 n-6 c,c,c</t>
        </is>
      </c>
      <c r="B134">
        <f>Ingredientes!EI12</f>
        <v/>
      </c>
      <c r="C134" t="inlineStr">
        <is>
          <t>g</t>
        </is>
      </c>
    </row>
    <row r="135">
      <c r="A135" t="inlineStr">
        <is>
          <t>PUFA 18:4</t>
        </is>
      </c>
      <c r="B135">
        <f>Ingredientes!EJ12</f>
        <v/>
      </c>
      <c r="C135" t="inlineStr">
        <is>
          <t>g</t>
        </is>
      </c>
    </row>
    <row r="136">
      <c r="A136" t="inlineStr">
        <is>
          <t>PUFA 20:2 c</t>
        </is>
      </c>
      <c r="B136">
        <f>Ingredientes!EK12</f>
        <v/>
      </c>
      <c r="C136" t="inlineStr">
        <is>
          <t>g</t>
        </is>
      </c>
    </row>
    <row r="137">
      <c r="A137" t="inlineStr">
        <is>
          <t>PUFA 20:2 n-6 c,c</t>
        </is>
      </c>
      <c r="B137">
        <f>Ingredientes!EL12</f>
        <v/>
      </c>
      <c r="C137" t="inlineStr">
        <is>
          <t>g</t>
        </is>
      </c>
    </row>
    <row r="138">
      <c r="A138" t="inlineStr">
        <is>
          <t>PUFA 20:3</t>
        </is>
      </c>
      <c r="B138">
        <f>Ingredientes!EM12</f>
        <v/>
      </c>
      <c r="C138" t="inlineStr">
        <is>
          <t>g</t>
        </is>
      </c>
    </row>
    <row r="139">
      <c r="A139" t="inlineStr">
        <is>
          <t>PUFA 20:3 c</t>
        </is>
      </c>
      <c r="B139">
        <f>Ingredientes!EN12</f>
        <v/>
      </c>
      <c r="C139" t="inlineStr">
        <is>
          <t>g</t>
        </is>
      </c>
    </row>
    <row r="140">
      <c r="A140" t="inlineStr">
        <is>
          <t>PUFA 20:3 n-3</t>
        </is>
      </c>
      <c r="B140">
        <f>Ingredientes!EO12</f>
        <v/>
      </c>
      <c r="C140" t="inlineStr">
        <is>
          <t>g</t>
        </is>
      </c>
    </row>
    <row r="141">
      <c r="A141" t="inlineStr">
        <is>
          <t>PUFA 20:3 n-6</t>
        </is>
      </c>
      <c r="B141">
        <f>Ingredientes!EP12</f>
        <v/>
      </c>
      <c r="C141" t="inlineStr">
        <is>
          <t>g</t>
        </is>
      </c>
    </row>
    <row r="142">
      <c r="A142" t="inlineStr">
        <is>
          <t>PUFA 20:3 n-9</t>
        </is>
      </c>
      <c r="B142">
        <f>Ingredientes!EQ12</f>
        <v/>
      </c>
      <c r="C142" t="inlineStr">
        <is>
          <t>g</t>
        </is>
      </c>
    </row>
    <row r="143">
      <c r="A143" t="inlineStr">
        <is>
          <t>PUFA 20:4</t>
        </is>
      </c>
      <c r="B143">
        <f>Ingredientes!ER12</f>
        <v/>
      </c>
      <c r="C143" t="inlineStr">
        <is>
          <t>g</t>
        </is>
      </c>
    </row>
    <row r="144">
      <c r="A144" t="inlineStr">
        <is>
          <t>PUFA 20:4c</t>
        </is>
      </c>
      <c r="B144">
        <f>Ingredientes!ES12</f>
        <v/>
      </c>
      <c r="C144" t="inlineStr">
        <is>
          <t>g</t>
        </is>
      </c>
    </row>
    <row r="145">
      <c r="A145" t="inlineStr">
        <is>
          <t>PUFA 20:5c</t>
        </is>
      </c>
      <c r="B145">
        <f>Ingredientes!ET12</f>
        <v/>
      </c>
      <c r="C145" t="inlineStr">
        <is>
          <t>g</t>
        </is>
      </c>
    </row>
    <row r="146">
      <c r="A146" t="inlineStr">
        <is>
          <t>PUFA 20:5 n-3 (EPA)</t>
        </is>
      </c>
      <c r="B146">
        <f>Ingredientes!EU12</f>
        <v/>
      </c>
      <c r="C146" t="inlineStr">
        <is>
          <t>g</t>
        </is>
      </c>
    </row>
    <row r="147">
      <c r="A147" t="inlineStr">
        <is>
          <t>PUFA 22:2</t>
        </is>
      </c>
      <c r="B147">
        <f>Ingredientes!EV12</f>
        <v/>
      </c>
      <c r="C147" t="inlineStr">
        <is>
          <t>g</t>
        </is>
      </c>
    </row>
    <row r="148">
      <c r="A148" t="inlineStr">
        <is>
          <t>PUFA 22:3</t>
        </is>
      </c>
      <c r="B148">
        <f>Ingredientes!EW12</f>
        <v/>
      </c>
      <c r="C148" t="inlineStr">
        <is>
          <t>g</t>
        </is>
      </c>
    </row>
    <row r="149">
      <c r="A149" t="inlineStr">
        <is>
          <t>PUFA 22:4</t>
        </is>
      </c>
      <c r="B149">
        <f>Ingredientes!EX12</f>
        <v/>
      </c>
      <c r="C149" t="inlineStr">
        <is>
          <t>g</t>
        </is>
      </c>
    </row>
    <row r="150">
      <c r="A150" t="inlineStr">
        <is>
          <t>PUFA 22:5 c</t>
        </is>
      </c>
      <c r="B150">
        <f>Ingredientes!EY12</f>
        <v/>
      </c>
      <c r="C150" t="inlineStr">
        <is>
          <t>g</t>
        </is>
      </c>
    </row>
    <row r="151">
      <c r="A151" t="inlineStr">
        <is>
          <t>PUFA 22:5 n-3 (DPA)</t>
        </is>
      </c>
      <c r="B151">
        <f>Ingredientes!EZ12</f>
        <v/>
      </c>
      <c r="C151" t="inlineStr">
        <is>
          <t>g</t>
        </is>
      </c>
    </row>
    <row r="152">
      <c r="A152" t="inlineStr">
        <is>
          <t>PUFA 22:6 c</t>
        </is>
      </c>
      <c r="B152">
        <f>Ingredientes!FA12</f>
        <v/>
      </c>
      <c r="C152" t="inlineStr">
        <is>
          <t>g</t>
        </is>
      </c>
    </row>
    <row r="153">
      <c r="A153" t="inlineStr">
        <is>
          <t>PUFA 22:6 n-3 (DHA)</t>
        </is>
      </c>
      <c r="B153">
        <f>Ingredientes!FB12</f>
        <v/>
      </c>
      <c r="C153" t="inlineStr">
        <is>
          <t>g</t>
        </is>
      </c>
    </row>
    <row r="154">
      <c r="A154" t="inlineStr">
        <is>
          <t>Fatty acids, total trans</t>
        </is>
      </c>
      <c r="B154">
        <f>Ingredientes!FC12</f>
        <v/>
      </c>
      <c r="C154" t="inlineStr">
        <is>
          <t>g</t>
        </is>
      </c>
    </row>
    <row r="155">
      <c r="A155" t="inlineStr">
        <is>
          <t>Fatty acids, total trans-monoenoic</t>
        </is>
      </c>
      <c r="B155">
        <f>Ingredientes!FD12</f>
        <v/>
      </c>
      <c r="C155" t="inlineStr">
        <is>
          <t>g</t>
        </is>
      </c>
    </row>
    <row r="156">
      <c r="A156" t="inlineStr">
        <is>
          <t>Fatty acids, total trans-dienoic</t>
        </is>
      </c>
      <c r="B156">
        <f>Ingredientes!FE12</f>
        <v/>
      </c>
      <c r="C156" t="inlineStr">
        <is>
          <t>g</t>
        </is>
      </c>
    </row>
    <row r="157">
      <c r="A157" t="inlineStr">
        <is>
          <t>Fatty acids, total trans-polyenoic</t>
        </is>
      </c>
      <c r="B157">
        <f>Ingredientes!FF12</f>
        <v/>
      </c>
      <c r="C157" t="inlineStr">
        <is>
          <t>g</t>
        </is>
      </c>
    </row>
    <row r="158">
      <c r="A158" t="inlineStr">
        <is>
          <t>TFA 14:1 t</t>
        </is>
      </c>
      <c r="B158">
        <f>Ingredientes!FG12</f>
        <v/>
      </c>
      <c r="C158" t="inlineStr">
        <is>
          <t>g</t>
        </is>
      </c>
    </row>
    <row r="159">
      <c r="A159" t="inlineStr">
        <is>
          <t>TFA 16:1 t</t>
        </is>
      </c>
      <c r="B159">
        <f>Ingredientes!FH12</f>
        <v/>
      </c>
      <c r="C159" t="inlineStr">
        <is>
          <t>g</t>
        </is>
      </c>
    </row>
    <row r="160">
      <c r="A160" t="inlineStr">
        <is>
          <t>TFA 18:1 t</t>
        </is>
      </c>
      <c r="B160">
        <f>Ingredientes!FI12</f>
        <v/>
      </c>
      <c r="C160" t="inlineStr">
        <is>
          <t>g</t>
        </is>
      </c>
    </row>
    <row r="161">
      <c r="A161" t="inlineStr">
        <is>
          <t>TFA 18:2 t,t</t>
        </is>
      </c>
      <c r="B161">
        <f>Ingredientes!FJ12</f>
        <v/>
      </c>
      <c r="C161" t="inlineStr">
        <is>
          <t>g</t>
        </is>
      </c>
    </row>
    <row r="162">
      <c r="A162" t="inlineStr">
        <is>
          <t>TFA 18:2 t not further defined</t>
        </is>
      </c>
      <c r="B162">
        <f>Ingredientes!FK12</f>
        <v/>
      </c>
      <c r="C162" t="inlineStr">
        <is>
          <t>g</t>
        </is>
      </c>
    </row>
    <row r="163">
      <c r="A163" t="inlineStr">
        <is>
          <t>TFA 18:3 t</t>
        </is>
      </c>
      <c r="B163">
        <f>Ingredientes!FL12</f>
        <v/>
      </c>
      <c r="C163" t="inlineStr">
        <is>
          <t>g</t>
        </is>
      </c>
    </row>
    <row r="164">
      <c r="A164" t="inlineStr">
        <is>
          <t>TFA 20:1 t</t>
        </is>
      </c>
      <c r="B164">
        <f>Ingredientes!FM12</f>
        <v/>
      </c>
      <c r="C164" t="inlineStr">
        <is>
          <t>g</t>
        </is>
      </c>
    </row>
    <row r="165">
      <c r="A165" t="inlineStr">
        <is>
          <t>TFA 22:1 t</t>
        </is>
      </c>
      <c r="B165">
        <f>Ingredientes!FN12</f>
        <v/>
      </c>
      <c r="C165" t="inlineStr">
        <is>
          <t>g</t>
        </is>
      </c>
    </row>
    <row r="166">
      <c r="A166" t="inlineStr">
        <is>
          <t>Cholesterol</t>
        </is>
      </c>
      <c r="B166">
        <f>Ingredientes!FO12</f>
        <v/>
      </c>
      <c r="C166" t="inlineStr">
        <is>
          <t>mg</t>
        </is>
      </c>
    </row>
    <row r="167">
      <c r="A167" t="inlineStr">
        <is>
          <t>Tryptophan</t>
        </is>
      </c>
      <c r="B167">
        <f>Ingredientes!FP12</f>
        <v/>
      </c>
      <c r="C167" t="inlineStr">
        <is>
          <t>g</t>
        </is>
      </c>
    </row>
    <row r="168">
      <c r="A168" t="inlineStr">
        <is>
          <t>Threonine</t>
        </is>
      </c>
      <c r="B168">
        <f>Ingredientes!FQ12</f>
        <v/>
      </c>
      <c r="C168" t="inlineStr">
        <is>
          <t>g</t>
        </is>
      </c>
    </row>
    <row r="169">
      <c r="A169" t="inlineStr">
        <is>
          <t>Isoleucine</t>
        </is>
      </c>
      <c r="B169">
        <f>Ingredientes!FR12</f>
        <v/>
      </c>
      <c r="C169" t="inlineStr">
        <is>
          <t>g</t>
        </is>
      </c>
    </row>
    <row r="170">
      <c r="A170" t="inlineStr">
        <is>
          <t>Leucine</t>
        </is>
      </c>
      <c r="B170">
        <f>Ingredientes!FS12</f>
        <v/>
      </c>
      <c r="C170" t="inlineStr">
        <is>
          <t>g</t>
        </is>
      </c>
    </row>
    <row r="171">
      <c r="A171" t="inlineStr">
        <is>
          <t>Lysine</t>
        </is>
      </c>
      <c r="B171">
        <f>Ingredientes!FT12</f>
        <v/>
      </c>
      <c r="C171" t="inlineStr">
        <is>
          <t>g</t>
        </is>
      </c>
    </row>
    <row r="172">
      <c r="A172" t="inlineStr">
        <is>
          <t>Methionine</t>
        </is>
      </c>
      <c r="B172">
        <f>Ingredientes!FU12</f>
        <v/>
      </c>
      <c r="C172" t="inlineStr">
        <is>
          <t>g</t>
        </is>
      </c>
    </row>
    <row r="173">
      <c r="A173" t="inlineStr">
        <is>
          <t>Phenylalanine</t>
        </is>
      </c>
      <c r="B173">
        <f>Ingredientes!FV12</f>
        <v/>
      </c>
      <c r="C173" t="inlineStr">
        <is>
          <t>g</t>
        </is>
      </c>
    </row>
    <row r="174">
      <c r="A174" t="inlineStr">
        <is>
          <t>Tyrosine</t>
        </is>
      </c>
      <c r="B174">
        <f>Ingredientes!FW12</f>
        <v/>
      </c>
      <c r="C174" t="inlineStr">
        <is>
          <t>g</t>
        </is>
      </c>
    </row>
    <row r="175">
      <c r="A175" t="inlineStr">
        <is>
          <t>Valine</t>
        </is>
      </c>
      <c r="B175">
        <f>Ingredientes!FX12</f>
        <v/>
      </c>
      <c r="C175" t="inlineStr">
        <is>
          <t>g</t>
        </is>
      </c>
    </row>
    <row r="176">
      <c r="A176" t="inlineStr">
        <is>
          <t>Arginine</t>
        </is>
      </c>
      <c r="B176">
        <f>Ingredientes!FY12</f>
        <v/>
      </c>
      <c r="C176" t="inlineStr">
        <is>
          <t>g</t>
        </is>
      </c>
    </row>
    <row r="177">
      <c r="A177" t="inlineStr">
        <is>
          <t>Histidine</t>
        </is>
      </c>
      <c r="B177">
        <f>Ingredientes!FZ12</f>
        <v/>
      </c>
      <c r="C177" t="inlineStr">
        <is>
          <t>g</t>
        </is>
      </c>
    </row>
    <row r="178">
      <c r="A178" t="inlineStr">
        <is>
          <t>Alanine</t>
        </is>
      </c>
      <c r="B178">
        <f>Ingredientes!GA12</f>
        <v/>
      </c>
      <c r="C178" t="inlineStr">
        <is>
          <t>g</t>
        </is>
      </c>
    </row>
    <row r="179">
      <c r="A179" t="inlineStr">
        <is>
          <t>Aspartic acid</t>
        </is>
      </c>
      <c r="B179">
        <f>Ingredientes!GB12</f>
        <v/>
      </c>
      <c r="C179" t="inlineStr">
        <is>
          <t>g</t>
        </is>
      </c>
    </row>
    <row r="180">
      <c r="A180" t="inlineStr">
        <is>
          <t>Glutamic acid</t>
        </is>
      </c>
      <c r="B180">
        <f>Ingredientes!GC12</f>
        <v/>
      </c>
      <c r="C180" t="inlineStr">
        <is>
          <t>g</t>
        </is>
      </c>
    </row>
    <row r="181">
      <c r="A181" t="inlineStr">
        <is>
          <t>Glycine</t>
        </is>
      </c>
      <c r="B181">
        <f>Ingredientes!GD12</f>
        <v/>
      </c>
      <c r="C181" t="inlineStr">
        <is>
          <t>g</t>
        </is>
      </c>
    </row>
    <row r="182">
      <c r="A182" t="inlineStr">
        <is>
          <t>Proline</t>
        </is>
      </c>
      <c r="B182">
        <f>Ingredientes!GE12</f>
        <v/>
      </c>
      <c r="C182" t="inlineStr">
        <is>
          <t>g</t>
        </is>
      </c>
    </row>
    <row r="183">
      <c r="A183" t="inlineStr">
        <is>
          <t>Serine</t>
        </is>
      </c>
      <c r="B183">
        <f>Ingredientes!GF12</f>
        <v/>
      </c>
      <c r="C183" t="inlineStr">
        <is>
          <t>g</t>
        </is>
      </c>
    </row>
    <row r="184">
      <c r="A184" t="inlineStr">
        <is>
          <t>Hydroxyproline</t>
        </is>
      </c>
      <c r="B184">
        <f>Ingredientes!GG12</f>
        <v/>
      </c>
      <c r="C184" t="inlineStr">
        <is>
          <t>g</t>
        </is>
      </c>
    </row>
    <row r="185">
      <c r="A185" t="inlineStr">
        <is>
          <t>Cysteine</t>
        </is>
      </c>
      <c r="B185">
        <f>Ingredientes!GH12</f>
        <v/>
      </c>
      <c r="C185" t="inlineStr">
        <is>
          <t>g</t>
        </is>
      </c>
    </row>
    <row r="186">
      <c r="A186" t="inlineStr">
        <is>
          <t>Phytosterols</t>
        </is>
      </c>
      <c r="B186">
        <f>Ingredientes!GI12</f>
        <v/>
      </c>
      <c r="C186" t="inlineStr">
        <is>
          <t>mg</t>
        </is>
      </c>
    </row>
    <row r="187">
      <c r="A187" t="inlineStr">
        <is>
          <t>Beta-sitosterol</t>
        </is>
      </c>
      <c r="B187">
        <f>Ingredientes!GJ12</f>
        <v/>
      </c>
      <c r="C187" t="inlineStr">
        <is>
          <t>mg</t>
        </is>
      </c>
    </row>
    <row r="188">
      <c r="A188" t="inlineStr">
        <is>
          <t>Brassicasterol</t>
        </is>
      </c>
      <c r="B188">
        <f>Ingredientes!GK12</f>
        <v/>
      </c>
      <c r="C188" t="inlineStr">
        <is>
          <t>mg</t>
        </is>
      </c>
    </row>
    <row r="189">
      <c r="A189" t="inlineStr">
        <is>
          <t>Campesterol</t>
        </is>
      </c>
      <c r="B189">
        <f>Ingredientes!GL12</f>
        <v/>
      </c>
      <c r="C189" t="inlineStr">
        <is>
          <t>mg</t>
        </is>
      </c>
    </row>
    <row r="190">
      <c r="A190" t="inlineStr">
        <is>
          <t>Campestanol</t>
        </is>
      </c>
      <c r="B190">
        <f>Ingredientes!GM12</f>
        <v/>
      </c>
      <c r="C190" t="inlineStr">
        <is>
          <t>mg</t>
        </is>
      </c>
    </row>
    <row r="191">
      <c r="A191" t="inlineStr">
        <is>
          <t>Delta-5-avenasterol</t>
        </is>
      </c>
      <c r="B191">
        <f>Ingredientes!GN12</f>
        <v/>
      </c>
      <c r="C191" t="inlineStr">
        <is>
          <t>mg</t>
        </is>
      </c>
    </row>
    <row r="192">
      <c r="A192" t="inlineStr">
        <is>
          <t>Phytosterols, other</t>
        </is>
      </c>
      <c r="B192">
        <f>Ingredientes!GO12</f>
        <v/>
      </c>
      <c r="C192" t="inlineStr">
        <is>
          <t>mg</t>
        </is>
      </c>
    </row>
    <row r="193">
      <c r="A193" t="inlineStr">
        <is>
          <t>Stigmasterol</t>
        </is>
      </c>
      <c r="B193">
        <f>Ingredientes!GP12</f>
        <v/>
      </c>
      <c r="C193" t="inlineStr">
        <is>
          <t>mg</t>
        </is>
      </c>
    </row>
    <row r="194">
      <c r="A194" t="inlineStr">
        <is>
          <t>Beta-sitostanol</t>
        </is>
      </c>
      <c r="B194">
        <f>Ingredientes!GQ12</f>
        <v/>
      </c>
      <c r="C194" t="inlineStr">
        <is>
          <t>mg</t>
        </is>
      </c>
    </row>
    <row r="195">
      <c r="A195" t="inlineStr">
        <is>
          <t>Alcohol, ethyl</t>
        </is>
      </c>
      <c r="B195">
        <f>Ingredientes!GR12</f>
        <v/>
      </c>
      <c r="C195" t="inlineStr">
        <is>
          <t>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2025-12-10T22:05:31Z</dcterms:created>
  <dcterms:modified xsi:type="dcterms:W3CDTF">2025-12-10T22:05:31Z</dcterms:modified>
</cp:coreProperties>
</file>