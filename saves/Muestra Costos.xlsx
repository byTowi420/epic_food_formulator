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  <sheet name="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Z1" s="4" t="inlineStr">
        <is>
          <t>Minerals</t>
        </is>
      </c>
      <c r="AL1" s="5" t="inlineStr">
        <is>
          <t>Vitamins and Other Components</t>
        </is>
      </c>
      <c r="CK1" s="6" t="inlineStr">
        <is>
          <t>Lipids</t>
        </is>
      </c>
      <c r="FM1" s="7" t="inlineStr">
        <is>
          <t>Amino acids</t>
        </is>
      </c>
      <c r="GF1" s="8" t="inlineStr">
        <is>
          <t>Phytosterols</t>
        </is>
      </c>
      <c r="GJ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Sugars, Total (g)</t>
        </is>
      </c>
      <c r="R2" s="3" t="inlineStr">
        <is>
          <t>Sucrose (g)</t>
        </is>
      </c>
      <c r="S2" s="3" t="inlineStr">
        <is>
          <t>Glucose (g)</t>
        </is>
      </c>
      <c r="T2" s="3" t="inlineStr">
        <is>
          <t>Fructose (g)</t>
        </is>
      </c>
      <c r="U2" s="3" t="inlineStr">
        <is>
          <t>Lactose (g)</t>
        </is>
      </c>
      <c r="V2" s="3" t="inlineStr">
        <is>
          <t>Maltose (g)</t>
        </is>
      </c>
      <c r="W2" s="3" t="inlineStr">
        <is>
          <t>Galactose (g)</t>
        </is>
      </c>
      <c r="X2" s="3" t="inlineStr">
        <is>
          <t>Starch (g)</t>
        </is>
      </c>
      <c r="Y2" s="3" t="inlineStr">
        <is>
          <t>Resistant starch (g)</t>
        </is>
      </c>
      <c r="Z2" s="4" t="inlineStr">
        <is>
          <t>Calcium, Ca (mg)</t>
        </is>
      </c>
      <c r="AA2" s="4" t="inlineStr">
        <is>
          <t>Iron, Fe (mg)</t>
        </is>
      </c>
      <c r="AB2" s="4" t="inlineStr">
        <is>
          <t>Magnesium, Mg (mg)</t>
        </is>
      </c>
      <c r="AC2" s="4" t="inlineStr">
        <is>
          <t>Phosphorus, P (mg)</t>
        </is>
      </c>
      <c r="AD2" s="4" t="inlineStr">
        <is>
          <t>Potassium, K (mg)</t>
        </is>
      </c>
      <c r="AE2" s="4" t="inlineStr">
        <is>
          <t>Sodium, Na (mg)</t>
        </is>
      </c>
      <c r="AF2" s="4" t="inlineStr">
        <is>
          <t>Zinc, Zn (mg)</t>
        </is>
      </c>
      <c r="AG2" s="4" t="inlineStr">
        <is>
          <t>Copper, Cu (mg)</t>
        </is>
      </c>
      <c r="AH2" s="4" t="inlineStr">
        <is>
          <t>Manganese, Mn (mg)</t>
        </is>
      </c>
      <c r="AI2" s="4" t="inlineStr">
        <is>
          <t>Iodine, I (μg)</t>
        </is>
      </c>
      <c r="AJ2" s="4" t="inlineStr">
        <is>
          <t>Selenium, Se (μg)</t>
        </is>
      </c>
      <c r="AK2" s="4" t="inlineStr">
        <is>
          <t>Fluoride, F (μg)</t>
        </is>
      </c>
      <c r="AL2" s="5" t="inlineStr">
        <is>
          <t>Thiamin (mg)</t>
        </is>
      </c>
      <c r="AM2" s="5" t="inlineStr">
        <is>
          <t>Riboflavin (mg)</t>
        </is>
      </c>
      <c r="AN2" s="5" t="inlineStr">
        <is>
          <t>Niacin (mg)</t>
        </is>
      </c>
      <c r="AO2" s="5" t="inlineStr">
        <is>
          <t>Vitamin B-6 (mg)</t>
        </is>
      </c>
      <c r="AP2" s="5" t="inlineStr">
        <is>
          <t>Folate, total (μg)</t>
        </is>
      </c>
      <c r="AQ2" s="5" t="inlineStr">
        <is>
          <t>Folic acid (μg)</t>
        </is>
      </c>
      <c r="AR2" s="5" t="inlineStr">
        <is>
          <t>Folate, DFE (μg)</t>
        </is>
      </c>
      <c r="AS2" s="5" t="inlineStr">
        <is>
          <t>Choline, total (mg)</t>
        </is>
      </c>
      <c r="AT2" s="5" t="inlineStr">
        <is>
          <t>Vitamin B-12 (μg)</t>
        </is>
      </c>
      <c r="AU2" s="5" t="inlineStr">
        <is>
          <t>Vitamin A, RAE (μg)</t>
        </is>
      </c>
      <c r="AV2" s="5" t="inlineStr">
        <is>
          <t>Vitamin A, IU (iu)</t>
        </is>
      </c>
      <c r="AW2" s="5" t="inlineStr">
        <is>
          <t>Vitamin D (D2 + D3) (μg)</t>
        </is>
      </c>
      <c r="AX2" s="5" t="inlineStr">
        <is>
          <t>Vitamin K (phylloquinone) (μg)</t>
        </is>
      </c>
      <c r="AY2" s="5" t="inlineStr">
        <is>
          <t>Vitamin E (alpha-tocopherol) (mg)</t>
        </is>
      </c>
      <c r="AZ2" s="5" t="inlineStr">
        <is>
          <t>Vitamin C, total ascorbic acid (mg)</t>
        </is>
      </c>
      <c r="BA2" s="5" t="inlineStr">
        <is>
          <t>Pantothenic acid (mg)</t>
        </is>
      </c>
      <c r="BB2" s="5" t="inlineStr">
        <is>
          <t>Caffeine (mg)</t>
        </is>
      </c>
      <c r="BC2" s="5" t="inlineStr">
        <is>
          <t>Theobromine (mg)</t>
        </is>
      </c>
      <c r="BD2" s="5" t="inlineStr">
        <is>
          <t>Retinol (μg)</t>
        </is>
      </c>
      <c r="BE2" s="5" t="inlineStr">
        <is>
          <t>Carotene, beta (μg)</t>
        </is>
      </c>
      <c r="BF2" s="5" t="inlineStr">
        <is>
          <t>cis-beta-Carotene (μg)</t>
        </is>
      </c>
      <c r="BG2" s="5" t="inlineStr">
        <is>
          <t>trans-beta-Carotene (μg)</t>
        </is>
      </c>
      <c r="BH2" s="5" t="inlineStr">
        <is>
          <t>Carotene, alpha (μg)</t>
        </is>
      </c>
      <c r="BI2" s="5" t="inlineStr">
        <is>
          <t>Vitamin D (D2 + D3), International Units (iu)</t>
        </is>
      </c>
      <c r="BJ2" s="5" t="inlineStr">
        <is>
          <t>Vitamin D2 (ergocalciferol) (μg)</t>
        </is>
      </c>
      <c r="BK2" s="5" t="inlineStr">
        <is>
          <t>Vitamin D3 (cholecalciferol) (μg)</t>
        </is>
      </c>
      <c r="BL2" s="5" t="inlineStr">
        <is>
          <t>Lycopene (μg)</t>
        </is>
      </c>
      <c r="BM2" s="5" t="inlineStr">
        <is>
          <t>cis-Lycopene (μg)</t>
        </is>
      </c>
      <c r="BN2" s="5" t="inlineStr">
        <is>
          <t>trans-Lycopene (μg)</t>
        </is>
      </c>
      <c r="BO2" s="5" t="inlineStr">
        <is>
          <t>Lutein + zeaxanthin (μg)</t>
        </is>
      </c>
      <c r="BP2" s="5" t="inlineStr">
        <is>
          <t>Lutein (μg)</t>
        </is>
      </c>
      <c r="BQ2" s="5" t="inlineStr">
        <is>
          <t>Zeaxanthin (μg)</t>
        </is>
      </c>
      <c r="BR2" s="5" t="inlineStr">
        <is>
          <t>cis-Lutein/Zeaxanthin (μg)</t>
        </is>
      </c>
      <c r="BS2" s="5" t="inlineStr">
        <is>
          <t>Tocopherol, beta (mg)</t>
        </is>
      </c>
      <c r="BT2" s="5" t="inlineStr">
        <is>
          <t>Tocopherol, gamma (mg)</t>
        </is>
      </c>
      <c r="BU2" s="5" t="inlineStr">
        <is>
          <t>Tocopherol, delta (mg)</t>
        </is>
      </c>
      <c r="BV2" s="5" t="inlineStr">
        <is>
          <t>Tocotrienol, alpha (mg)</t>
        </is>
      </c>
      <c r="BW2" s="5" t="inlineStr">
        <is>
          <t>Tocotrienol, beta (mg)</t>
        </is>
      </c>
      <c r="BX2" s="5" t="inlineStr">
        <is>
          <t>Tocotrienol, gamma (mg)</t>
        </is>
      </c>
      <c r="BY2" s="5" t="inlineStr">
        <is>
          <t>Tocotrienol, delta (mg)</t>
        </is>
      </c>
      <c r="BZ2" s="5" t="inlineStr">
        <is>
          <t>Vitamin K (Menaquinone-4) (μg)</t>
        </is>
      </c>
      <c r="CA2" s="5" t="inlineStr">
        <is>
          <t>Vitamin K (Dihydrophylloquinone) (μg)</t>
        </is>
      </c>
      <c r="CB2" s="5" t="inlineStr">
        <is>
          <t>Folate, food (μg)</t>
        </is>
      </c>
      <c r="CC2" s="5" t="inlineStr">
        <is>
          <t>Choline, free (mg)</t>
        </is>
      </c>
      <c r="CD2" s="5" t="inlineStr">
        <is>
          <t>Choline, from phosphocholine (mg)</t>
        </is>
      </c>
      <c r="CE2" s="5" t="inlineStr">
        <is>
          <t>Choline, from phosphatidyl choline (mg)</t>
        </is>
      </c>
      <c r="CF2" s="5" t="inlineStr">
        <is>
          <t>Choline, from glycerophosphocholine (mg)</t>
        </is>
      </c>
      <c r="CG2" s="5" t="inlineStr">
        <is>
          <t>Betaine (mg)</t>
        </is>
      </c>
      <c r="CH2" s="5" t="inlineStr">
        <is>
          <t>Choline, from sphingomyelin (mg)</t>
        </is>
      </c>
      <c r="CI2" s="5" t="inlineStr">
        <is>
          <t>Vitamin E, added (mg)</t>
        </is>
      </c>
      <c r="CJ2" s="5" t="inlineStr">
        <is>
          <t>Vitamin B-12, added (μg)</t>
        </is>
      </c>
      <c r="CK2" s="6" t="inlineStr">
        <is>
          <t>Fatty acids, total saturated (g)</t>
        </is>
      </c>
      <c r="CL2" s="6" t="inlineStr">
        <is>
          <t>Fatty acids, total monounsaturated (g)</t>
        </is>
      </c>
      <c r="CM2" s="6" t="inlineStr">
        <is>
          <t>Fatty acids, total polyunsaturated (g)</t>
        </is>
      </c>
      <c r="CN2" s="6" t="inlineStr">
        <is>
          <t>Fatty acids, total trans (g)</t>
        </is>
      </c>
      <c r="CO2" s="6" t="inlineStr">
        <is>
          <t>Cholesterol (mg)</t>
        </is>
      </c>
      <c r="CP2" s="6" t="inlineStr">
        <is>
          <t>SFA 4:0 (g)</t>
        </is>
      </c>
      <c r="CQ2" s="6" t="inlineStr">
        <is>
          <t>SFA 6:0 (g)</t>
        </is>
      </c>
      <c r="CR2" s="6" t="inlineStr">
        <is>
          <t>SFA 8:0 (g)</t>
        </is>
      </c>
      <c r="CS2" s="6" t="inlineStr">
        <is>
          <t>SFA 10:0 (g)</t>
        </is>
      </c>
      <c r="CT2" s="6" t="inlineStr">
        <is>
          <t>SFA 12:0 (g)</t>
        </is>
      </c>
      <c r="CU2" s="6" t="inlineStr">
        <is>
          <t>SFA 14:0 (g)</t>
        </is>
      </c>
      <c r="CV2" s="6" t="inlineStr">
        <is>
          <t>SFA 16:0 (g)</t>
        </is>
      </c>
      <c r="CW2" s="6" t="inlineStr">
        <is>
          <t>SFA 18:0 (g)</t>
        </is>
      </c>
      <c r="CX2" s="6" t="inlineStr">
        <is>
          <t>SFA 20:0 (g)</t>
        </is>
      </c>
      <c r="CY2" s="6" t="inlineStr">
        <is>
          <t>MUFA 18:1 (g)</t>
        </is>
      </c>
      <c r="CZ2" s="6" t="inlineStr">
        <is>
          <t>PUFA 18:2 (g)</t>
        </is>
      </c>
      <c r="DA2" s="6" t="inlineStr">
        <is>
          <t>PUFA 18:3 (g)</t>
        </is>
      </c>
      <c r="DB2" s="6" t="inlineStr">
        <is>
          <t>PUFA 20:4 (g)</t>
        </is>
      </c>
      <c r="DC2" s="6" t="inlineStr">
        <is>
          <t>PUFA 22:6 n-3 (DHA) (g)</t>
        </is>
      </c>
      <c r="DD2" s="6" t="inlineStr">
        <is>
          <t>SFA 22:0 (g)</t>
        </is>
      </c>
      <c r="DE2" s="6" t="inlineStr">
        <is>
          <t>MUFA 14:1 (g)</t>
        </is>
      </c>
      <c r="DF2" s="6" t="inlineStr">
        <is>
          <t>MUFA 16:1 (g)</t>
        </is>
      </c>
      <c r="DG2" s="6" t="inlineStr">
        <is>
          <t>PUFA 18:4 (g)</t>
        </is>
      </c>
      <c r="DH2" s="6" t="inlineStr">
        <is>
          <t>MUFA 20:1 (g)</t>
        </is>
      </c>
      <c r="DI2" s="6" t="inlineStr">
        <is>
          <t>PUFA 20:5 n-3 (EPA) (g)</t>
        </is>
      </c>
      <c r="DJ2" s="6" t="inlineStr">
        <is>
          <t>MUFA 22:1 (g)</t>
        </is>
      </c>
      <c r="DK2" s="6" t="inlineStr">
        <is>
          <t>PUFA 22:5 n-3 (DPA) (g)</t>
        </is>
      </c>
      <c r="DL2" s="6" t="inlineStr">
        <is>
          <t>SFA 5:0 (g)</t>
        </is>
      </c>
      <c r="DM2" s="6" t="inlineStr">
        <is>
          <t>SFA 7:0 (g)</t>
        </is>
      </c>
      <c r="DN2" s="6" t="inlineStr">
        <is>
          <t>SFA 9:0 (g)</t>
        </is>
      </c>
      <c r="DO2" s="6" t="inlineStr">
        <is>
          <t>MUFA 12:1 (g)</t>
        </is>
      </c>
      <c r="DP2" s="6" t="inlineStr">
        <is>
          <t>SFA 15:0 (g)</t>
        </is>
      </c>
      <c r="DQ2" s="6" t="inlineStr">
        <is>
          <t>SFA 17:0 (g)</t>
        </is>
      </c>
      <c r="DR2" s="6" t="inlineStr">
        <is>
          <t>SFA 24:0 (g)</t>
        </is>
      </c>
      <c r="DS2" s="6" t="inlineStr">
        <is>
          <t>TFA 16:1 t (g)</t>
        </is>
      </c>
      <c r="DT2" s="6" t="inlineStr">
        <is>
          <t>TFA 18:1 t (g)</t>
        </is>
      </c>
      <c r="DU2" s="6" t="inlineStr">
        <is>
          <t>TFA 22:1 t (g)</t>
        </is>
      </c>
      <c r="DV2" s="6" t="inlineStr">
        <is>
          <t>TFA 18:2 t not further defined (g)</t>
        </is>
      </c>
      <c r="DW2" s="6" t="inlineStr">
        <is>
          <t>TFA 18:2 t,t (g)</t>
        </is>
      </c>
      <c r="DX2" s="6" t="inlineStr">
        <is>
          <t>PUFA 18:2 CLAs (g)</t>
        </is>
      </c>
      <c r="DY2" s="6" t="inlineStr">
        <is>
          <t>MUFA 24:1 c (g)</t>
        </is>
      </c>
      <c r="DZ2" s="6" t="inlineStr">
        <is>
          <t>PUFA 20:2 n-6 c,c (g)</t>
        </is>
      </c>
      <c r="EA2" s="6" t="inlineStr">
        <is>
          <t>MUFA 16:1 c (g)</t>
        </is>
      </c>
      <c r="EB2" s="6" t="inlineStr">
        <is>
          <t>MUFA 18:1 c (g)</t>
        </is>
      </c>
      <c r="EC2" s="6" t="inlineStr">
        <is>
          <t>PUFA 18:2 n-6 c,c (g)</t>
        </is>
      </c>
      <c r="ED2" s="6" t="inlineStr">
        <is>
          <t>MUFA 22:1 c (g)</t>
        </is>
      </c>
      <c r="EE2" s="6" t="inlineStr">
        <is>
          <t>MUFA 22:1 n-9 (g)</t>
        </is>
      </c>
      <c r="EF2" s="6" t="inlineStr">
        <is>
          <t>MUFA 22:1 n-11 (g)</t>
        </is>
      </c>
      <c r="EG2" s="6" t="inlineStr">
        <is>
          <t>SFA 21:0 (g)</t>
        </is>
      </c>
      <c r="EH2" s="6" t="inlineStr">
        <is>
          <t>SFA 23:0 (g)</t>
        </is>
      </c>
      <c r="EI2" s="6" t="inlineStr">
        <is>
          <t>PUFA 22:3 (g)</t>
        </is>
      </c>
      <c r="EJ2" s="6" t="inlineStr">
        <is>
          <t>PUFA 18:3 n-6 c,c,c (g)</t>
        </is>
      </c>
      <c r="EK2" s="6" t="inlineStr">
        <is>
          <t>MUFA 17:1 (g)</t>
        </is>
      </c>
      <c r="EL2" s="6" t="inlineStr">
        <is>
          <t>PUFA 20:3 (g)</t>
        </is>
      </c>
      <c r="EM2" s="6" t="inlineStr">
        <is>
          <t>Fatty acids, total trans-monoenoic (g)</t>
        </is>
      </c>
      <c r="EN2" s="6" t="inlineStr">
        <is>
          <t>Fatty acids, total trans-dienoic (g)</t>
        </is>
      </c>
      <c r="EO2" s="6" t="inlineStr">
        <is>
          <t>Fatty acids, total trans-polyenoic (g)</t>
        </is>
      </c>
      <c r="EP2" s="6" t="inlineStr">
        <is>
          <t>SFA 13:0 (g)</t>
        </is>
      </c>
      <c r="EQ2" s="6" t="inlineStr">
        <is>
          <t>MUFA 15:1 (g)</t>
        </is>
      </c>
      <c r="ER2" s="6" t="inlineStr">
        <is>
          <t>PUFA 22:2 (g)</t>
        </is>
      </c>
      <c r="ES2" s="6" t="inlineStr">
        <is>
          <t>SFA 11:0 (g)</t>
        </is>
      </c>
      <c r="ET2" s="6" t="inlineStr">
        <is>
          <t>TFA 14:1 t (g)</t>
        </is>
      </c>
      <c r="EU2" s="6" t="inlineStr">
        <is>
          <t>MUFA 14:1 c (g)</t>
        </is>
      </c>
      <c r="EV2" s="6" t="inlineStr">
        <is>
          <t>MUFA 17:1 c (g)</t>
        </is>
      </c>
      <c r="EW2" s="6" t="inlineStr">
        <is>
          <t>MUFA 20:1 c (g)</t>
        </is>
      </c>
      <c r="EX2" s="6" t="inlineStr">
        <is>
          <t>TFA 20:1 t (g)</t>
        </is>
      </c>
      <c r="EY2" s="6" t="inlineStr">
        <is>
          <t>PUFA 18:2 c (g)</t>
        </is>
      </c>
      <c r="EZ2" s="6" t="inlineStr">
        <is>
          <t>PUFA 18:3 c (g)</t>
        </is>
      </c>
      <c r="FA2" s="6" t="inlineStr">
        <is>
          <t>TFA 18:3 t (g)</t>
        </is>
      </c>
      <c r="FB2" s="6" t="inlineStr">
        <is>
          <t>PUFA 20:3 c (g)</t>
        </is>
      </c>
      <c r="FC2" s="6" t="inlineStr">
        <is>
          <t>PUFA 20:4c (g)</t>
        </is>
      </c>
      <c r="FD2" s="6" t="inlineStr">
        <is>
          <t>PUFA 20:5c (g)</t>
        </is>
      </c>
      <c r="FE2" s="6" t="inlineStr">
        <is>
          <t>PUFA 22:5 c (g)</t>
        </is>
      </c>
      <c r="FF2" s="6" t="inlineStr">
        <is>
          <t>PUFA 22:6 c (g)</t>
        </is>
      </c>
      <c r="FG2" s="6" t="inlineStr">
        <is>
          <t>PUFA 20:2 c (g)</t>
        </is>
      </c>
      <c r="FH2" s="6" t="inlineStr">
        <is>
          <t>PUFA 18:3 n-3 c,c,c (ALA) (g)</t>
        </is>
      </c>
      <c r="FI2" s="6" t="inlineStr">
        <is>
          <t>PUFA 20:3 n-3 (g)</t>
        </is>
      </c>
      <c r="FJ2" s="6" t="inlineStr">
        <is>
          <t>PUFA 20:3 n-6 (g)</t>
        </is>
      </c>
      <c r="FK2" s="6" t="inlineStr">
        <is>
          <t>PUFA 22:4 (g)</t>
        </is>
      </c>
      <c r="FL2" s="6" t="inlineStr">
        <is>
          <t>PUFA 20:3 n-9 (g)</t>
        </is>
      </c>
      <c r="FM2" s="7" t="inlineStr">
        <is>
          <t>Tryptophan (g)</t>
        </is>
      </c>
      <c r="FN2" s="7" t="inlineStr">
        <is>
          <t>Threonine (g)</t>
        </is>
      </c>
      <c r="FO2" s="7" t="inlineStr">
        <is>
          <t>Isoleucine (g)</t>
        </is>
      </c>
      <c r="FP2" s="7" t="inlineStr">
        <is>
          <t>Leucine (g)</t>
        </is>
      </c>
      <c r="FQ2" s="7" t="inlineStr">
        <is>
          <t>Lysine (g)</t>
        </is>
      </c>
      <c r="FR2" s="7" t="inlineStr">
        <is>
          <t>Methionine (g)</t>
        </is>
      </c>
      <c r="FS2" s="7" t="inlineStr">
        <is>
          <t>Phenylalanine (g)</t>
        </is>
      </c>
      <c r="FT2" s="7" t="inlineStr">
        <is>
          <t>Tyrosine (g)</t>
        </is>
      </c>
      <c r="FU2" s="7" t="inlineStr">
        <is>
          <t>Valine (g)</t>
        </is>
      </c>
      <c r="FV2" s="7" t="inlineStr">
        <is>
          <t>Arginine (g)</t>
        </is>
      </c>
      <c r="FW2" s="7" t="inlineStr">
        <is>
          <t>Histidine (g)</t>
        </is>
      </c>
      <c r="FX2" s="7" t="inlineStr">
        <is>
          <t>Alanine (g)</t>
        </is>
      </c>
      <c r="FY2" s="7" t="inlineStr">
        <is>
          <t>Aspartic acid (g)</t>
        </is>
      </c>
      <c r="FZ2" s="7" t="inlineStr">
        <is>
          <t>Glutamic acid (g)</t>
        </is>
      </c>
      <c r="GA2" s="7" t="inlineStr">
        <is>
          <t>Glycine (g)</t>
        </is>
      </c>
      <c r="GB2" s="7" t="inlineStr">
        <is>
          <t>Proline (g)</t>
        </is>
      </c>
      <c r="GC2" s="7" t="inlineStr">
        <is>
          <t>Serine (g)</t>
        </is>
      </c>
      <c r="GD2" s="7" t="inlineStr">
        <is>
          <t>Hydroxyproline (g)</t>
        </is>
      </c>
      <c r="GE2" s="7" t="inlineStr">
        <is>
          <t>Cysteine (g)</t>
        </is>
      </c>
      <c r="GF2" s="8" t="inlineStr">
        <is>
          <t>Phytosterols (mg)</t>
        </is>
      </c>
      <c r="GG2" s="8" t="inlineStr">
        <is>
          <t>Beta-sitosterol (mg)</t>
        </is>
      </c>
      <c r="GH2" s="8" t="inlineStr">
        <is>
          <t>Campesterol (mg)</t>
        </is>
      </c>
      <c r="GI2" s="8" t="inlineStr">
        <is>
          <t>Stigmasterol (mg)</t>
        </is>
      </c>
      <c r="GJ2" s="8" t="inlineStr">
        <is>
          <t>Alcohol, ethyl (g)</t>
        </is>
      </c>
      <c r="GK2" s="8" t="inlineStr">
        <is>
          <t>25-hydroxycholecalciferol (μg)</t>
        </is>
      </c>
      <c r="GL2" s="8" t="inlineStr">
        <is>
          <t>Cryptoxanthin, beta (μg)</t>
        </is>
      </c>
      <c r="GM2" s="8" t="inlineStr">
        <is>
          <t>Cryptoxanthin, alpha (μg)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1616.438842558574</v>
      </c>
      <c r="F3" s="10">
        <f>E3/SUM($E$3:$E$10)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Q3" t="n">
        <v>0.2</v>
      </c>
      <c r="R3" t="n">
        <v>0</v>
      </c>
      <c r="S3" t="n">
        <v>0.2</v>
      </c>
      <c r="T3" t="n">
        <v>0</v>
      </c>
      <c r="U3" t="n">
        <v>0</v>
      </c>
      <c r="V3" t="n">
        <v>0</v>
      </c>
      <c r="X3" t="n">
        <v>0</v>
      </c>
      <c r="Z3" t="n">
        <v>48</v>
      </c>
      <c r="AA3" t="n">
        <v>1.67</v>
      </c>
      <c r="AB3" t="n">
        <v>11.4</v>
      </c>
      <c r="AC3" t="n">
        <v>184</v>
      </c>
      <c r="AD3" t="n">
        <v>132</v>
      </c>
      <c r="AE3" t="n">
        <v>129</v>
      </c>
      <c r="AF3" t="n">
        <v>1.24</v>
      </c>
      <c r="AG3" t="n">
        <v>0</v>
      </c>
      <c r="AH3" t="n">
        <v>0</v>
      </c>
      <c r="AI3" t="n">
        <v>49.1</v>
      </c>
      <c r="AJ3" t="n">
        <v>31.1</v>
      </c>
      <c r="AL3" t="n">
        <v>0.077</v>
      </c>
      <c r="AM3" t="n">
        <v>0.419</v>
      </c>
      <c r="AN3" t="n">
        <v>0</v>
      </c>
      <c r="AO3" t="n">
        <v>0.063</v>
      </c>
      <c r="AP3" t="n">
        <v>71</v>
      </c>
      <c r="AS3" t="n">
        <v>335</v>
      </c>
      <c r="AT3" t="n">
        <v>1.02</v>
      </c>
      <c r="AU3" t="n">
        <v>180</v>
      </c>
      <c r="AW3" t="n">
        <v>2.46</v>
      </c>
      <c r="BD3" t="n">
        <v>179</v>
      </c>
      <c r="BE3" t="n">
        <v>0</v>
      </c>
      <c r="BF3" t="n">
        <v>0</v>
      </c>
      <c r="BG3" t="n">
        <v>0</v>
      </c>
      <c r="BH3" t="n">
        <v>0</v>
      </c>
      <c r="BI3" t="n">
        <v>98.40000000000001</v>
      </c>
      <c r="BJ3" t="n">
        <v>0</v>
      </c>
      <c r="BK3" t="n">
        <v>2.46</v>
      </c>
      <c r="BL3" t="n">
        <v>0</v>
      </c>
      <c r="BM3" t="n">
        <v>0</v>
      </c>
      <c r="BN3" t="n">
        <v>0</v>
      </c>
      <c r="BP3" t="n">
        <v>230</v>
      </c>
      <c r="BQ3" t="n">
        <v>229</v>
      </c>
      <c r="BR3" t="n">
        <v>57</v>
      </c>
      <c r="CC3" t="n">
        <v>0.6</v>
      </c>
      <c r="CD3" t="n">
        <v>309</v>
      </c>
      <c r="CE3" t="n">
        <v>0.2</v>
      </c>
      <c r="CF3" t="n">
        <v>0.2</v>
      </c>
      <c r="CG3" t="n">
        <v>0.3</v>
      </c>
      <c r="CH3" t="n">
        <v>25.1</v>
      </c>
      <c r="CK3" t="n">
        <v>3.2</v>
      </c>
      <c r="CL3" t="n">
        <v>3.63</v>
      </c>
      <c r="CM3" t="n">
        <v>1.82</v>
      </c>
      <c r="CO3" t="n">
        <v>411</v>
      </c>
      <c r="CU3" t="n">
        <v>0.032</v>
      </c>
      <c r="CV3" t="n">
        <v>2.32</v>
      </c>
      <c r="CW3" t="n">
        <v>0.8129999999999999</v>
      </c>
      <c r="EA3" t="n">
        <v>0.238</v>
      </c>
      <c r="EB3" t="n">
        <v>3.35</v>
      </c>
      <c r="EC3" t="n">
        <v>1.46</v>
      </c>
      <c r="EJ3" t="n">
        <v>0.011</v>
      </c>
      <c r="EY3" t="n">
        <v>1.46</v>
      </c>
      <c r="EZ3" t="n">
        <v>0.011</v>
      </c>
      <c r="FB3" t="n">
        <v>0.02</v>
      </c>
      <c r="FJ3" t="n">
        <v>0.02</v>
      </c>
      <c r="FM3" t="n">
        <v>0.166</v>
      </c>
      <c r="FN3" t="n">
        <v>0.594</v>
      </c>
      <c r="FO3" t="n">
        <v>0.616</v>
      </c>
      <c r="FP3" t="n">
        <v>1.05</v>
      </c>
      <c r="FQ3" t="n">
        <v>0.832</v>
      </c>
      <c r="FR3" t="n">
        <v>0.418</v>
      </c>
      <c r="FS3" t="n">
        <v>0.66</v>
      </c>
      <c r="FT3" t="n">
        <v>0.512</v>
      </c>
      <c r="FU3" t="n">
        <v>0.734</v>
      </c>
      <c r="FV3" t="n">
        <v>0.787</v>
      </c>
      <c r="FW3" t="n">
        <v>0.283</v>
      </c>
      <c r="FX3" t="n">
        <v>0.667</v>
      </c>
      <c r="FY3" t="n">
        <v>1.27</v>
      </c>
      <c r="FZ3" t="n">
        <v>1.63</v>
      </c>
      <c r="GA3" t="n">
        <v>0.408</v>
      </c>
      <c r="GB3" t="n">
        <v>0.5600000000000001</v>
      </c>
      <c r="GC3" t="n">
        <v>0.919</v>
      </c>
      <c r="GD3" t="n">
        <v>0</v>
      </c>
      <c r="GE3" t="n">
        <v>0.385</v>
      </c>
      <c r="GK3" t="n">
        <v>0.5600000000000001</v>
      </c>
      <c r="GL3" t="n">
        <v>13</v>
      </c>
      <c r="GM3" t="n">
        <v>13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1017.996652228222</v>
      </c>
      <c r="F4" s="10">
        <f>E4/SUM($E$3:$E$10)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Q4" t="n">
        <v>0</v>
      </c>
      <c r="Z4" t="n">
        <v>10</v>
      </c>
      <c r="AA4" t="n">
        <v>0</v>
      </c>
      <c r="AB4" t="n">
        <v>2</v>
      </c>
      <c r="AC4" t="n">
        <v>0</v>
      </c>
      <c r="AD4" t="n">
        <v>0</v>
      </c>
      <c r="AE4" t="n">
        <v>2</v>
      </c>
      <c r="AF4" t="n">
        <v>0</v>
      </c>
      <c r="AG4" t="n">
        <v>0.007</v>
      </c>
      <c r="AJ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H4" t="n">
        <v>0</v>
      </c>
      <c r="BI4" t="n">
        <v>0</v>
      </c>
      <c r="BL4" t="n">
        <v>0</v>
      </c>
      <c r="BO4" t="n">
        <v>0</v>
      </c>
      <c r="CB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GJ4" t="n">
        <v>0</v>
      </c>
      <c r="GL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427.4582716988232</v>
      </c>
      <c r="F5" s="10">
        <f>E5/SUM($E$3:$E$10)</f>
        <v/>
      </c>
      <c r="G5" t="n">
        <v>10.6</v>
      </c>
      <c r="H5" t="n">
        <v>349.52</v>
      </c>
      <c r="I5" t="n">
        <v>1462.39168</v>
      </c>
      <c r="J5" t="n">
        <v>0.6384000000000001</v>
      </c>
      <c r="K5" t="n">
        <v>3.99</v>
      </c>
      <c r="L5" t="n">
        <v>1.24</v>
      </c>
      <c r="M5" t="n">
        <v>1.24</v>
      </c>
      <c r="N5" t="n">
        <v>3.6</v>
      </c>
      <c r="O5" t="n">
        <v>80.59999999999999</v>
      </c>
      <c r="P5" t="n">
        <v>53.1</v>
      </c>
      <c r="Q5" t="n">
        <v>2.17</v>
      </c>
      <c r="R5" t="n">
        <v>0.02</v>
      </c>
      <c r="S5" t="n">
        <v>1.04</v>
      </c>
      <c r="T5" t="n">
        <v>1.11</v>
      </c>
      <c r="U5" t="n">
        <v>0</v>
      </c>
      <c r="V5" t="n">
        <v>0</v>
      </c>
      <c r="W5" t="n">
        <v>0</v>
      </c>
      <c r="Z5" t="n">
        <v>1000</v>
      </c>
      <c r="AA5" t="n">
        <v>8.32</v>
      </c>
      <c r="AB5" t="n">
        <v>60</v>
      </c>
      <c r="AC5" t="n">
        <v>64</v>
      </c>
      <c r="AD5" t="n">
        <v>431</v>
      </c>
      <c r="AE5" t="n">
        <v>10</v>
      </c>
      <c r="AF5" t="n">
        <v>1.83</v>
      </c>
      <c r="AG5" t="n">
        <v>0.339</v>
      </c>
      <c r="AH5" t="n">
        <v>17.5</v>
      </c>
      <c r="AJ5" t="n">
        <v>3.1</v>
      </c>
      <c r="AL5" t="n">
        <v>0.022</v>
      </c>
      <c r="AM5" t="n">
        <v>0.041</v>
      </c>
      <c r="AN5" t="n">
        <v>1.33</v>
      </c>
      <c r="AO5" t="n">
        <v>0.158</v>
      </c>
      <c r="AP5" t="n">
        <v>6</v>
      </c>
      <c r="AQ5" t="n">
        <v>0</v>
      </c>
      <c r="AR5" t="n">
        <v>6</v>
      </c>
      <c r="AS5" t="n">
        <v>11</v>
      </c>
      <c r="AT5" t="n">
        <v>0</v>
      </c>
      <c r="AU5" t="n">
        <v>15</v>
      </c>
      <c r="AV5" t="n">
        <v>295</v>
      </c>
      <c r="AW5" t="n">
        <v>0</v>
      </c>
      <c r="AX5" t="n">
        <v>31.2</v>
      </c>
      <c r="AY5" t="n">
        <v>2.32</v>
      </c>
      <c r="AZ5" t="n">
        <v>3.8</v>
      </c>
      <c r="BA5" t="n">
        <v>0.358</v>
      </c>
      <c r="BB5" t="n">
        <v>0</v>
      </c>
      <c r="BC5" t="n">
        <v>0</v>
      </c>
      <c r="BD5" t="n">
        <v>0</v>
      </c>
      <c r="BE5" t="n">
        <v>112</v>
      </c>
      <c r="BH5" t="n">
        <v>1</v>
      </c>
      <c r="BI5" t="n">
        <v>0</v>
      </c>
      <c r="BL5" t="n">
        <v>15</v>
      </c>
      <c r="BO5" t="n">
        <v>222</v>
      </c>
      <c r="BS5" t="n">
        <v>0</v>
      </c>
      <c r="BT5" t="n">
        <v>10.4</v>
      </c>
      <c r="BU5" t="n">
        <v>0.26</v>
      </c>
      <c r="BV5" t="n">
        <v>0</v>
      </c>
      <c r="BW5" t="n">
        <v>0</v>
      </c>
      <c r="BX5" t="n">
        <v>0</v>
      </c>
      <c r="BY5" t="n">
        <v>0</v>
      </c>
      <c r="CA5" t="n">
        <v>0</v>
      </c>
      <c r="CB5" t="n">
        <v>6</v>
      </c>
      <c r="CG5" t="n">
        <v>3.9</v>
      </c>
      <c r="CI5" t="n">
        <v>0</v>
      </c>
      <c r="CJ5" t="n">
        <v>0</v>
      </c>
      <c r="CK5" t="n">
        <v>0.345</v>
      </c>
      <c r="CL5" t="n">
        <v>0.246</v>
      </c>
      <c r="CM5" t="n">
        <v>0.068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0.003</v>
      </c>
      <c r="CT5" t="n">
        <v>0.006</v>
      </c>
      <c r="CU5" t="n">
        <v>0.008999999999999999</v>
      </c>
      <c r="CV5" t="n">
        <v>0.104</v>
      </c>
      <c r="CW5" t="n">
        <v>0.082</v>
      </c>
      <c r="CX5" t="n">
        <v>0</v>
      </c>
      <c r="CY5" t="n">
        <v>0.246</v>
      </c>
      <c r="CZ5" t="n">
        <v>0.044</v>
      </c>
      <c r="DA5" t="n">
        <v>0.011</v>
      </c>
      <c r="DB5" t="n">
        <v>0</v>
      </c>
      <c r="DC5" t="n">
        <v>0</v>
      </c>
      <c r="DD5" t="n">
        <v>0</v>
      </c>
      <c r="DE5" t="n">
        <v>0</v>
      </c>
      <c r="DF5" t="n">
        <v>0.001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P5" t="n">
        <v>0</v>
      </c>
      <c r="DQ5" t="n">
        <v>0.136</v>
      </c>
      <c r="DR5" t="n">
        <v>0</v>
      </c>
      <c r="DT5" t="n">
        <v>0</v>
      </c>
      <c r="DY5" t="n">
        <v>0</v>
      </c>
      <c r="DZ5" t="n">
        <v>0</v>
      </c>
      <c r="EB5" t="n">
        <v>0.246</v>
      </c>
      <c r="EJ5" t="n">
        <v>0</v>
      </c>
      <c r="EK5" t="n">
        <v>0</v>
      </c>
      <c r="EL5" t="n">
        <v>0</v>
      </c>
      <c r="EM5" t="n">
        <v>0</v>
      </c>
      <c r="EP5" t="n">
        <v>0</v>
      </c>
      <c r="EQ5" t="n">
        <v>0</v>
      </c>
      <c r="FH5" t="n">
        <v>0.011</v>
      </c>
      <c r="FM5" t="n">
        <v>0.049</v>
      </c>
      <c r="FN5" t="n">
        <v>0.136</v>
      </c>
      <c r="FO5" t="n">
        <v>0.146</v>
      </c>
      <c r="FP5" t="n">
        <v>0.253</v>
      </c>
      <c r="FQ5" t="n">
        <v>0.243</v>
      </c>
      <c r="FR5" t="n">
        <v>0.078</v>
      </c>
      <c r="FS5" t="n">
        <v>0.146</v>
      </c>
      <c r="FT5" t="n">
        <v>0.136</v>
      </c>
      <c r="FU5" t="n">
        <v>0.224</v>
      </c>
      <c r="FV5" t="n">
        <v>0.166</v>
      </c>
      <c r="FW5" t="n">
        <v>0.117</v>
      </c>
      <c r="FX5" t="n">
        <v>0.166</v>
      </c>
      <c r="FY5" t="n">
        <v>0.438</v>
      </c>
      <c r="FZ5" t="n">
        <v>0.37</v>
      </c>
      <c r="GA5" t="n">
        <v>0.195</v>
      </c>
      <c r="GB5" t="n">
        <v>0.419</v>
      </c>
      <c r="GC5" t="n">
        <v>0.195</v>
      </c>
      <c r="GD5" t="n">
        <v>0</v>
      </c>
      <c r="GE5" t="n">
        <v>0.058</v>
      </c>
      <c r="GF5" t="n">
        <v>26</v>
      </c>
      <c r="GJ5" t="n">
        <v>0</v>
      </c>
      <c r="GL5" t="n">
        <v>129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323.2877685117149</v>
      </c>
      <c r="F6" s="10">
        <f>E6/SUM($E$3:$E$10)</f>
        <v/>
      </c>
      <c r="G6" t="n">
        <v>0</v>
      </c>
      <c r="H6" t="n">
        <v>900</v>
      </c>
      <c r="I6" t="n">
        <v>3765.6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J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0.2</v>
      </c>
      <c r="AT6" t="n">
        <v>0</v>
      </c>
      <c r="AU6" t="n">
        <v>0</v>
      </c>
      <c r="AV6" t="n">
        <v>0</v>
      </c>
      <c r="AW6" t="n">
        <v>0</v>
      </c>
      <c r="AX6" t="n">
        <v>71.3</v>
      </c>
      <c r="AY6" t="n">
        <v>17.5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H6" t="n">
        <v>0</v>
      </c>
      <c r="BI6" t="n">
        <v>0</v>
      </c>
      <c r="BL6" t="n">
        <v>0</v>
      </c>
      <c r="BO6" t="n">
        <v>0</v>
      </c>
      <c r="BS6" t="n">
        <v>0.01</v>
      </c>
      <c r="BT6" t="n">
        <v>27.3</v>
      </c>
      <c r="BU6" t="n">
        <v>0.99</v>
      </c>
      <c r="BV6" t="n">
        <v>0.03</v>
      </c>
      <c r="BW6" t="n">
        <v>0</v>
      </c>
      <c r="BX6" t="n">
        <v>0</v>
      </c>
      <c r="BY6" t="n">
        <v>0.01</v>
      </c>
      <c r="BZ6" t="n">
        <v>0</v>
      </c>
      <c r="CA6" t="n">
        <v>0</v>
      </c>
      <c r="CB6" t="n">
        <v>0</v>
      </c>
      <c r="CG6" t="n">
        <v>0</v>
      </c>
      <c r="CI6" t="n">
        <v>0</v>
      </c>
      <c r="CJ6" t="n">
        <v>0</v>
      </c>
      <c r="CK6" t="n">
        <v>7.36</v>
      </c>
      <c r="CL6" t="n">
        <v>63.3</v>
      </c>
      <c r="CM6" t="n">
        <v>28.1</v>
      </c>
      <c r="CN6" t="n">
        <v>0.395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4.3</v>
      </c>
      <c r="CW6" t="n">
        <v>2.09</v>
      </c>
      <c r="CX6" t="n">
        <v>0.65</v>
      </c>
      <c r="CY6" t="n">
        <v>61.7</v>
      </c>
      <c r="CZ6" t="n">
        <v>19</v>
      </c>
      <c r="DA6" t="n">
        <v>9.140000000000001</v>
      </c>
      <c r="DB6" t="n">
        <v>0</v>
      </c>
      <c r="DC6" t="n">
        <v>0</v>
      </c>
      <c r="DD6" t="n">
        <v>0.33</v>
      </c>
      <c r="DE6" t="n">
        <v>0</v>
      </c>
      <c r="DF6" t="n">
        <v>0.214</v>
      </c>
      <c r="DG6" t="n">
        <v>0</v>
      </c>
      <c r="DH6" t="n">
        <v>1.32</v>
      </c>
      <c r="DI6" t="n">
        <v>0</v>
      </c>
      <c r="DJ6" t="n">
        <v>0</v>
      </c>
      <c r="DK6" t="n">
        <v>0</v>
      </c>
      <c r="DP6" t="n">
        <v>0</v>
      </c>
      <c r="DQ6" t="n">
        <v>0</v>
      </c>
      <c r="DT6" t="n">
        <v>0.03</v>
      </c>
      <c r="DW6" t="n">
        <v>0.365</v>
      </c>
      <c r="DZ6" t="n">
        <v>0</v>
      </c>
      <c r="EB6" t="n">
        <v>61.7</v>
      </c>
      <c r="EC6" t="n">
        <v>18.6</v>
      </c>
      <c r="EJ6" t="n">
        <v>0</v>
      </c>
      <c r="EK6" t="n">
        <v>0</v>
      </c>
      <c r="EL6" t="n">
        <v>0</v>
      </c>
      <c r="EM6" t="n">
        <v>0.03</v>
      </c>
      <c r="EO6" t="n">
        <v>0.365</v>
      </c>
      <c r="EQ6" t="n">
        <v>0</v>
      </c>
      <c r="FH6" t="n">
        <v>9.140000000000001</v>
      </c>
      <c r="GG6" t="n">
        <v>413</v>
      </c>
      <c r="GH6" t="n">
        <v>241</v>
      </c>
      <c r="GI6" t="n">
        <v>3</v>
      </c>
      <c r="GJ6" t="n">
        <v>0</v>
      </c>
      <c r="GL6" t="n">
        <v>0</v>
      </c>
    </row>
    <row r="7">
      <c r="A7" t="n">
        <v>173468</v>
      </c>
      <c r="B7" t="inlineStr">
        <is>
          <t>Salt, table</t>
        </is>
      </c>
      <c r="C7" t="inlineStr"/>
      <c r="D7" t="inlineStr">
        <is>
          <t>SR Legacy</t>
        </is>
      </c>
      <c r="E7" s="9" t="n">
        <v>33.73127639080728</v>
      </c>
      <c r="F7" s="10">
        <f>E7/SUM($E$3:$E$10)</f>
        <v/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99.8</v>
      </c>
      <c r="O7" t="n">
        <v>0</v>
      </c>
      <c r="P7" t="n">
        <v>0</v>
      </c>
      <c r="Q7" t="n">
        <v>0</v>
      </c>
      <c r="Z7" t="n">
        <v>24</v>
      </c>
      <c r="AA7" t="n">
        <v>0.33</v>
      </c>
      <c r="AB7" t="n">
        <v>1</v>
      </c>
      <c r="AC7" t="n">
        <v>0</v>
      </c>
      <c r="AD7" t="n">
        <v>8</v>
      </c>
      <c r="AE7" t="n">
        <v>38800</v>
      </c>
      <c r="AF7" t="n">
        <v>0.1</v>
      </c>
      <c r="AG7" t="n">
        <v>0.03</v>
      </c>
      <c r="AH7" t="n">
        <v>0.1</v>
      </c>
      <c r="AJ7" t="n">
        <v>0.1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H7" t="n">
        <v>0</v>
      </c>
      <c r="BI7" t="n">
        <v>0</v>
      </c>
      <c r="BL7" t="n">
        <v>0</v>
      </c>
      <c r="BO7" t="n">
        <v>0</v>
      </c>
      <c r="CB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E7" t="n">
        <v>0</v>
      </c>
      <c r="GF7" t="n">
        <v>0</v>
      </c>
      <c r="GJ7" t="n">
        <v>0</v>
      </c>
      <c r="GL7" t="n">
        <v>0</v>
      </c>
    </row>
    <row r="8">
      <c r="A8" t="n">
        <v>2644283</v>
      </c>
      <c r="B8" t="inlineStr">
        <is>
          <t>Lentils, dry</t>
        </is>
      </c>
      <c r="C8" t="inlineStr"/>
      <c r="D8" t="inlineStr">
        <is>
          <t>Foundation</t>
        </is>
      </c>
      <c r="E8" s="9" t="n">
        <v>353.4612935728084</v>
      </c>
      <c r="F8" s="10">
        <f>E8/SUM($E$3:$E$10)</f>
        <v/>
      </c>
      <c r="G8" t="n">
        <v>9.449999999999999</v>
      </c>
      <c r="H8" t="n">
        <v>360.48</v>
      </c>
      <c r="I8" t="n">
        <v>1508.24832</v>
      </c>
      <c r="J8" t="n">
        <v>3.77</v>
      </c>
      <c r="K8" t="n">
        <v>23.6</v>
      </c>
      <c r="L8" t="n">
        <v>1.92</v>
      </c>
      <c r="M8" t="n">
        <v>1.92</v>
      </c>
      <c r="N8" t="n">
        <v>2.88</v>
      </c>
      <c r="O8" t="n">
        <v>62.2</v>
      </c>
      <c r="X8" t="n">
        <v>37.1</v>
      </c>
      <c r="Y8" t="n">
        <v>16</v>
      </c>
      <c r="Z8" t="n">
        <v>61.8</v>
      </c>
      <c r="AA8" t="n">
        <v>7.16</v>
      </c>
      <c r="AB8" t="n">
        <v>107</v>
      </c>
      <c r="AC8" t="n">
        <v>374</v>
      </c>
      <c r="AD8" t="n">
        <v>949</v>
      </c>
      <c r="AE8" t="n">
        <v>0</v>
      </c>
      <c r="AF8" t="n">
        <v>3.86</v>
      </c>
      <c r="AG8" t="n">
        <v>0.838</v>
      </c>
      <c r="AH8" t="n">
        <v>1.57</v>
      </c>
    </row>
    <row r="9">
      <c r="A9" t="n">
        <v>2707920</v>
      </c>
      <c r="B9" t="inlineStr">
        <is>
          <t>Cookie, chocolate sandwich</t>
        </is>
      </c>
      <c r="C9" t="inlineStr"/>
      <c r="D9" t="inlineStr">
        <is>
          <t>Survey (FNDDS)</t>
        </is>
      </c>
      <c r="E9" s="9" t="n">
        <v>150</v>
      </c>
      <c r="F9" s="10">
        <f>E9/SUM($E$3:$E$10)</f>
        <v/>
      </c>
      <c r="G9" t="n">
        <v>3.11</v>
      </c>
      <c r="H9" t="n">
        <v>476.74</v>
      </c>
      <c r="I9" t="n">
        <v>1994.68016</v>
      </c>
      <c r="J9" t="n">
        <v>0.8336</v>
      </c>
      <c r="K9" t="n">
        <v>5.21</v>
      </c>
      <c r="L9" t="n">
        <v>19.1</v>
      </c>
      <c r="M9" t="n">
        <v>19.1</v>
      </c>
      <c r="O9" t="n">
        <v>71</v>
      </c>
      <c r="P9" t="n">
        <v>2.9</v>
      </c>
      <c r="Q9" t="n">
        <v>40.7</v>
      </c>
      <c r="Z9" t="n">
        <v>21</v>
      </c>
      <c r="AA9" t="n">
        <v>12.1</v>
      </c>
      <c r="AB9" t="n">
        <v>47</v>
      </c>
      <c r="AC9" t="n">
        <v>93</v>
      </c>
      <c r="AD9" t="n">
        <v>234</v>
      </c>
      <c r="AE9" t="n">
        <v>388</v>
      </c>
      <c r="AF9" t="n">
        <v>0.74</v>
      </c>
      <c r="AG9" t="n">
        <v>0.334</v>
      </c>
      <c r="AJ9" t="n">
        <v>5.2</v>
      </c>
      <c r="AL9" t="n">
        <v>0.197</v>
      </c>
      <c r="AM9" t="n">
        <v>0.238</v>
      </c>
      <c r="AN9" t="n">
        <v>2.6</v>
      </c>
      <c r="AO9" t="n">
        <v>0.023</v>
      </c>
      <c r="AP9" t="n">
        <v>61</v>
      </c>
      <c r="AQ9" t="n">
        <v>58</v>
      </c>
      <c r="AR9" t="n">
        <v>102</v>
      </c>
      <c r="AS9" t="n">
        <v>19.2</v>
      </c>
      <c r="AT9" t="n">
        <v>0</v>
      </c>
      <c r="AU9" t="n">
        <v>1</v>
      </c>
      <c r="AW9" t="n">
        <v>0</v>
      </c>
      <c r="AX9" t="n">
        <v>27.4</v>
      </c>
      <c r="AY9" t="n">
        <v>2.47</v>
      </c>
      <c r="AZ9" t="n">
        <v>0</v>
      </c>
      <c r="BB9" t="n">
        <v>5</v>
      </c>
      <c r="BC9" t="n">
        <v>184</v>
      </c>
      <c r="BD9" t="n">
        <v>0</v>
      </c>
      <c r="BE9" t="n">
        <v>0</v>
      </c>
      <c r="BH9" t="n">
        <v>0</v>
      </c>
      <c r="BL9" t="n">
        <v>0</v>
      </c>
      <c r="BO9" t="n">
        <v>4</v>
      </c>
      <c r="CB9" t="n">
        <v>3</v>
      </c>
      <c r="CI9" t="n">
        <v>0</v>
      </c>
      <c r="CJ9" t="n">
        <v>0</v>
      </c>
      <c r="CK9" t="n">
        <v>5.65</v>
      </c>
      <c r="CL9" t="n">
        <v>9.279999999999999</v>
      </c>
      <c r="CM9" t="n">
        <v>3.56</v>
      </c>
      <c r="CO9" t="n">
        <v>0</v>
      </c>
      <c r="CP9" t="n">
        <v>0</v>
      </c>
      <c r="CQ9" t="n">
        <v>0</v>
      </c>
      <c r="CR9" t="n">
        <v>0.003</v>
      </c>
      <c r="CS9" t="n">
        <v>0.011</v>
      </c>
      <c r="CT9" t="n">
        <v>0.045</v>
      </c>
      <c r="CU9" t="n">
        <v>0.111</v>
      </c>
      <c r="CV9" t="n">
        <v>4.45</v>
      </c>
      <c r="CW9" t="n">
        <v>0.857</v>
      </c>
      <c r="CY9" t="n">
        <v>9.109999999999999</v>
      </c>
      <c r="CZ9" t="n">
        <v>3.25</v>
      </c>
      <c r="DA9" t="n">
        <v>0.298</v>
      </c>
      <c r="DB9" t="n">
        <v>0.004</v>
      </c>
      <c r="DC9" t="n">
        <v>0</v>
      </c>
      <c r="DF9" t="n">
        <v>0.036</v>
      </c>
      <c r="DG9" t="n">
        <v>0</v>
      </c>
      <c r="DH9" t="n">
        <v>0.12</v>
      </c>
      <c r="DI9" t="n">
        <v>0</v>
      </c>
      <c r="DJ9" t="n">
        <v>0.003</v>
      </c>
      <c r="DK9" t="n">
        <v>0</v>
      </c>
      <c r="GJ9" t="n">
        <v>0</v>
      </c>
      <c r="GL9" t="n">
        <v>0</v>
      </c>
    </row>
    <row r="10">
      <c r="A10" t="n">
        <v>746782</v>
      </c>
      <c r="B10" t="inlineStr">
        <is>
          <t>Milk, whole, 3.25% milkfat, with added vitamin D</t>
        </is>
      </c>
      <c r="C10" t="inlineStr"/>
      <c r="D10" t="inlineStr">
        <is>
          <t>Foundation</t>
        </is>
      </c>
      <c r="E10" s="9" t="n">
        <v>1077.625895039049</v>
      </c>
      <c r="F10" s="10">
        <f>E10/SUM($E$3:$E$10)</f>
        <v/>
      </c>
      <c r="G10" t="n">
        <v>88.09999999999999</v>
      </c>
      <c r="H10" t="n">
        <v>60.40000000000001</v>
      </c>
      <c r="I10" t="n">
        <v>252.7136</v>
      </c>
      <c r="J10" t="n">
        <v>0.51</v>
      </c>
      <c r="K10" t="n">
        <v>3.27</v>
      </c>
      <c r="L10" t="n">
        <v>2.77</v>
      </c>
      <c r="M10" t="n">
        <v>3.2</v>
      </c>
      <c r="N10" t="n">
        <v>0.8</v>
      </c>
      <c r="O10" t="n">
        <v>4.63</v>
      </c>
      <c r="Q10" t="n">
        <v>4.81</v>
      </c>
      <c r="R10" t="n">
        <v>0</v>
      </c>
      <c r="S10" t="n">
        <v>0</v>
      </c>
      <c r="T10" t="n">
        <v>0</v>
      </c>
      <c r="U10" t="n">
        <v>4.81</v>
      </c>
      <c r="V10" t="n">
        <v>0</v>
      </c>
      <c r="W10" t="n">
        <v>0</v>
      </c>
      <c r="Z10" t="n">
        <v>123</v>
      </c>
      <c r="AA10" t="n">
        <v>0</v>
      </c>
      <c r="AB10" t="n">
        <v>11.9</v>
      </c>
      <c r="AC10" t="n">
        <v>101</v>
      </c>
      <c r="AD10" t="n">
        <v>150</v>
      </c>
      <c r="AE10" t="n">
        <v>38</v>
      </c>
      <c r="AF10" t="n">
        <v>0.42</v>
      </c>
      <c r="AG10" t="n">
        <v>0.001</v>
      </c>
      <c r="AH10" t="n">
        <v>0</v>
      </c>
      <c r="AI10" t="n">
        <v>37.9</v>
      </c>
      <c r="AJ10" t="n">
        <v>1.9</v>
      </c>
      <c r="AL10" t="n">
        <v>0.056</v>
      </c>
      <c r="AM10" t="n">
        <v>0.138</v>
      </c>
      <c r="AN10" t="n">
        <v>0.105</v>
      </c>
      <c r="AO10" t="n">
        <v>0.061</v>
      </c>
      <c r="AP10" t="n">
        <v>0</v>
      </c>
      <c r="AS10" t="n">
        <v>17.8</v>
      </c>
      <c r="AT10" t="n">
        <v>0.54</v>
      </c>
      <c r="AU10" t="n">
        <v>32</v>
      </c>
      <c r="AW10" t="n">
        <v>0.96</v>
      </c>
      <c r="AY10" t="n">
        <v>0.05</v>
      </c>
      <c r="BA10" t="n">
        <v>0.362</v>
      </c>
      <c r="BD10" t="n">
        <v>31</v>
      </c>
      <c r="BE10" t="n">
        <v>7</v>
      </c>
      <c r="BF10" t="n">
        <v>2</v>
      </c>
      <c r="BG10" t="n">
        <v>5</v>
      </c>
      <c r="BH10" t="n">
        <v>0</v>
      </c>
      <c r="BI10" t="n">
        <v>38.4</v>
      </c>
      <c r="BJ10" t="n">
        <v>0</v>
      </c>
      <c r="BK10" t="n">
        <v>0.96</v>
      </c>
      <c r="BL10" t="n">
        <v>0</v>
      </c>
      <c r="BM10" t="n">
        <v>0</v>
      </c>
      <c r="BN10" t="n">
        <v>0</v>
      </c>
      <c r="BP10" t="n">
        <v>5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CC10" t="n">
        <v>3</v>
      </c>
      <c r="CD10" t="n">
        <v>1.3</v>
      </c>
      <c r="CE10" t="n">
        <v>1.8</v>
      </c>
      <c r="CF10" t="n">
        <v>10.3</v>
      </c>
      <c r="CG10" t="n">
        <v>0.7</v>
      </c>
      <c r="CH10" t="n">
        <v>1.4</v>
      </c>
      <c r="CK10" t="n">
        <v>1.86</v>
      </c>
      <c r="CL10" t="n">
        <v>0.6879999999999999</v>
      </c>
      <c r="CM10" t="n">
        <v>0.108</v>
      </c>
      <c r="CN10" t="n">
        <v>0.112</v>
      </c>
      <c r="CO10" t="n">
        <v>12</v>
      </c>
      <c r="CP10" t="n">
        <v>0.067</v>
      </c>
      <c r="CQ10" t="n">
        <v>0.054</v>
      </c>
      <c r="CR10" t="n">
        <v>0.034</v>
      </c>
      <c r="CS10" t="n">
        <v>0.08400000000000001</v>
      </c>
      <c r="CT10" t="n">
        <v>0.097</v>
      </c>
      <c r="CU10" t="n">
        <v>0.303</v>
      </c>
      <c r="CV10" t="n">
        <v>0.857</v>
      </c>
      <c r="CW10" t="n">
        <v>0.309</v>
      </c>
      <c r="CX10" t="n">
        <v>0.004</v>
      </c>
      <c r="DB10" t="n">
        <v>0.004</v>
      </c>
      <c r="DC10" t="n">
        <v>0</v>
      </c>
      <c r="DD10" t="n">
        <v>0.002</v>
      </c>
      <c r="DG10" t="n">
        <v>0</v>
      </c>
      <c r="DI10" t="n">
        <v>0.001</v>
      </c>
      <c r="DK10" t="n">
        <v>0.002</v>
      </c>
      <c r="DL10" t="n">
        <v>0</v>
      </c>
      <c r="DM10" t="n">
        <v>0</v>
      </c>
      <c r="DN10" t="n">
        <v>0</v>
      </c>
      <c r="DO10" t="n">
        <v>0.001</v>
      </c>
      <c r="DP10" t="n">
        <v>0.032</v>
      </c>
      <c r="DQ10" t="n">
        <v>0.018</v>
      </c>
      <c r="DR10" t="n">
        <v>0.001</v>
      </c>
      <c r="DS10" t="n">
        <v>0.008</v>
      </c>
      <c r="DT10" t="n">
        <v>0.082</v>
      </c>
      <c r="DU10" t="n">
        <v>0</v>
      </c>
      <c r="DV10" t="n">
        <v>0.018</v>
      </c>
      <c r="DX10" t="n">
        <v>0.013</v>
      </c>
      <c r="DY10" t="n">
        <v>0</v>
      </c>
      <c r="DZ10" t="n">
        <v>0.001</v>
      </c>
      <c r="EA10" t="n">
        <v>0.039</v>
      </c>
      <c r="EB10" t="n">
        <v>0.612</v>
      </c>
      <c r="EC10" t="n">
        <v>0.08400000000000001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0.001</v>
      </c>
      <c r="EK10" t="n">
        <v>0.005</v>
      </c>
      <c r="EM10" t="n">
        <v>0.095</v>
      </c>
      <c r="EN10" t="n">
        <v>0.018</v>
      </c>
      <c r="EO10" t="n">
        <v>0</v>
      </c>
      <c r="EQ10" t="n">
        <v>0</v>
      </c>
      <c r="ER10" t="n">
        <v>0</v>
      </c>
      <c r="ES10" t="n">
        <v>0</v>
      </c>
      <c r="ET10" t="n">
        <v>0.005</v>
      </c>
      <c r="EU10" t="n">
        <v>0.024</v>
      </c>
      <c r="EV10" t="n">
        <v>0.005</v>
      </c>
      <c r="EW10" t="n">
        <v>0.004</v>
      </c>
      <c r="EX10" t="n">
        <v>0</v>
      </c>
      <c r="EY10" t="n">
        <v>0.097</v>
      </c>
      <c r="EZ10" t="n">
        <v>0.013</v>
      </c>
      <c r="FA10" t="n">
        <v>0</v>
      </c>
      <c r="FB10" t="n">
        <v>0.004</v>
      </c>
      <c r="FC10" t="n">
        <v>0.004</v>
      </c>
      <c r="FD10" t="n">
        <v>0.001</v>
      </c>
      <c r="FE10" t="n">
        <v>0.002</v>
      </c>
      <c r="FF10" t="n">
        <v>0</v>
      </c>
      <c r="FG10" t="n">
        <v>0.001</v>
      </c>
      <c r="FH10" t="n">
        <v>0.012</v>
      </c>
      <c r="FI10" t="n">
        <v>0</v>
      </c>
      <c r="FJ10" t="n">
        <v>0.004</v>
      </c>
      <c r="FK10" t="n">
        <v>0.001</v>
      </c>
      <c r="FL10" t="n">
        <v>0</v>
      </c>
      <c r="FM10" t="n">
        <v>0.043</v>
      </c>
      <c r="FN10" t="n">
        <v>0.154</v>
      </c>
      <c r="FO10" t="n">
        <v>0.173</v>
      </c>
      <c r="FP10" t="n">
        <v>0.333</v>
      </c>
      <c r="FQ10" t="n">
        <v>0.298</v>
      </c>
      <c r="FR10" t="n">
        <v>0.09</v>
      </c>
      <c r="FS10" t="n">
        <v>0.161</v>
      </c>
      <c r="FT10" t="n">
        <v>0.162</v>
      </c>
      <c r="FU10" t="n">
        <v>0.207</v>
      </c>
      <c r="FV10" t="n">
        <v>0.127</v>
      </c>
      <c r="FW10" t="n">
        <v>0.097</v>
      </c>
      <c r="FX10" t="n">
        <v>0.11</v>
      </c>
      <c r="FY10" t="n">
        <v>0.279</v>
      </c>
      <c r="FZ10" t="n">
        <v>0.788</v>
      </c>
      <c r="GA10" t="n">
        <v>0.06900000000000001</v>
      </c>
      <c r="GB10" t="n">
        <v>0.333</v>
      </c>
      <c r="GC10" t="n">
        <v>0.188</v>
      </c>
      <c r="GD10" t="n">
        <v>0</v>
      </c>
      <c r="GE10" t="n">
        <v>0.038</v>
      </c>
      <c r="GK10" t="n">
        <v>0</v>
      </c>
      <c r="GL10" t="n">
        <v>0</v>
      </c>
      <c r="GM10" t="n">
        <v>0</v>
      </c>
    </row>
    <row r="11">
      <c r="A11" t="inlineStr">
        <is>
          <t>Total</t>
        </is>
      </c>
      <c r="B11" t="inlineStr">
        <is>
          <t>Formulado</t>
        </is>
      </c>
      <c r="C11" t="inlineStr">
        <is>
          <t>Formulado</t>
        </is>
      </c>
      <c r="D11" t="inlineStr">
        <is>
          <t>Formulado</t>
        </is>
      </c>
      <c r="E11" s="11">
        <f>SUBTOTAL(9,E3:E10)</f>
        <v/>
      </c>
      <c r="F11" s="12" t="inlineStr">
        <is>
          <t>100%</t>
        </is>
      </c>
      <c r="G11" s="13">
        <f>SUMPRODUCT($F$3:$F$10,$G$3:$G$10)</f>
        <v/>
      </c>
      <c r="H11" s="13">
        <f>SUMPRODUCT($F$3:$F$10,$H$3:$H$10)</f>
        <v/>
      </c>
      <c r="I11" s="13">
        <f>SUMPRODUCT($F$3:$F$10,$I$3:$I$10)</f>
        <v/>
      </c>
      <c r="J11" s="13">
        <f>SUMPRODUCT($F$3:$F$10,$J$3:$J$10)</f>
        <v/>
      </c>
      <c r="K11" s="13">
        <f>SUMPRODUCT($F$3:$F$10,$K$3:$K$10)</f>
        <v/>
      </c>
      <c r="L11" s="13">
        <f>SUMPRODUCT($F$3:$F$10,$L$3:$L$10)</f>
        <v/>
      </c>
      <c r="M11" s="13">
        <f>SUMPRODUCT($F$3:$F$10,$M$3:$M$10)</f>
        <v/>
      </c>
      <c r="N11" s="13">
        <f>SUMPRODUCT($F$3:$F$10,$N$3:$N$10)</f>
        <v/>
      </c>
      <c r="O11" s="13">
        <f>SUMPRODUCT($F$3:$F$10,$O$3:$O$10)</f>
        <v/>
      </c>
      <c r="P11" s="13">
        <f>SUMPRODUCT($F$3:$F$10,$P$3:$P$10)</f>
        <v/>
      </c>
      <c r="Q11" s="13">
        <f>SUMPRODUCT($F$3:$F$10,$Q$3:$Q$10)</f>
        <v/>
      </c>
      <c r="R11" s="13">
        <f>SUMPRODUCT($F$3:$F$10,$R$3:$R$10)</f>
        <v/>
      </c>
      <c r="S11" s="13">
        <f>SUMPRODUCT($F$3:$F$10,$S$3:$S$10)</f>
        <v/>
      </c>
      <c r="T11" s="13">
        <f>SUMPRODUCT($F$3:$F$10,$T$3:$T$10)</f>
        <v/>
      </c>
      <c r="U11" s="13">
        <f>SUMPRODUCT($F$3:$F$10,$U$3:$U$10)</f>
        <v/>
      </c>
      <c r="V11" s="13">
        <f>SUMPRODUCT($F$3:$F$10,$V$3:$V$10)</f>
        <v/>
      </c>
      <c r="W11" s="13">
        <f>SUMPRODUCT($F$3:$F$10,$W$3:$W$10)</f>
        <v/>
      </c>
      <c r="X11" s="13">
        <f>SUMPRODUCT($F$3:$F$10,$X$3:$X$10)</f>
        <v/>
      </c>
      <c r="Y11" s="13">
        <f>SUMPRODUCT($F$3:$F$10,$Y$3:$Y$10)</f>
        <v/>
      </c>
      <c r="Z11" s="13">
        <f>SUMPRODUCT($F$3:$F$10,$Z$3:$Z$10)</f>
        <v/>
      </c>
      <c r="AA11" s="13">
        <f>SUMPRODUCT($F$3:$F$10,$AA$3:$AA$10)</f>
        <v/>
      </c>
      <c r="AB11" s="13">
        <f>SUMPRODUCT($F$3:$F$10,$AB$3:$AB$10)</f>
        <v/>
      </c>
      <c r="AC11" s="13">
        <f>SUMPRODUCT($F$3:$F$10,$AC$3:$AC$10)</f>
        <v/>
      </c>
      <c r="AD11" s="13">
        <f>SUMPRODUCT($F$3:$F$10,$AD$3:$AD$10)</f>
        <v/>
      </c>
      <c r="AE11" s="13">
        <f>SUMPRODUCT($F$3:$F$10,$AE$3:$AE$10)</f>
        <v/>
      </c>
      <c r="AF11" s="13">
        <f>SUMPRODUCT($F$3:$F$10,$AF$3:$AF$10)</f>
        <v/>
      </c>
      <c r="AG11" s="13">
        <f>SUMPRODUCT($F$3:$F$10,$AG$3:$AG$10)</f>
        <v/>
      </c>
      <c r="AH11" s="13">
        <f>SUMPRODUCT($F$3:$F$10,$AH$3:$AH$10)</f>
        <v/>
      </c>
      <c r="AI11" s="13">
        <f>SUMPRODUCT($F$3:$F$10,$AI$3:$AI$10)</f>
        <v/>
      </c>
      <c r="AJ11" s="13">
        <f>SUMPRODUCT($F$3:$F$10,$AJ$3:$AJ$10)</f>
        <v/>
      </c>
      <c r="AK11" s="13">
        <f>SUMPRODUCT($F$3:$F$10,$AK$3:$AK$10)</f>
        <v/>
      </c>
      <c r="AL11" s="13">
        <f>SUMPRODUCT($F$3:$F$10,$AL$3:$AL$10)</f>
        <v/>
      </c>
      <c r="AM11" s="13">
        <f>SUMPRODUCT($F$3:$F$10,$AM$3:$AM$10)</f>
        <v/>
      </c>
      <c r="AN11" s="13">
        <f>SUMPRODUCT($F$3:$F$10,$AN$3:$AN$10)</f>
        <v/>
      </c>
      <c r="AO11" s="13">
        <f>SUMPRODUCT($F$3:$F$10,$AO$3:$AO$10)</f>
        <v/>
      </c>
      <c r="AP11" s="13">
        <f>SUMPRODUCT($F$3:$F$10,$AP$3:$AP$10)</f>
        <v/>
      </c>
      <c r="AQ11" s="13">
        <f>SUMPRODUCT($F$3:$F$10,$AQ$3:$AQ$10)</f>
        <v/>
      </c>
      <c r="AR11" s="13">
        <f>SUMPRODUCT($F$3:$F$10,$AR$3:$AR$10)</f>
        <v/>
      </c>
      <c r="AS11" s="13">
        <f>SUMPRODUCT($F$3:$F$10,$AS$3:$AS$10)</f>
        <v/>
      </c>
      <c r="AT11" s="13">
        <f>SUMPRODUCT($F$3:$F$10,$AT$3:$AT$10)</f>
        <v/>
      </c>
      <c r="AU11" s="13">
        <f>SUMPRODUCT($F$3:$F$10,$AU$3:$AU$10)</f>
        <v/>
      </c>
      <c r="AV11" s="13">
        <f>SUMPRODUCT($F$3:$F$10,$AV$3:$AV$10)</f>
        <v/>
      </c>
      <c r="AW11" s="13">
        <f>SUMPRODUCT($F$3:$F$10,$AW$3:$AW$10)</f>
        <v/>
      </c>
      <c r="AX11" s="13">
        <f>SUMPRODUCT($F$3:$F$10,$AX$3:$AX$10)</f>
        <v/>
      </c>
      <c r="AY11" s="13">
        <f>SUMPRODUCT($F$3:$F$10,$AY$3:$AY$10)</f>
        <v/>
      </c>
      <c r="AZ11" s="13">
        <f>SUMPRODUCT($F$3:$F$10,$AZ$3:$AZ$10)</f>
        <v/>
      </c>
      <c r="BA11" s="13">
        <f>SUMPRODUCT($F$3:$F$10,$BA$3:$BA$10)</f>
        <v/>
      </c>
      <c r="BB11" s="13">
        <f>SUMPRODUCT($F$3:$F$10,$BB$3:$BB$10)</f>
        <v/>
      </c>
      <c r="BC11" s="13">
        <f>SUMPRODUCT($F$3:$F$10,$BC$3:$BC$10)</f>
        <v/>
      </c>
      <c r="BD11" s="13">
        <f>SUMPRODUCT($F$3:$F$10,$BD$3:$BD$10)</f>
        <v/>
      </c>
      <c r="BE11" s="13">
        <f>SUMPRODUCT($F$3:$F$10,$BE$3:$BE$10)</f>
        <v/>
      </c>
      <c r="BF11" s="13">
        <f>SUMPRODUCT($F$3:$F$10,$BF$3:$BF$10)</f>
        <v/>
      </c>
      <c r="BG11" s="13">
        <f>SUMPRODUCT($F$3:$F$10,$BG$3:$BG$10)</f>
        <v/>
      </c>
      <c r="BH11" s="13">
        <f>SUMPRODUCT($F$3:$F$10,$BH$3:$BH$10)</f>
        <v/>
      </c>
      <c r="BI11" s="13">
        <f>SUMPRODUCT($F$3:$F$10,$BI$3:$BI$10)</f>
        <v/>
      </c>
      <c r="BJ11" s="13">
        <f>SUMPRODUCT($F$3:$F$10,$BJ$3:$BJ$10)</f>
        <v/>
      </c>
      <c r="BK11" s="13">
        <f>SUMPRODUCT($F$3:$F$10,$BK$3:$BK$10)</f>
        <v/>
      </c>
      <c r="BL11" s="13">
        <f>SUMPRODUCT($F$3:$F$10,$BL$3:$BL$10)</f>
        <v/>
      </c>
      <c r="BM11" s="13">
        <f>SUMPRODUCT($F$3:$F$10,$BM$3:$BM$10)</f>
        <v/>
      </c>
      <c r="BN11" s="13">
        <f>SUMPRODUCT($F$3:$F$10,$BN$3:$BN$10)</f>
        <v/>
      </c>
      <c r="BO11" s="13">
        <f>SUMPRODUCT($F$3:$F$10,$BO$3:$BO$10)</f>
        <v/>
      </c>
      <c r="BP11" s="13">
        <f>SUMPRODUCT($F$3:$F$10,$BP$3:$BP$10)</f>
        <v/>
      </c>
      <c r="BQ11" s="13">
        <f>SUMPRODUCT($F$3:$F$10,$BQ$3:$BQ$10)</f>
        <v/>
      </c>
      <c r="BR11" s="13">
        <f>SUMPRODUCT($F$3:$F$10,$BR$3:$BR$10)</f>
        <v/>
      </c>
      <c r="BS11" s="13">
        <f>SUMPRODUCT($F$3:$F$10,$BS$3:$BS$10)</f>
        <v/>
      </c>
      <c r="BT11" s="13">
        <f>SUMPRODUCT($F$3:$F$10,$BT$3:$BT$10)</f>
        <v/>
      </c>
      <c r="BU11" s="13">
        <f>SUMPRODUCT($F$3:$F$10,$BU$3:$BU$10)</f>
        <v/>
      </c>
      <c r="BV11" s="13">
        <f>SUMPRODUCT($F$3:$F$10,$BV$3:$BV$10)</f>
        <v/>
      </c>
      <c r="BW11" s="13">
        <f>SUMPRODUCT($F$3:$F$10,$BW$3:$BW$10)</f>
        <v/>
      </c>
      <c r="BX11" s="13">
        <f>SUMPRODUCT($F$3:$F$10,$BX$3:$BX$10)</f>
        <v/>
      </c>
      <c r="BY11" s="13">
        <f>SUMPRODUCT($F$3:$F$10,$BY$3:$BY$10)</f>
        <v/>
      </c>
      <c r="BZ11" s="13">
        <f>SUMPRODUCT($F$3:$F$10,$BZ$3:$BZ$10)</f>
        <v/>
      </c>
      <c r="CA11" s="13">
        <f>SUMPRODUCT($F$3:$F$10,$CA$3:$CA$10)</f>
        <v/>
      </c>
      <c r="CB11" s="13">
        <f>SUMPRODUCT($F$3:$F$10,$CB$3:$CB$10)</f>
        <v/>
      </c>
      <c r="CC11" s="13">
        <f>SUMPRODUCT($F$3:$F$10,$CC$3:$CC$10)</f>
        <v/>
      </c>
      <c r="CD11" s="13">
        <f>SUMPRODUCT($F$3:$F$10,$CD$3:$CD$10)</f>
        <v/>
      </c>
      <c r="CE11" s="13">
        <f>SUMPRODUCT($F$3:$F$10,$CE$3:$CE$10)</f>
        <v/>
      </c>
      <c r="CF11" s="13">
        <f>SUMPRODUCT($F$3:$F$10,$CF$3:$CF$10)</f>
        <v/>
      </c>
      <c r="CG11" s="13">
        <f>SUMPRODUCT($F$3:$F$10,$CG$3:$CG$10)</f>
        <v/>
      </c>
      <c r="CH11" s="13">
        <f>SUMPRODUCT($F$3:$F$10,$CH$3:$CH$10)</f>
        <v/>
      </c>
      <c r="CI11" s="13">
        <f>SUMPRODUCT($F$3:$F$10,$CI$3:$CI$10)</f>
        <v/>
      </c>
      <c r="CJ11" s="13">
        <f>SUMPRODUCT($F$3:$F$10,$CJ$3:$CJ$10)</f>
        <v/>
      </c>
      <c r="CK11" s="13">
        <f>SUMPRODUCT($F$3:$F$10,$CK$3:$CK$10)</f>
        <v/>
      </c>
      <c r="CL11" s="13">
        <f>SUMPRODUCT($F$3:$F$10,$CL$3:$CL$10)</f>
        <v/>
      </c>
      <c r="CM11" s="13">
        <f>SUMPRODUCT($F$3:$F$10,$CM$3:$CM$10)</f>
        <v/>
      </c>
      <c r="CN11" s="13">
        <f>SUMPRODUCT($F$3:$F$10,$CN$3:$CN$10)</f>
        <v/>
      </c>
      <c r="CO11" s="13">
        <f>SUMPRODUCT($F$3:$F$10,$CO$3:$CO$10)</f>
        <v/>
      </c>
      <c r="CP11" s="13">
        <f>SUMPRODUCT($F$3:$F$10,$CP$3:$CP$10)</f>
        <v/>
      </c>
      <c r="CQ11" s="13">
        <f>SUMPRODUCT($F$3:$F$10,$CQ$3:$CQ$10)</f>
        <v/>
      </c>
      <c r="CR11" s="13">
        <f>SUMPRODUCT($F$3:$F$10,$CR$3:$CR$10)</f>
        <v/>
      </c>
      <c r="CS11" s="13">
        <f>SUMPRODUCT($F$3:$F$10,$CS$3:$CS$10)</f>
        <v/>
      </c>
      <c r="CT11" s="13">
        <f>SUMPRODUCT($F$3:$F$10,$CT$3:$CT$10)</f>
        <v/>
      </c>
      <c r="CU11" s="13">
        <f>SUMPRODUCT($F$3:$F$10,$CU$3:$CU$10)</f>
        <v/>
      </c>
      <c r="CV11" s="13">
        <f>SUMPRODUCT($F$3:$F$10,$CV$3:$CV$10)</f>
        <v/>
      </c>
      <c r="CW11" s="13">
        <f>SUMPRODUCT($F$3:$F$10,$CW$3:$CW$10)</f>
        <v/>
      </c>
      <c r="CX11" s="13">
        <f>SUMPRODUCT($F$3:$F$10,$CX$3:$CX$10)</f>
        <v/>
      </c>
      <c r="CY11" s="13">
        <f>SUMPRODUCT($F$3:$F$10,$CY$3:$CY$10)</f>
        <v/>
      </c>
      <c r="CZ11" s="13">
        <f>SUMPRODUCT($F$3:$F$10,$CZ$3:$CZ$10)</f>
        <v/>
      </c>
      <c r="DA11" s="13">
        <f>SUMPRODUCT($F$3:$F$10,$DA$3:$DA$10)</f>
        <v/>
      </c>
      <c r="DB11" s="13">
        <f>SUMPRODUCT($F$3:$F$10,$DB$3:$DB$10)</f>
        <v/>
      </c>
      <c r="DC11" s="13">
        <f>SUMPRODUCT($F$3:$F$10,$DC$3:$DC$10)</f>
        <v/>
      </c>
      <c r="DD11" s="13">
        <f>SUMPRODUCT($F$3:$F$10,$DD$3:$DD$10)</f>
        <v/>
      </c>
      <c r="DE11" s="13">
        <f>SUMPRODUCT($F$3:$F$10,$DE$3:$DE$10)</f>
        <v/>
      </c>
      <c r="DF11" s="13">
        <f>SUMPRODUCT($F$3:$F$10,$DF$3:$DF$10)</f>
        <v/>
      </c>
      <c r="DG11" s="13">
        <f>SUMPRODUCT($F$3:$F$10,$DG$3:$DG$10)</f>
        <v/>
      </c>
      <c r="DH11" s="13">
        <f>SUMPRODUCT($F$3:$F$10,$DH$3:$DH$10)</f>
        <v/>
      </c>
      <c r="DI11" s="13">
        <f>SUMPRODUCT($F$3:$F$10,$DI$3:$DI$10)</f>
        <v/>
      </c>
      <c r="DJ11" s="13">
        <f>SUMPRODUCT($F$3:$F$10,$DJ$3:$DJ$10)</f>
        <v/>
      </c>
      <c r="DK11" s="13">
        <f>SUMPRODUCT($F$3:$F$10,$DK$3:$DK$10)</f>
        <v/>
      </c>
      <c r="DL11" s="13">
        <f>SUMPRODUCT($F$3:$F$10,$DL$3:$DL$10)</f>
        <v/>
      </c>
      <c r="DM11" s="13">
        <f>SUMPRODUCT($F$3:$F$10,$DM$3:$DM$10)</f>
        <v/>
      </c>
      <c r="DN11" s="13">
        <f>SUMPRODUCT($F$3:$F$10,$DN$3:$DN$10)</f>
        <v/>
      </c>
      <c r="DO11" s="13">
        <f>SUMPRODUCT($F$3:$F$10,$DO$3:$DO$10)</f>
        <v/>
      </c>
      <c r="DP11" s="13">
        <f>SUMPRODUCT($F$3:$F$10,$DP$3:$DP$10)</f>
        <v/>
      </c>
      <c r="DQ11" s="13">
        <f>SUMPRODUCT($F$3:$F$10,$DQ$3:$DQ$10)</f>
        <v/>
      </c>
      <c r="DR11" s="13">
        <f>SUMPRODUCT($F$3:$F$10,$DR$3:$DR$10)</f>
        <v/>
      </c>
      <c r="DS11" s="13">
        <f>SUMPRODUCT($F$3:$F$10,$DS$3:$DS$10)</f>
        <v/>
      </c>
      <c r="DT11" s="13">
        <f>SUMPRODUCT($F$3:$F$10,$DT$3:$DT$10)</f>
        <v/>
      </c>
      <c r="DU11" s="13">
        <f>SUMPRODUCT($F$3:$F$10,$DU$3:$DU$10)</f>
        <v/>
      </c>
      <c r="DV11" s="13">
        <f>SUMPRODUCT($F$3:$F$10,$DV$3:$DV$10)</f>
        <v/>
      </c>
      <c r="DW11" s="13">
        <f>SUMPRODUCT($F$3:$F$10,$DW$3:$DW$10)</f>
        <v/>
      </c>
      <c r="DX11" s="13">
        <f>SUMPRODUCT($F$3:$F$10,$DX$3:$DX$10)</f>
        <v/>
      </c>
      <c r="DY11" s="13">
        <f>SUMPRODUCT($F$3:$F$10,$DY$3:$DY$10)</f>
        <v/>
      </c>
      <c r="DZ11" s="13">
        <f>SUMPRODUCT($F$3:$F$10,$DZ$3:$DZ$10)</f>
        <v/>
      </c>
      <c r="EA11" s="13">
        <f>SUMPRODUCT($F$3:$F$10,$EA$3:$EA$10)</f>
        <v/>
      </c>
      <c r="EB11" s="13">
        <f>SUMPRODUCT($F$3:$F$10,$EB$3:$EB$10)</f>
        <v/>
      </c>
      <c r="EC11" s="13">
        <f>SUMPRODUCT($F$3:$F$10,$EC$3:$EC$10)</f>
        <v/>
      </c>
      <c r="ED11" s="13">
        <f>SUMPRODUCT($F$3:$F$10,$ED$3:$ED$10)</f>
        <v/>
      </c>
      <c r="EE11" s="13">
        <f>SUMPRODUCT($F$3:$F$10,$EE$3:$EE$10)</f>
        <v/>
      </c>
      <c r="EF11" s="13">
        <f>SUMPRODUCT($F$3:$F$10,$EF$3:$EF$10)</f>
        <v/>
      </c>
      <c r="EG11" s="13">
        <f>SUMPRODUCT($F$3:$F$10,$EG$3:$EG$10)</f>
        <v/>
      </c>
      <c r="EH11" s="13">
        <f>SUMPRODUCT($F$3:$F$10,$EH$3:$EH$10)</f>
        <v/>
      </c>
      <c r="EI11" s="13">
        <f>SUMPRODUCT($F$3:$F$10,$EI$3:$EI$10)</f>
        <v/>
      </c>
      <c r="EJ11" s="13">
        <f>SUMPRODUCT($F$3:$F$10,$EJ$3:$EJ$10)</f>
        <v/>
      </c>
      <c r="EK11" s="13">
        <f>SUMPRODUCT($F$3:$F$10,$EK$3:$EK$10)</f>
        <v/>
      </c>
      <c r="EL11" s="13">
        <f>SUMPRODUCT($F$3:$F$10,$EL$3:$EL$10)</f>
        <v/>
      </c>
      <c r="EM11" s="13">
        <f>SUMPRODUCT($F$3:$F$10,$EM$3:$EM$10)</f>
        <v/>
      </c>
      <c r="EN11" s="13">
        <f>SUMPRODUCT($F$3:$F$10,$EN$3:$EN$10)</f>
        <v/>
      </c>
      <c r="EO11" s="13">
        <f>SUMPRODUCT($F$3:$F$10,$EO$3:$EO$10)</f>
        <v/>
      </c>
      <c r="EP11" s="13">
        <f>SUMPRODUCT($F$3:$F$10,$EP$3:$EP$10)</f>
        <v/>
      </c>
      <c r="EQ11" s="13">
        <f>SUMPRODUCT($F$3:$F$10,$EQ$3:$EQ$10)</f>
        <v/>
      </c>
      <c r="ER11" s="13">
        <f>SUMPRODUCT($F$3:$F$10,$ER$3:$ER$10)</f>
        <v/>
      </c>
      <c r="ES11" s="13">
        <f>SUMPRODUCT($F$3:$F$10,$ES$3:$ES$10)</f>
        <v/>
      </c>
      <c r="ET11" s="13">
        <f>SUMPRODUCT($F$3:$F$10,$ET$3:$ET$10)</f>
        <v/>
      </c>
      <c r="EU11" s="13">
        <f>SUMPRODUCT($F$3:$F$10,$EU$3:$EU$10)</f>
        <v/>
      </c>
      <c r="EV11" s="13">
        <f>SUMPRODUCT($F$3:$F$10,$EV$3:$EV$10)</f>
        <v/>
      </c>
      <c r="EW11" s="13">
        <f>SUMPRODUCT($F$3:$F$10,$EW$3:$EW$10)</f>
        <v/>
      </c>
      <c r="EX11" s="13">
        <f>SUMPRODUCT($F$3:$F$10,$EX$3:$EX$10)</f>
        <v/>
      </c>
      <c r="EY11" s="13">
        <f>SUMPRODUCT($F$3:$F$10,$EY$3:$EY$10)</f>
        <v/>
      </c>
      <c r="EZ11" s="13">
        <f>SUMPRODUCT($F$3:$F$10,$EZ$3:$EZ$10)</f>
        <v/>
      </c>
      <c r="FA11" s="13">
        <f>SUMPRODUCT($F$3:$F$10,$FA$3:$FA$10)</f>
        <v/>
      </c>
      <c r="FB11" s="13">
        <f>SUMPRODUCT($F$3:$F$10,$FB$3:$FB$10)</f>
        <v/>
      </c>
      <c r="FC11" s="13">
        <f>SUMPRODUCT($F$3:$F$10,$FC$3:$FC$10)</f>
        <v/>
      </c>
      <c r="FD11" s="13">
        <f>SUMPRODUCT($F$3:$F$10,$FD$3:$FD$10)</f>
        <v/>
      </c>
      <c r="FE11" s="13">
        <f>SUMPRODUCT($F$3:$F$10,$FE$3:$FE$10)</f>
        <v/>
      </c>
      <c r="FF11" s="13">
        <f>SUMPRODUCT($F$3:$F$10,$FF$3:$FF$10)</f>
        <v/>
      </c>
      <c r="FG11" s="13">
        <f>SUMPRODUCT($F$3:$F$10,$FG$3:$FG$10)</f>
        <v/>
      </c>
      <c r="FH11" s="13">
        <f>SUMPRODUCT($F$3:$F$10,$FH$3:$FH$10)</f>
        <v/>
      </c>
      <c r="FI11" s="13">
        <f>SUMPRODUCT($F$3:$F$10,$FI$3:$FI$10)</f>
        <v/>
      </c>
      <c r="FJ11" s="13">
        <f>SUMPRODUCT($F$3:$F$10,$FJ$3:$FJ$10)</f>
        <v/>
      </c>
      <c r="FK11" s="13">
        <f>SUMPRODUCT($F$3:$F$10,$FK$3:$FK$10)</f>
        <v/>
      </c>
      <c r="FL11" s="13">
        <f>SUMPRODUCT($F$3:$F$10,$FL$3:$FL$10)</f>
        <v/>
      </c>
      <c r="FM11" s="13">
        <f>SUMPRODUCT($F$3:$F$10,$FM$3:$FM$10)</f>
        <v/>
      </c>
      <c r="FN11" s="13">
        <f>SUMPRODUCT($F$3:$F$10,$FN$3:$FN$10)</f>
        <v/>
      </c>
      <c r="FO11" s="13">
        <f>SUMPRODUCT($F$3:$F$10,$FO$3:$FO$10)</f>
        <v/>
      </c>
      <c r="FP11" s="13">
        <f>SUMPRODUCT($F$3:$F$10,$FP$3:$FP$10)</f>
        <v/>
      </c>
      <c r="FQ11" s="13">
        <f>SUMPRODUCT($F$3:$F$10,$FQ$3:$FQ$10)</f>
        <v/>
      </c>
      <c r="FR11" s="13">
        <f>SUMPRODUCT($F$3:$F$10,$FR$3:$FR$10)</f>
        <v/>
      </c>
      <c r="FS11" s="13">
        <f>SUMPRODUCT($F$3:$F$10,$FS$3:$FS$10)</f>
        <v/>
      </c>
      <c r="FT11" s="13">
        <f>SUMPRODUCT($F$3:$F$10,$FT$3:$FT$10)</f>
        <v/>
      </c>
      <c r="FU11" s="13">
        <f>SUMPRODUCT($F$3:$F$10,$FU$3:$FU$10)</f>
        <v/>
      </c>
      <c r="FV11" s="13">
        <f>SUMPRODUCT($F$3:$F$10,$FV$3:$FV$10)</f>
        <v/>
      </c>
      <c r="FW11" s="13">
        <f>SUMPRODUCT($F$3:$F$10,$FW$3:$FW$10)</f>
        <v/>
      </c>
      <c r="FX11" s="13">
        <f>SUMPRODUCT($F$3:$F$10,$FX$3:$FX$10)</f>
        <v/>
      </c>
      <c r="FY11" s="13">
        <f>SUMPRODUCT($F$3:$F$10,$FY$3:$FY$10)</f>
        <v/>
      </c>
      <c r="FZ11" s="13">
        <f>SUMPRODUCT($F$3:$F$10,$FZ$3:$FZ$10)</f>
        <v/>
      </c>
      <c r="GA11" s="13">
        <f>SUMPRODUCT($F$3:$F$10,$GA$3:$GA$10)</f>
        <v/>
      </c>
      <c r="GB11" s="13">
        <f>SUMPRODUCT($F$3:$F$10,$GB$3:$GB$10)</f>
        <v/>
      </c>
      <c r="GC11" s="13">
        <f>SUMPRODUCT($F$3:$F$10,$GC$3:$GC$10)</f>
        <v/>
      </c>
      <c r="GD11" s="13">
        <f>SUMPRODUCT($F$3:$F$10,$GD$3:$GD$10)</f>
        <v/>
      </c>
      <c r="GE11" s="13">
        <f>SUMPRODUCT($F$3:$F$10,$GE$3:$GE$10)</f>
        <v/>
      </c>
      <c r="GF11" s="13">
        <f>SUMPRODUCT($F$3:$F$10,$GF$3:$GF$10)</f>
        <v/>
      </c>
      <c r="GG11" s="13">
        <f>SUMPRODUCT($F$3:$F$10,$GG$3:$GG$10)</f>
        <v/>
      </c>
      <c r="GH11" s="13">
        <f>SUMPRODUCT($F$3:$F$10,$GH$3:$GH$10)</f>
        <v/>
      </c>
      <c r="GI11" s="13">
        <f>SUMPRODUCT($F$3:$F$10,$GI$3:$GI$10)</f>
        <v/>
      </c>
      <c r="GJ11" s="13">
        <f>SUMPRODUCT($F$3:$F$10,$GJ$3:$GJ$10)</f>
        <v/>
      </c>
      <c r="GK11" s="13">
        <f>SUMPRODUCT($F$3:$F$10,$GK$3:$GK$10)</f>
        <v/>
      </c>
      <c r="GL11" s="13">
        <f>SUMPRODUCT($F$3:$F$10,$GL$3:$GL$10)</f>
        <v/>
      </c>
      <c r="GM11" s="13">
        <f>SUMPRODUCT($F$3:$F$10,$GM$3:$GM$10)</f>
        <v/>
      </c>
    </row>
  </sheetData>
  <mergeCells count="9">
    <mergeCell ref="Z1:AK1"/>
    <mergeCell ref="G1:O1"/>
    <mergeCell ref="A1:F1"/>
    <mergeCell ref="AL1:CJ1"/>
    <mergeCell ref="GF1:GI1"/>
    <mergeCell ref="GJ1:GM1"/>
    <mergeCell ref="CK1:FL1"/>
    <mergeCell ref="FM1:GE1"/>
    <mergeCell ref="P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Ingredientes!G11</f>
        <v/>
      </c>
      <c r="C2" t="inlineStr">
        <is>
          <t>g</t>
        </is>
      </c>
    </row>
    <row r="3">
      <c r="A3" t="inlineStr">
        <is>
          <t>Energy</t>
        </is>
      </c>
      <c r="B3">
        <f>Ingredientes!H11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Ingredientes!I11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Ingredientes!J11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Ingredientes!K11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Ingredientes!L11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Ingredientes!M11</f>
        <v/>
      </c>
      <c r="C8" t="inlineStr">
        <is>
          <t>g</t>
        </is>
      </c>
    </row>
    <row r="9">
      <c r="A9" t="inlineStr">
        <is>
          <t>Ash</t>
        </is>
      </c>
      <c r="B9">
        <f>Ingredientes!N11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Ingredientes!O11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Ingredientes!P11</f>
        <v/>
      </c>
      <c r="C11" t="inlineStr">
        <is>
          <t>g</t>
        </is>
      </c>
    </row>
    <row r="12">
      <c r="A12" t="inlineStr">
        <is>
          <t>Sugars, Total</t>
        </is>
      </c>
      <c r="B12">
        <f>Ingredientes!Q11</f>
        <v/>
      </c>
      <c r="C12" t="inlineStr">
        <is>
          <t>g</t>
        </is>
      </c>
    </row>
    <row r="13">
      <c r="A13" t="inlineStr">
        <is>
          <t>Sucrose</t>
        </is>
      </c>
      <c r="B13">
        <f>Ingredientes!R11</f>
        <v/>
      </c>
      <c r="C13" t="inlineStr">
        <is>
          <t>g</t>
        </is>
      </c>
    </row>
    <row r="14">
      <c r="A14" t="inlineStr">
        <is>
          <t>Glucose</t>
        </is>
      </c>
      <c r="B14">
        <f>Ingredientes!S11</f>
        <v/>
      </c>
      <c r="C14" t="inlineStr">
        <is>
          <t>g</t>
        </is>
      </c>
    </row>
    <row r="15">
      <c r="A15" t="inlineStr">
        <is>
          <t>Fructose</t>
        </is>
      </c>
      <c r="B15">
        <f>Ingredientes!T11</f>
        <v/>
      </c>
      <c r="C15" t="inlineStr">
        <is>
          <t>g</t>
        </is>
      </c>
    </row>
    <row r="16">
      <c r="A16" t="inlineStr">
        <is>
          <t>Lactose</t>
        </is>
      </c>
      <c r="B16">
        <f>Ingredientes!U11</f>
        <v/>
      </c>
      <c r="C16" t="inlineStr">
        <is>
          <t>g</t>
        </is>
      </c>
    </row>
    <row r="17">
      <c r="A17" t="inlineStr">
        <is>
          <t>Maltose</t>
        </is>
      </c>
      <c r="B17">
        <f>Ingredientes!V11</f>
        <v/>
      </c>
      <c r="C17" t="inlineStr">
        <is>
          <t>g</t>
        </is>
      </c>
    </row>
    <row r="18">
      <c r="A18" t="inlineStr">
        <is>
          <t>Galactose</t>
        </is>
      </c>
      <c r="B18">
        <f>Ingredientes!W11</f>
        <v/>
      </c>
      <c r="C18" t="inlineStr">
        <is>
          <t>g</t>
        </is>
      </c>
    </row>
    <row r="19">
      <c r="A19" t="inlineStr">
        <is>
          <t>Starch</t>
        </is>
      </c>
      <c r="B19">
        <f>Ingredientes!X11</f>
        <v/>
      </c>
      <c r="C19" t="inlineStr">
        <is>
          <t>g</t>
        </is>
      </c>
    </row>
    <row r="20">
      <c r="A20" t="inlineStr">
        <is>
          <t>Resistant starch</t>
        </is>
      </c>
      <c r="B20">
        <f>Ingredientes!Y11</f>
        <v/>
      </c>
      <c r="C20" t="inlineStr">
        <is>
          <t>g</t>
        </is>
      </c>
    </row>
    <row r="21">
      <c r="A21" t="inlineStr">
        <is>
          <t>Calcium, Ca</t>
        </is>
      </c>
      <c r="B21">
        <f>Ingredientes!Z11</f>
        <v/>
      </c>
      <c r="C21" t="inlineStr">
        <is>
          <t>mg</t>
        </is>
      </c>
    </row>
    <row r="22">
      <c r="A22" t="inlineStr">
        <is>
          <t>Iron, Fe</t>
        </is>
      </c>
      <c r="B22">
        <f>Ingredientes!AA11</f>
        <v/>
      </c>
      <c r="C22" t="inlineStr">
        <is>
          <t>mg</t>
        </is>
      </c>
    </row>
    <row r="23">
      <c r="A23" t="inlineStr">
        <is>
          <t>Magnesium, Mg</t>
        </is>
      </c>
      <c r="B23">
        <f>Ingredientes!AB11</f>
        <v/>
      </c>
      <c r="C23" t="inlineStr">
        <is>
          <t>mg</t>
        </is>
      </c>
    </row>
    <row r="24">
      <c r="A24" t="inlineStr">
        <is>
          <t>Phosphorus, P</t>
        </is>
      </c>
      <c r="B24">
        <f>Ingredientes!AC11</f>
        <v/>
      </c>
      <c r="C24" t="inlineStr">
        <is>
          <t>mg</t>
        </is>
      </c>
    </row>
    <row r="25">
      <c r="A25" t="inlineStr">
        <is>
          <t>Potassium, K</t>
        </is>
      </c>
      <c r="B25">
        <f>Ingredientes!AD11</f>
        <v/>
      </c>
      <c r="C25" t="inlineStr">
        <is>
          <t>mg</t>
        </is>
      </c>
    </row>
    <row r="26">
      <c r="A26" t="inlineStr">
        <is>
          <t>Sodium, Na</t>
        </is>
      </c>
      <c r="B26">
        <f>Ingredientes!AE11</f>
        <v/>
      </c>
      <c r="C26" t="inlineStr">
        <is>
          <t>mg</t>
        </is>
      </c>
    </row>
    <row r="27">
      <c r="A27" t="inlineStr">
        <is>
          <t>Zinc, Zn</t>
        </is>
      </c>
      <c r="B27">
        <f>Ingredientes!AF11</f>
        <v/>
      </c>
      <c r="C27" t="inlineStr">
        <is>
          <t>mg</t>
        </is>
      </c>
    </row>
    <row r="28">
      <c r="A28" t="inlineStr">
        <is>
          <t>Copper, Cu</t>
        </is>
      </c>
      <c r="B28">
        <f>Ingredientes!AG11</f>
        <v/>
      </c>
      <c r="C28" t="inlineStr">
        <is>
          <t>mg</t>
        </is>
      </c>
    </row>
    <row r="29">
      <c r="A29" t="inlineStr">
        <is>
          <t>Manganese, Mn</t>
        </is>
      </c>
      <c r="B29">
        <f>Ingredientes!AH11</f>
        <v/>
      </c>
      <c r="C29" t="inlineStr">
        <is>
          <t>mg</t>
        </is>
      </c>
    </row>
    <row r="30">
      <c r="A30" t="inlineStr">
        <is>
          <t>Iodine, I</t>
        </is>
      </c>
      <c r="B30">
        <f>Ingredientes!AI11</f>
        <v/>
      </c>
      <c r="C30" t="inlineStr">
        <is>
          <t>μg</t>
        </is>
      </c>
    </row>
    <row r="31">
      <c r="A31" t="inlineStr">
        <is>
          <t>Selenium, Se</t>
        </is>
      </c>
      <c r="B31">
        <f>Ingredientes!AJ11</f>
        <v/>
      </c>
      <c r="C31" t="inlineStr">
        <is>
          <t>μg</t>
        </is>
      </c>
    </row>
    <row r="32">
      <c r="A32" t="inlineStr">
        <is>
          <t>Fluoride, F</t>
        </is>
      </c>
      <c r="B32">
        <f>Ingredientes!AK11</f>
        <v/>
      </c>
      <c r="C32" t="inlineStr">
        <is>
          <t>μg</t>
        </is>
      </c>
    </row>
    <row r="33">
      <c r="A33" t="inlineStr">
        <is>
          <t>Thiamin</t>
        </is>
      </c>
      <c r="B33">
        <f>Ingredientes!AL11</f>
        <v/>
      </c>
      <c r="C33" t="inlineStr">
        <is>
          <t>mg</t>
        </is>
      </c>
    </row>
    <row r="34">
      <c r="A34" t="inlineStr">
        <is>
          <t>Riboflavin</t>
        </is>
      </c>
      <c r="B34">
        <f>Ingredientes!AM11</f>
        <v/>
      </c>
      <c r="C34" t="inlineStr">
        <is>
          <t>mg</t>
        </is>
      </c>
    </row>
    <row r="35">
      <c r="A35" t="inlineStr">
        <is>
          <t>Niacin</t>
        </is>
      </c>
      <c r="B35">
        <f>Ingredientes!AN11</f>
        <v/>
      </c>
      <c r="C35" t="inlineStr">
        <is>
          <t>mg</t>
        </is>
      </c>
    </row>
    <row r="36">
      <c r="A36" t="inlineStr">
        <is>
          <t>Vitamin B-6</t>
        </is>
      </c>
      <c r="B36">
        <f>Ingredientes!AO11</f>
        <v/>
      </c>
      <c r="C36" t="inlineStr">
        <is>
          <t>mg</t>
        </is>
      </c>
    </row>
    <row r="37">
      <c r="A37" t="inlineStr">
        <is>
          <t>Folate, total</t>
        </is>
      </c>
      <c r="B37">
        <f>Ingredientes!AP11</f>
        <v/>
      </c>
      <c r="C37" t="inlineStr">
        <is>
          <t>μg</t>
        </is>
      </c>
    </row>
    <row r="38">
      <c r="A38" t="inlineStr">
        <is>
          <t>Folic acid</t>
        </is>
      </c>
      <c r="B38">
        <f>Ingredientes!AQ11</f>
        <v/>
      </c>
      <c r="C38" t="inlineStr">
        <is>
          <t>μg</t>
        </is>
      </c>
    </row>
    <row r="39">
      <c r="A39" t="inlineStr">
        <is>
          <t>Folate, DFE</t>
        </is>
      </c>
      <c r="B39">
        <f>Ingredientes!AR11</f>
        <v/>
      </c>
      <c r="C39" t="inlineStr">
        <is>
          <t>μg</t>
        </is>
      </c>
    </row>
    <row r="40">
      <c r="A40" t="inlineStr">
        <is>
          <t>Choline, total</t>
        </is>
      </c>
      <c r="B40">
        <f>Ingredientes!AS11</f>
        <v/>
      </c>
      <c r="C40" t="inlineStr">
        <is>
          <t>mg</t>
        </is>
      </c>
    </row>
    <row r="41">
      <c r="A41" t="inlineStr">
        <is>
          <t>Vitamin B-12</t>
        </is>
      </c>
      <c r="B41">
        <f>Ingredientes!AT11</f>
        <v/>
      </c>
      <c r="C41" t="inlineStr">
        <is>
          <t>μg</t>
        </is>
      </c>
    </row>
    <row r="42">
      <c r="A42" t="inlineStr">
        <is>
          <t>Vitamin A, RAE</t>
        </is>
      </c>
      <c r="B42">
        <f>Ingredientes!AU11</f>
        <v/>
      </c>
      <c r="C42" t="inlineStr">
        <is>
          <t>μg</t>
        </is>
      </c>
    </row>
    <row r="43">
      <c r="A43" t="inlineStr">
        <is>
          <t>Vitamin A, IU</t>
        </is>
      </c>
      <c r="B43">
        <f>Ingredientes!AV11</f>
        <v/>
      </c>
      <c r="C43" t="inlineStr">
        <is>
          <t>iu</t>
        </is>
      </c>
    </row>
    <row r="44">
      <c r="A44" t="inlineStr">
        <is>
          <t>Vitamin D (D2 + D3)</t>
        </is>
      </c>
      <c r="B44">
        <f>Ingredientes!AW11</f>
        <v/>
      </c>
      <c r="C44" t="inlineStr">
        <is>
          <t>μg</t>
        </is>
      </c>
    </row>
    <row r="45">
      <c r="A45" t="inlineStr">
        <is>
          <t>Vitamin K (phylloquinone)</t>
        </is>
      </c>
      <c r="B45">
        <f>Ingredientes!AX11</f>
        <v/>
      </c>
      <c r="C45" t="inlineStr">
        <is>
          <t>μg</t>
        </is>
      </c>
    </row>
    <row r="46">
      <c r="A46" t="inlineStr">
        <is>
          <t>Vitamin E (alpha-tocopherol)</t>
        </is>
      </c>
      <c r="B46">
        <f>Ingredientes!AY11</f>
        <v/>
      </c>
      <c r="C46" t="inlineStr">
        <is>
          <t>mg</t>
        </is>
      </c>
    </row>
    <row r="47">
      <c r="A47" t="inlineStr">
        <is>
          <t>Vitamin C, total ascorbic acid</t>
        </is>
      </c>
      <c r="B47">
        <f>Ingredientes!AZ11</f>
        <v/>
      </c>
      <c r="C47" t="inlineStr">
        <is>
          <t>mg</t>
        </is>
      </c>
    </row>
    <row r="48">
      <c r="A48" t="inlineStr">
        <is>
          <t>Pantothenic acid</t>
        </is>
      </c>
      <c r="B48">
        <f>Ingredientes!BA11</f>
        <v/>
      </c>
      <c r="C48" t="inlineStr">
        <is>
          <t>mg</t>
        </is>
      </c>
    </row>
    <row r="49">
      <c r="A49" t="inlineStr">
        <is>
          <t>Caffeine</t>
        </is>
      </c>
      <c r="B49">
        <f>Ingredientes!BB11</f>
        <v/>
      </c>
      <c r="C49" t="inlineStr">
        <is>
          <t>mg</t>
        </is>
      </c>
    </row>
    <row r="50">
      <c r="A50" t="inlineStr">
        <is>
          <t>Theobromine</t>
        </is>
      </c>
      <c r="B50">
        <f>Ingredientes!BC11</f>
        <v/>
      </c>
      <c r="C50" t="inlineStr">
        <is>
          <t>mg</t>
        </is>
      </c>
    </row>
    <row r="51">
      <c r="A51" t="inlineStr">
        <is>
          <t>Retinol</t>
        </is>
      </c>
      <c r="B51">
        <f>Ingredientes!BD11</f>
        <v/>
      </c>
      <c r="C51" t="inlineStr">
        <is>
          <t>μg</t>
        </is>
      </c>
    </row>
    <row r="52">
      <c r="A52" t="inlineStr">
        <is>
          <t>Carotene, beta</t>
        </is>
      </c>
      <c r="B52">
        <f>Ingredientes!BE11</f>
        <v/>
      </c>
      <c r="C52" t="inlineStr">
        <is>
          <t>μg</t>
        </is>
      </c>
    </row>
    <row r="53">
      <c r="A53" t="inlineStr">
        <is>
          <t>cis-beta-Carotene</t>
        </is>
      </c>
      <c r="B53">
        <f>Ingredientes!BF11</f>
        <v/>
      </c>
      <c r="C53" t="inlineStr">
        <is>
          <t>μg</t>
        </is>
      </c>
    </row>
    <row r="54">
      <c r="A54" t="inlineStr">
        <is>
          <t>trans-beta-Carotene</t>
        </is>
      </c>
      <c r="B54">
        <f>Ingredientes!BG11</f>
        <v/>
      </c>
      <c r="C54" t="inlineStr">
        <is>
          <t>μg</t>
        </is>
      </c>
    </row>
    <row r="55">
      <c r="A55" t="inlineStr">
        <is>
          <t>Carotene, alpha</t>
        </is>
      </c>
      <c r="B55">
        <f>Ingredientes!BH11</f>
        <v/>
      </c>
      <c r="C55" t="inlineStr">
        <is>
          <t>μg</t>
        </is>
      </c>
    </row>
    <row r="56">
      <c r="A56" t="inlineStr">
        <is>
          <t>Vitamin D (D2 + D3), International Units</t>
        </is>
      </c>
      <c r="B56">
        <f>Ingredientes!BI11</f>
        <v/>
      </c>
      <c r="C56" t="inlineStr">
        <is>
          <t>iu</t>
        </is>
      </c>
    </row>
    <row r="57">
      <c r="A57" t="inlineStr">
        <is>
          <t>Vitamin D2 (ergocalciferol)</t>
        </is>
      </c>
      <c r="B57">
        <f>Ingredientes!BJ11</f>
        <v/>
      </c>
      <c r="C57" t="inlineStr">
        <is>
          <t>μg</t>
        </is>
      </c>
    </row>
    <row r="58">
      <c r="A58" t="inlineStr">
        <is>
          <t>Vitamin D3 (cholecalciferol)</t>
        </is>
      </c>
      <c r="B58">
        <f>Ingredientes!BK11</f>
        <v/>
      </c>
      <c r="C58" t="inlineStr">
        <is>
          <t>μg</t>
        </is>
      </c>
    </row>
    <row r="59">
      <c r="A59" t="inlineStr">
        <is>
          <t>Lycopene</t>
        </is>
      </c>
      <c r="B59">
        <f>Ingredientes!BL11</f>
        <v/>
      </c>
      <c r="C59" t="inlineStr">
        <is>
          <t>μg</t>
        </is>
      </c>
    </row>
    <row r="60">
      <c r="A60" t="inlineStr">
        <is>
          <t>cis-Lycopene</t>
        </is>
      </c>
      <c r="B60">
        <f>Ingredientes!BM11</f>
        <v/>
      </c>
      <c r="C60" t="inlineStr">
        <is>
          <t>μg</t>
        </is>
      </c>
    </row>
    <row r="61">
      <c r="A61" t="inlineStr">
        <is>
          <t>trans-Lycopene</t>
        </is>
      </c>
      <c r="B61">
        <f>Ingredientes!BN11</f>
        <v/>
      </c>
      <c r="C61" t="inlineStr">
        <is>
          <t>μg</t>
        </is>
      </c>
    </row>
    <row r="62">
      <c r="A62" t="inlineStr">
        <is>
          <t>Lutein + zeaxanthin</t>
        </is>
      </c>
      <c r="B62">
        <f>Ingredientes!BO11</f>
        <v/>
      </c>
      <c r="C62" t="inlineStr">
        <is>
          <t>μg</t>
        </is>
      </c>
    </row>
    <row r="63">
      <c r="A63" t="inlineStr">
        <is>
          <t>Lutein</t>
        </is>
      </c>
      <c r="B63">
        <f>Ingredientes!BP11</f>
        <v/>
      </c>
      <c r="C63" t="inlineStr">
        <is>
          <t>μg</t>
        </is>
      </c>
    </row>
    <row r="64">
      <c r="A64" t="inlineStr">
        <is>
          <t>Zeaxanthin</t>
        </is>
      </c>
      <c r="B64">
        <f>Ingredientes!BQ11</f>
        <v/>
      </c>
      <c r="C64" t="inlineStr">
        <is>
          <t>μg</t>
        </is>
      </c>
    </row>
    <row r="65">
      <c r="A65" t="inlineStr">
        <is>
          <t>cis-Lutein/Zeaxanthin</t>
        </is>
      </c>
      <c r="B65">
        <f>Ingredientes!BR11</f>
        <v/>
      </c>
      <c r="C65" t="inlineStr">
        <is>
          <t>μg</t>
        </is>
      </c>
    </row>
    <row r="66">
      <c r="A66" t="inlineStr">
        <is>
          <t>Tocopherol, beta</t>
        </is>
      </c>
      <c r="B66">
        <f>Ingredientes!BS11</f>
        <v/>
      </c>
      <c r="C66" t="inlineStr">
        <is>
          <t>mg</t>
        </is>
      </c>
    </row>
    <row r="67">
      <c r="A67" t="inlineStr">
        <is>
          <t>Tocopherol, gamma</t>
        </is>
      </c>
      <c r="B67">
        <f>Ingredientes!BT11</f>
        <v/>
      </c>
      <c r="C67" t="inlineStr">
        <is>
          <t>mg</t>
        </is>
      </c>
    </row>
    <row r="68">
      <c r="A68" t="inlineStr">
        <is>
          <t>Tocopherol, delta</t>
        </is>
      </c>
      <c r="B68">
        <f>Ingredientes!BU11</f>
        <v/>
      </c>
      <c r="C68" t="inlineStr">
        <is>
          <t>mg</t>
        </is>
      </c>
    </row>
    <row r="69">
      <c r="A69" t="inlineStr">
        <is>
          <t>Tocotrienol, alpha</t>
        </is>
      </c>
      <c r="B69">
        <f>Ingredientes!BV11</f>
        <v/>
      </c>
      <c r="C69" t="inlineStr">
        <is>
          <t>mg</t>
        </is>
      </c>
    </row>
    <row r="70">
      <c r="A70" t="inlineStr">
        <is>
          <t>Tocotrienol, beta</t>
        </is>
      </c>
      <c r="B70">
        <f>Ingredientes!BW11</f>
        <v/>
      </c>
      <c r="C70" t="inlineStr">
        <is>
          <t>mg</t>
        </is>
      </c>
    </row>
    <row r="71">
      <c r="A71" t="inlineStr">
        <is>
          <t>Tocotrienol, gamma</t>
        </is>
      </c>
      <c r="B71">
        <f>Ingredientes!BX11</f>
        <v/>
      </c>
      <c r="C71" t="inlineStr">
        <is>
          <t>mg</t>
        </is>
      </c>
    </row>
    <row r="72">
      <c r="A72" t="inlineStr">
        <is>
          <t>Tocotrienol, delta</t>
        </is>
      </c>
      <c r="B72">
        <f>Ingredientes!BY11</f>
        <v/>
      </c>
      <c r="C72" t="inlineStr">
        <is>
          <t>mg</t>
        </is>
      </c>
    </row>
    <row r="73">
      <c r="A73" t="inlineStr">
        <is>
          <t>Vitamin K (Menaquinone-4)</t>
        </is>
      </c>
      <c r="B73">
        <f>Ingredientes!BZ11</f>
        <v/>
      </c>
      <c r="C73" t="inlineStr">
        <is>
          <t>μg</t>
        </is>
      </c>
    </row>
    <row r="74">
      <c r="A74" t="inlineStr">
        <is>
          <t>Vitamin K (Dihydrophylloquinone)</t>
        </is>
      </c>
      <c r="B74">
        <f>Ingredientes!CA11</f>
        <v/>
      </c>
      <c r="C74" t="inlineStr">
        <is>
          <t>μg</t>
        </is>
      </c>
    </row>
    <row r="75">
      <c r="A75" t="inlineStr">
        <is>
          <t>Folate, food</t>
        </is>
      </c>
      <c r="B75">
        <f>Ingredientes!CB11</f>
        <v/>
      </c>
      <c r="C75" t="inlineStr">
        <is>
          <t>μg</t>
        </is>
      </c>
    </row>
    <row r="76">
      <c r="A76" t="inlineStr">
        <is>
          <t>Choline, free</t>
        </is>
      </c>
      <c r="B76">
        <f>Ingredientes!CC11</f>
        <v/>
      </c>
      <c r="C76" t="inlineStr">
        <is>
          <t>mg</t>
        </is>
      </c>
    </row>
    <row r="77">
      <c r="A77" t="inlineStr">
        <is>
          <t>Choline, from phosphocholine</t>
        </is>
      </c>
      <c r="B77">
        <f>Ingredientes!CD11</f>
        <v/>
      </c>
      <c r="C77" t="inlineStr">
        <is>
          <t>mg</t>
        </is>
      </c>
    </row>
    <row r="78">
      <c r="A78" t="inlineStr">
        <is>
          <t>Choline, from phosphatidyl choline</t>
        </is>
      </c>
      <c r="B78">
        <f>Ingredientes!CE11</f>
        <v/>
      </c>
      <c r="C78" t="inlineStr">
        <is>
          <t>mg</t>
        </is>
      </c>
    </row>
    <row r="79">
      <c r="A79" t="inlineStr">
        <is>
          <t>Choline, from glycerophosphocholine</t>
        </is>
      </c>
      <c r="B79">
        <f>Ingredientes!CF11</f>
        <v/>
      </c>
      <c r="C79" t="inlineStr">
        <is>
          <t>mg</t>
        </is>
      </c>
    </row>
    <row r="80">
      <c r="A80" t="inlineStr">
        <is>
          <t>Betaine</t>
        </is>
      </c>
      <c r="B80">
        <f>Ingredientes!CG11</f>
        <v/>
      </c>
      <c r="C80" t="inlineStr">
        <is>
          <t>mg</t>
        </is>
      </c>
    </row>
    <row r="81">
      <c r="A81" t="inlineStr">
        <is>
          <t>Choline, from sphingomyelin</t>
        </is>
      </c>
      <c r="B81">
        <f>Ingredientes!CH11</f>
        <v/>
      </c>
      <c r="C81" t="inlineStr">
        <is>
          <t>mg</t>
        </is>
      </c>
    </row>
    <row r="82">
      <c r="A82" t="inlineStr">
        <is>
          <t>Vitamin E, added</t>
        </is>
      </c>
      <c r="B82">
        <f>Ingredientes!CI11</f>
        <v/>
      </c>
      <c r="C82" t="inlineStr">
        <is>
          <t>mg</t>
        </is>
      </c>
    </row>
    <row r="83">
      <c r="A83" t="inlineStr">
        <is>
          <t>Vitamin B-12, added</t>
        </is>
      </c>
      <c r="B83">
        <f>Ingredientes!CJ11</f>
        <v/>
      </c>
      <c r="C83" t="inlineStr">
        <is>
          <t>μg</t>
        </is>
      </c>
    </row>
    <row r="84">
      <c r="A84" t="inlineStr">
        <is>
          <t>Fatty acids, total saturated</t>
        </is>
      </c>
      <c r="B84">
        <f>Ingredientes!CK11</f>
        <v/>
      </c>
      <c r="C84" t="inlineStr">
        <is>
          <t>g</t>
        </is>
      </c>
    </row>
    <row r="85">
      <c r="A85" t="inlineStr">
        <is>
          <t>Fatty acids, total monounsaturated</t>
        </is>
      </c>
      <c r="B85">
        <f>Ingredientes!CL11</f>
        <v/>
      </c>
      <c r="C85" t="inlineStr">
        <is>
          <t>g</t>
        </is>
      </c>
    </row>
    <row r="86">
      <c r="A86" t="inlineStr">
        <is>
          <t>Fatty acids, total polyunsaturated</t>
        </is>
      </c>
      <c r="B86">
        <f>Ingredientes!CM11</f>
        <v/>
      </c>
      <c r="C86" t="inlineStr">
        <is>
          <t>g</t>
        </is>
      </c>
    </row>
    <row r="87">
      <c r="A87" t="inlineStr">
        <is>
          <t>Fatty acids, total trans</t>
        </is>
      </c>
      <c r="B87">
        <f>Ingredientes!CN11</f>
        <v/>
      </c>
      <c r="C87" t="inlineStr">
        <is>
          <t>g</t>
        </is>
      </c>
    </row>
    <row r="88">
      <c r="A88" t="inlineStr">
        <is>
          <t>Cholesterol</t>
        </is>
      </c>
      <c r="B88">
        <f>Ingredientes!CO11</f>
        <v/>
      </c>
      <c r="C88" t="inlineStr">
        <is>
          <t>mg</t>
        </is>
      </c>
    </row>
    <row r="89">
      <c r="A89" t="inlineStr">
        <is>
          <t>SFA 4:0</t>
        </is>
      </c>
      <c r="B89">
        <f>Ingredientes!CP11</f>
        <v/>
      </c>
      <c r="C89" t="inlineStr">
        <is>
          <t>g</t>
        </is>
      </c>
    </row>
    <row r="90">
      <c r="A90" t="inlineStr">
        <is>
          <t>SFA 6:0</t>
        </is>
      </c>
      <c r="B90">
        <f>Ingredientes!CQ11</f>
        <v/>
      </c>
      <c r="C90" t="inlineStr">
        <is>
          <t>g</t>
        </is>
      </c>
    </row>
    <row r="91">
      <c r="A91" t="inlineStr">
        <is>
          <t>SFA 8:0</t>
        </is>
      </c>
      <c r="B91">
        <f>Ingredientes!CR11</f>
        <v/>
      </c>
      <c r="C91" t="inlineStr">
        <is>
          <t>g</t>
        </is>
      </c>
    </row>
    <row r="92">
      <c r="A92" t="inlineStr">
        <is>
          <t>SFA 10:0</t>
        </is>
      </c>
      <c r="B92">
        <f>Ingredientes!CS11</f>
        <v/>
      </c>
      <c r="C92" t="inlineStr">
        <is>
          <t>g</t>
        </is>
      </c>
    </row>
    <row r="93">
      <c r="A93" t="inlineStr">
        <is>
          <t>SFA 12:0</t>
        </is>
      </c>
      <c r="B93">
        <f>Ingredientes!CT11</f>
        <v/>
      </c>
      <c r="C93" t="inlineStr">
        <is>
          <t>g</t>
        </is>
      </c>
    </row>
    <row r="94">
      <c r="A94" t="inlineStr">
        <is>
          <t>SFA 14:0</t>
        </is>
      </c>
      <c r="B94">
        <f>Ingredientes!CU11</f>
        <v/>
      </c>
      <c r="C94" t="inlineStr">
        <is>
          <t>g</t>
        </is>
      </c>
    </row>
    <row r="95">
      <c r="A95" t="inlineStr">
        <is>
          <t>SFA 16:0</t>
        </is>
      </c>
      <c r="B95">
        <f>Ingredientes!CV11</f>
        <v/>
      </c>
      <c r="C95" t="inlineStr">
        <is>
          <t>g</t>
        </is>
      </c>
    </row>
    <row r="96">
      <c r="A96" t="inlineStr">
        <is>
          <t>SFA 18:0</t>
        </is>
      </c>
      <c r="B96">
        <f>Ingredientes!CW11</f>
        <v/>
      </c>
      <c r="C96" t="inlineStr">
        <is>
          <t>g</t>
        </is>
      </c>
    </row>
    <row r="97">
      <c r="A97" t="inlineStr">
        <is>
          <t>SFA 20:0</t>
        </is>
      </c>
      <c r="B97">
        <f>Ingredientes!CX11</f>
        <v/>
      </c>
      <c r="C97" t="inlineStr">
        <is>
          <t>g</t>
        </is>
      </c>
    </row>
    <row r="98">
      <c r="A98" t="inlineStr">
        <is>
          <t>MUFA 18:1</t>
        </is>
      </c>
      <c r="B98">
        <f>Ingredientes!CY11</f>
        <v/>
      </c>
      <c r="C98" t="inlineStr">
        <is>
          <t>g</t>
        </is>
      </c>
    </row>
    <row r="99">
      <c r="A99" t="inlineStr">
        <is>
          <t>PUFA 18:2</t>
        </is>
      </c>
      <c r="B99">
        <f>Ingredientes!CZ11</f>
        <v/>
      </c>
      <c r="C99" t="inlineStr">
        <is>
          <t>g</t>
        </is>
      </c>
    </row>
    <row r="100">
      <c r="A100" t="inlineStr">
        <is>
          <t>PUFA 18:3</t>
        </is>
      </c>
      <c r="B100">
        <f>Ingredientes!DA11</f>
        <v/>
      </c>
      <c r="C100" t="inlineStr">
        <is>
          <t>g</t>
        </is>
      </c>
    </row>
    <row r="101">
      <c r="A101" t="inlineStr">
        <is>
          <t>PUFA 20:4</t>
        </is>
      </c>
      <c r="B101">
        <f>Ingredientes!DB11</f>
        <v/>
      </c>
      <c r="C101" t="inlineStr">
        <is>
          <t>g</t>
        </is>
      </c>
    </row>
    <row r="102">
      <c r="A102" t="inlineStr">
        <is>
          <t>PUFA 22:6 n-3 (DHA)</t>
        </is>
      </c>
      <c r="B102">
        <f>Ingredientes!DC11</f>
        <v/>
      </c>
      <c r="C102" t="inlineStr">
        <is>
          <t>g</t>
        </is>
      </c>
    </row>
    <row r="103">
      <c r="A103" t="inlineStr">
        <is>
          <t>SFA 22:0</t>
        </is>
      </c>
      <c r="B103">
        <f>Ingredientes!DD11</f>
        <v/>
      </c>
      <c r="C103" t="inlineStr">
        <is>
          <t>g</t>
        </is>
      </c>
    </row>
    <row r="104">
      <c r="A104" t="inlineStr">
        <is>
          <t>MUFA 14:1</t>
        </is>
      </c>
      <c r="B104">
        <f>Ingredientes!DE11</f>
        <v/>
      </c>
      <c r="C104" t="inlineStr">
        <is>
          <t>g</t>
        </is>
      </c>
    </row>
    <row r="105">
      <c r="A105" t="inlineStr">
        <is>
          <t>MUFA 16:1</t>
        </is>
      </c>
      <c r="B105">
        <f>Ingredientes!DF11</f>
        <v/>
      </c>
      <c r="C105" t="inlineStr">
        <is>
          <t>g</t>
        </is>
      </c>
    </row>
    <row r="106">
      <c r="A106" t="inlineStr">
        <is>
          <t>PUFA 18:4</t>
        </is>
      </c>
      <c r="B106">
        <f>Ingredientes!DG11</f>
        <v/>
      </c>
      <c r="C106" t="inlineStr">
        <is>
          <t>g</t>
        </is>
      </c>
    </row>
    <row r="107">
      <c r="A107" t="inlineStr">
        <is>
          <t>MUFA 20:1</t>
        </is>
      </c>
      <c r="B107">
        <f>Ingredientes!DH11</f>
        <v/>
      </c>
      <c r="C107" t="inlineStr">
        <is>
          <t>g</t>
        </is>
      </c>
    </row>
    <row r="108">
      <c r="A108" t="inlineStr">
        <is>
          <t>PUFA 20:5 n-3 (EPA)</t>
        </is>
      </c>
      <c r="B108">
        <f>Ingredientes!DI11</f>
        <v/>
      </c>
      <c r="C108" t="inlineStr">
        <is>
          <t>g</t>
        </is>
      </c>
    </row>
    <row r="109">
      <c r="A109" t="inlineStr">
        <is>
          <t>MUFA 22:1</t>
        </is>
      </c>
      <c r="B109">
        <f>Ingredientes!DJ11</f>
        <v/>
      </c>
      <c r="C109" t="inlineStr">
        <is>
          <t>g</t>
        </is>
      </c>
    </row>
    <row r="110">
      <c r="A110" t="inlineStr">
        <is>
          <t>PUFA 22:5 n-3 (DPA)</t>
        </is>
      </c>
      <c r="B110">
        <f>Ingredientes!DK11</f>
        <v/>
      </c>
      <c r="C110" t="inlineStr">
        <is>
          <t>g</t>
        </is>
      </c>
    </row>
    <row r="111">
      <c r="A111" t="inlineStr">
        <is>
          <t>SFA 5:0</t>
        </is>
      </c>
      <c r="B111">
        <f>Ingredientes!DL11</f>
        <v/>
      </c>
      <c r="C111" t="inlineStr">
        <is>
          <t>g</t>
        </is>
      </c>
    </row>
    <row r="112">
      <c r="A112" t="inlineStr">
        <is>
          <t>SFA 7:0</t>
        </is>
      </c>
      <c r="B112">
        <f>Ingredientes!DM11</f>
        <v/>
      </c>
      <c r="C112" t="inlineStr">
        <is>
          <t>g</t>
        </is>
      </c>
    </row>
    <row r="113">
      <c r="A113" t="inlineStr">
        <is>
          <t>SFA 9:0</t>
        </is>
      </c>
      <c r="B113">
        <f>Ingredientes!DN11</f>
        <v/>
      </c>
      <c r="C113" t="inlineStr">
        <is>
          <t>g</t>
        </is>
      </c>
    </row>
    <row r="114">
      <c r="A114" t="inlineStr">
        <is>
          <t>MUFA 12:1</t>
        </is>
      </c>
      <c r="B114">
        <f>Ingredientes!DO11</f>
        <v/>
      </c>
      <c r="C114" t="inlineStr">
        <is>
          <t>g</t>
        </is>
      </c>
    </row>
    <row r="115">
      <c r="A115" t="inlineStr">
        <is>
          <t>SFA 15:0</t>
        </is>
      </c>
      <c r="B115">
        <f>Ingredientes!DP11</f>
        <v/>
      </c>
      <c r="C115" t="inlineStr">
        <is>
          <t>g</t>
        </is>
      </c>
    </row>
    <row r="116">
      <c r="A116" t="inlineStr">
        <is>
          <t>SFA 17:0</t>
        </is>
      </c>
      <c r="B116">
        <f>Ingredientes!DQ11</f>
        <v/>
      </c>
      <c r="C116" t="inlineStr">
        <is>
          <t>g</t>
        </is>
      </c>
    </row>
    <row r="117">
      <c r="A117" t="inlineStr">
        <is>
          <t>SFA 24:0</t>
        </is>
      </c>
      <c r="B117">
        <f>Ingredientes!DR11</f>
        <v/>
      </c>
      <c r="C117" t="inlineStr">
        <is>
          <t>g</t>
        </is>
      </c>
    </row>
    <row r="118">
      <c r="A118" t="inlineStr">
        <is>
          <t>TFA 16:1 t</t>
        </is>
      </c>
      <c r="B118">
        <f>Ingredientes!DS11</f>
        <v/>
      </c>
      <c r="C118" t="inlineStr">
        <is>
          <t>g</t>
        </is>
      </c>
    </row>
    <row r="119">
      <c r="A119" t="inlineStr">
        <is>
          <t>TFA 18:1 t</t>
        </is>
      </c>
      <c r="B119">
        <f>Ingredientes!DT11</f>
        <v/>
      </c>
      <c r="C119" t="inlineStr">
        <is>
          <t>g</t>
        </is>
      </c>
    </row>
    <row r="120">
      <c r="A120" t="inlineStr">
        <is>
          <t>TFA 22:1 t</t>
        </is>
      </c>
      <c r="B120">
        <f>Ingredientes!DU11</f>
        <v/>
      </c>
      <c r="C120" t="inlineStr">
        <is>
          <t>g</t>
        </is>
      </c>
    </row>
    <row r="121">
      <c r="A121" t="inlineStr">
        <is>
          <t>TFA 18:2 t not further defined</t>
        </is>
      </c>
      <c r="B121">
        <f>Ingredientes!DV11</f>
        <v/>
      </c>
      <c r="C121" t="inlineStr">
        <is>
          <t>g</t>
        </is>
      </c>
    </row>
    <row r="122">
      <c r="A122" t="inlineStr">
        <is>
          <t>TFA 18:2 t,t</t>
        </is>
      </c>
      <c r="B122">
        <f>Ingredientes!DW11</f>
        <v/>
      </c>
      <c r="C122" t="inlineStr">
        <is>
          <t>g</t>
        </is>
      </c>
    </row>
    <row r="123">
      <c r="A123" t="inlineStr">
        <is>
          <t>PUFA 18:2 CLAs</t>
        </is>
      </c>
      <c r="B123">
        <f>Ingredientes!DX11</f>
        <v/>
      </c>
      <c r="C123" t="inlineStr">
        <is>
          <t>g</t>
        </is>
      </c>
    </row>
    <row r="124">
      <c r="A124" t="inlineStr">
        <is>
          <t>MUFA 24:1 c</t>
        </is>
      </c>
      <c r="B124">
        <f>Ingredientes!DY11</f>
        <v/>
      </c>
      <c r="C124" t="inlineStr">
        <is>
          <t>g</t>
        </is>
      </c>
    </row>
    <row r="125">
      <c r="A125" t="inlineStr">
        <is>
          <t>PUFA 20:2 n-6 c,c</t>
        </is>
      </c>
      <c r="B125">
        <f>Ingredientes!DZ11</f>
        <v/>
      </c>
      <c r="C125" t="inlineStr">
        <is>
          <t>g</t>
        </is>
      </c>
    </row>
    <row r="126">
      <c r="A126" t="inlineStr">
        <is>
          <t>MUFA 16:1 c</t>
        </is>
      </c>
      <c r="B126">
        <f>Ingredientes!EA11</f>
        <v/>
      </c>
      <c r="C126" t="inlineStr">
        <is>
          <t>g</t>
        </is>
      </c>
    </row>
    <row r="127">
      <c r="A127" t="inlineStr">
        <is>
          <t>MUFA 18:1 c</t>
        </is>
      </c>
      <c r="B127">
        <f>Ingredientes!EB11</f>
        <v/>
      </c>
      <c r="C127" t="inlineStr">
        <is>
          <t>g</t>
        </is>
      </c>
    </row>
    <row r="128">
      <c r="A128" t="inlineStr">
        <is>
          <t>PUFA 18:2 n-6 c,c</t>
        </is>
      </c>
      <c r="B128">
        <f>Ingredientes!EC11</f>
        <v/>
      </c>
      <c r="C128" t="inlineStr">
        <is>
          <t>g</t>
        </is>
      </c>
    </row>
    <row r="129">
      <c r="A129" t="inlineStr">
        <is>
          <t>MUFA 22:1 c</t>
        </is>
      </c>
      <c r="B129">
        <f>Ingredientes!ED11</f>
        <v/>
      </c>
      <c r="C129" t="inlineStr">
        <is>
          <t>g</t>
        </is>
      </c>
    </row>
    <row r="130">
      <c r="A130" t="inlineStr">
        <is>
          <t>MUFA 22:1 n-9</t>
        </is>
      </c>
      <c r="B130">
        <f>Ingredientes!EE11</f>
        <v/>
      </c>
      <c r="C130" t="inlineStr">
        <is>
          <t>g</t>
        </is>
      </c>
    </row>
    <row r="131">
      <c r="A131" t="inlineStr">
        <is>
          <t>MUFA 22:1 n-11</t>
        </is>
      </c>
      <c r="B131">
        <f>Ingredientes!EF11</f>
        <v/>
      </c>
      <c r="C131" t="inlineStr">
        <is>
          <t>g</t>
        </is>
      </c>
    </row>
    <row r="132">
      <c r="A132" t="inlineStr">
        <is>
          <t>SFA 21:0</t>
        </is>
      </c>
      <c r="B132">
        <f>Ingredientes!EG11</f>
        <v/>
      </c>
      <c r="C132" t="inlineStr">
        <is>
          <t>g</t>
        </is>
      </c>
    </row>
    <row r="133">
      <c r="A133" t="inlineStr">
        <is>
          <t>SFA 23:0</t>
        </is>
      </c>
      <c r="B133">
        <f>Ingredientes!EH11</f>
        <v/>
      </c>
      <c r="C133" t="inlineStr">
        <is>
          <t>g</t>
        </is>
      </c>
    </row>
    <row r="134">
      <c r="A134" t="inlineStr">
        <is>
          <t>PUFA 22:3</t>
        </is>
      </c>
      <c r="B134">
        <f>Ingredientes!EI11</f>
        <v/>
      </c>
      <c r="C134" t="inlineStr">
        <is>
          <t>g</t>
        </is>
      </c>
    </row>
    <row r="135">
      <c r="A135" t="inlineStr">
        <is>
          <t>PUFA 18:3 n-6 c,c,c</t>
        </is>
      </c>
      <c r="B135">
        <f>Ingredientes!EJ11</f>
        <v/>
      </c>
      <c r="C135" t="inlineStr">
        <is>
          <t>g</t>
        </is>
      </c>
    </row>
    <row r="136">
      <c r="A136" t="inlineStr">
        <is>
          <t>MUFA 17:1</t>
        </is>
      </c>
      <c r="B136">
        <f>Ingredientes!EK11</f>
        <v/>
      </c>
      <c r="C136" t="inlineStr">
        <is>
          <t>g</t>
        </is>
      </c>
    </row>
    <row r="137">
      <c r="A137" t="inlineStr">
        <is>
          <t>PUFA 20:3</t>
        </is>
      </c>
      <c r="B137">
        <f>Ingredientes!EL11</f>
        <v/>
      </c>
      <c r="C137" t="inlineStr">
        <is>
          <t>g</t>
        </is>
      </c>
    </row>
    <row r="138">
      <c r="A138" t="inlineStr">
        <is>
          <t>Fatty acids, total trans-monoenoic</t>
        </is>
      </c>
      <c r="B138">
        <f>Ingredientes!EM11</f>
        <v/>
      </c>
      <c r="C138" t="inlineStr">
        <is>
          <t>g</t>
        </is>
      </c>
    </row>
    <row r="139">
      <c r="A139" t="inlineStr">
        <is>
          <t>Fatty acids, total trans-dienoic</t>
        </is>
      </c>
      <c r="B139">
        <f>Ingredientes!EN11</f>
        <v/>
      </c>
      <c r="C139" t="inlineStr">
        <is>
          <t>g</t>
        </is>
      </c>
    </row>
    <row r="140">
      <c r="A140" t="inlineStr">
        <is>
          <t>Fatty acids, total trans-polyenoic</t>
        </is>
      </c>
      <c r="B140">
        <f>Ingredientes!EO11</f>
        <v/>
      </c>
      <c r="C140" t="inlineStr">
        <is>
          <t>g</t>
        </is>
      </c>
    </row>
    <row r="141">
      <c r="A141" t="inlineStr">
        <is>
          <t>SFA 13:0</t>
        </is>
      </c>
      <c r="B141">
        <f>Ingredientes!EP11</f>
        <v/>
      </c>
      <c r="C141" t="inlineStr">
        <is>
          <t>g</t>
        </is>
      </c>
    </row>
    <row r="142">
      <c r="A142" t="inlineStr">
        <is>
          <t>MUFA 15:1</t>
        </is>
      </c>
      <c r="B142">
        <f>Ingredientes!EQ11</f>
        <v/>
      </c>
      <c r="C142" t="inlineStr">
        <is>
          <t>g</t>
        </is>
      </c>
    </row>
    <row r="143">
      <c r="A143" t="inlineStr">
        <is>
          <t>PUFA 22:2</t>
        </is>
      </c>
      <c r="B143">
        <f>Ingredientes!ER11</f>
        <v/>
      </c>
      <c r="C143" t="inlineStr">
        <is>
          <t>g</t>
        </is>
      </c>
    </row>
    <row r="144">
      <c r="A144" t="inlineStr">
        <is>
          <t>SFA 11:0</t>
        </is>
      </c>
      <c r="B144">
        <f>Ingredientes!ES11</f>
        <v/>
      </c>
      <c r="C144" t="inlineStr">
        <is>
          <t>g</t>
        </is>
      </c>
    </row>
    <row r="145">
      <c r="A145" t="inlineStr">
        <is>
          <t>TFA 14:1 t</t>
        </is>
      </c>
      <c r="B145">
        <f>Ingredientes!ET11</f>
        <v/>
      </c>
      <c r="C145" t="inlineStr">
        <is>
          <t>g</t>
        </is>
      </c>
    </row>
    <row r="146">
      <c r="A146" t="inlineStr">
        <is>
          <t>MUFA 14:1 c</t>
        </is>
      </c>
      <c r="B146">
        <f>Ingredientes!EU11</f>
        <v/>
      </c>
      <c r="C146" t="inlineStr">
        <is>
          <t>g</t>
        </is>
      </c>
    </row>
    <row r="147">
      <c r="A147" t="inlineStr">
        <is>
          <t>MUFA 17:1 c</t>
        </is>
      </c>
      <c r="B147">
        <f>Ingredientes!EV11</f>
        <v/>
      </c>
      <c r="C147" t="inlineStr">
        <is>
          <t>g</t>
        </is>
      </c>
    </row>
    <row r="148">
      <c r="A148" t="inlineStr">
        <is>
          <t>MUFA 20:1 c</t>
        </is>
      </c>
      <c r="B148">
        <f>Ingredientes!EW11</f>
        <v/>
      </c>
      <c r="C148" t="inlineStr">
        <is>
          <t>g</t>
        </is>
      </c>
    </row>
    <row r="149">
      <c r="A149" t="inlineStr">
        <is>
          <t>TFA 20:1 t</t>
        </is>
      </c>
      <c r="B149">
        <f>Ingredientes!EX11</f>
        <v/>
      </c>
      <c r="C149" t="inlineStr">
        <is>
          <t>g</t>
        </is>
      </c>
    </row>
    <row r="150">
      <c r="A150" t="inlineStr">
        <is>
          <t>PUFA 18:2 c</t>
        </is>
      </c>
      <c r="B150">
        <f>Ingredientes!EY11</f>
        <v/>
      </c>
      <c r="C150" t="inlineStr">
        <is>
          <t>g</t>
        </is>
      </c>
    </row>
    <row r="151">
      <c r="A151" t="inlineStr">
        <is>
          <t>PUFA 18:3 c</t>
        </is>
      </c>
      <c r="B151">
        <f>Ingredientes!EZ11</f>
        <v/>
      </c>
      <c r="C151" t="inlineStr">
        <is>
          <t>g</t>
        </is>
      </c>
    </row>
    <row r="152">
      <c r="A152" t="inlineStr">
        <is>
          <t>TFA 18:3 t</t>
        </is>
      </c>
      <c r="B152">
        <f>Ingredientes!FA11</f>
        <v/>
      </c>
      <c r="C152" t="inlineStr">
        <is>
          <t>g</t>
        </is>
      </c>
    </row>
    <row r="153">
      <c r="A153" t="inlineStr">
        <is>
          <t>PUFA 20:3 c</t>
        </is>
      </c>
      <c r="B153">
        <f>Ingredientes!FB11</f>
        <v/>
      </c>
      <c r="C153" t="inlineStr">
        <is>
          <t>g</t>
        </is>
      </c>
    </row>
    <row r="154">
      <c r="A154" t="inlineStr">
        <is>
          <t>PUFA 20:4c</t>
        </is>
      </c>
      <c r="B154">
        <f>Ingredientes!FC11</f>
        <v/>
      </c>
      <c r="C154" t="inlineStr">
        <is>
          <t>g</t>
        </is>
      </c>
    </row>
    <row r="155">
      <c r="A155" t="inlineStr">
        <is>
          <t>PUFA 20:5c</t>
        </is>
      </c>
      <c r="B155">
        <f>Ingredientes!FD11</f>
        <v/>
      </c>
      <c r="C155" t="inlineStr">
        <is>
          <t>g</t>
        </is>
      </c>
    </row>
    <row r="156">
      <c r="A156" t="inlineStr">
        <is>
          <t>PUFA 22:5 c</t>
        </is>
      </c>
      <c r="B156">
        <f>Ingredientes!FE11</f>
        <v/>
      </c>
      <c r="C156" t="inlineStr">
        <is>
          <t>g</t>
        </is>
      </c>
    </row>
    <row r="157">
      <c r="A157" t="inlineStr">
        <is>
          <t>PUFA 22:6 c</t>
        </is>
      </c>
      <c r="B157">
        <f>Ingredientes!FF11</f>
        <v/>
      </c>
      <c r="C157" t="inlineStr">
        <is>
          <t>g</t>
        </is>
      </c>
    </row>
    <row r="158">
      <c r="A158" t="inlineStr">
        <is>
          <t>PUFA 20:2 c</t>
        </is>
      </c>
      <c r="B158">
        <f>Ingredientes!FG11</f>
        <v/>
      </c>
      <c r="C158" t="inlineStr">
        <is>
          <t>g</t>
        </is>
      </c>
    </row>
    <row r="159">
      <c r="A159" t="inlineStr">
        <is>
          <t>PUFA 18:3 n-3 c,c,c (ALA)</t>
        </is>
      </c>
      <c r="B159">
        <f>Ingredientes!FH11</f>
        <v/>
      </c>
      <c r="C159" t="inlineStr">
        <is>
          <t>g</t>
        </is>
      </c>
    </row>
    <row r="160">
      <c r="A160" t="inlineStr">
        <is>
          <t>PUFA 20:3 n-3</t>
        </is>
      </c>
      <c r="B160">
        <f>Ingredientes!FI11</f>
        <v/>
      </c>
      <c r="C160" t="inlineStr">
        <is>
          <t>g</t>
        </is>
      </c>
    </row>
    <row r="161">
      <c r="A161" t="inlineStr">
        <is>
          <t>PUFA 20:3 n-6</t>
        </is>
      </c>
      <c r="B161">
        <f>Ingredientes!FJ11</f>
        <v/>
      </c>
      <c r="C161" t="inlineStr">
        <is>
          <t>g</t>
        </is>
      </c>
    </row>
    <row r="162">
      <c r="A162" t="inlineStr">
        <is>
          <t>PUFA 22:4</t>
        </is>
      </c>
      <c r="B162">
        <f>Ingredientes!FK11</f>
        <v/>
      </c>
      <c r="C162" t="inlineStr">
        <is>
          <t>g</t>
        </is>
      </c>
    </row>
    <row r="163">
      <c r="A163" t="inlineStr">
        <is>
          <t>PUFA 20:3 n-9</t>
        </is>
      </c>
      <c r="B163">
        <f>Ingredientes!FL11</f>
        <v/>
      </c>
      <c r="C163" t="inlineStr">
        <is>
          <t>g</t>
        </is>
      </c>
    </row>
    <row r="164">
      <c r="A164" t="inlineStr">
        <is>
          <t>Tryptophan</t>
        </is>
      </c>
      <c r="B164">
        <f>Ingredientes!FM11</f>
        <v/>
      </c>
      <c r="C164" t="inlineStr">
        <is>
          <t>g</t>
        </is>
      </c>
    </row>
    <row r="165">
      <c r="A165" t="inlineStr">
        <is>
          <t>Threonine</t>
        </is>
      </c>
      <c r="B165">
        <f>Ingredientes!FN11</f>
        <v/>
      </c>
      <c r="C165" t="inlineStr">
        <is>
          <t>g</t>
        </is>
      </c>
    </row>
    <row r="166">
      <c r="A166" t="inlineStr">
        <is>
          <t>Isoleucine</t>
        </is>
      </c>
      <c r="B166">
        <f>Ingredientes!FO11</f>
        <v/>
      </c>
      <c r="C166" t="inlineStr">
        <is>
          <t>g</t>
        </is>
      </c>
    </row>
    <row r="167">
      <c r="A167" t="inlineStr">
        <is>
          <t>Leucine</t>
        </is>
      </c>
      <c r="B167">
        <f>Ingredientes!FP11</f>
        <v/>
      </c>
      <c r="C167" t="inlineStr">
        <is>
          <t>g</t>
        </is>
      </c>
    </row>
    <row r="168">
      <c r="A168" t="inlineStr">
        <is>
          <t>Lysine</t>
        </is>
      </c>
      <c r="B168">
        <f>Ingredientes!FQ11</f>
        <v/>
      </c>
      <c r="C168" t="inlineStr">
        <is>
          <t>g</t>
        </is>
      </c>
    </row>
    <row r="169">
      <c r="A169" t="inlineStr">
        <is>
          <t>Methionine</t>
        </is>
      </c>
      <c r="B169">
        <f>Ingredientes!FR11</f>
        <v/>
      </c>
      <c r="C169" t="inlineStr">
        <is>
          <t>g</t>
        </is>
      </c>
    </row>
    <row r="170">
      <c r="A170" t="inlineStr">
        <is>
          <t>Phenylalanine</t>
        </is>
      </c>
      <c r="B170">
        <f>Ingredientes!FS11</f>
        <v/>
      </c>
      <c r="C170" t="inlineStr">
        <is>
          <t>g</t>
        </is>
      </c>
    </row>
    <row r="171">
      <c r="A171" t="inlineStr">
        <is>
          <t>Tyrosine</t>
        </is>
      </c>
      <c r="B171">
        <f>Ingredientes!FT11</f>
        <v/>
      </c>
      <c r="C171" t="inlineStr">
        <is>
          <t>g</t>
        </is>
      </c>
    </row>
    <row r="172">
      <c r="A172" t="inlineStr">
        <is>
          <t>Valine</t>
        </is>
      </c>
      <c r="B172">
        <f>Ingredientes!FU11</f>
        <v/>
      </c>
      <c r="C172" t="inlineStr">
        <is>
          <t>g</t>
        </is>
      </c>
    </row>
    <row r="173">
      <c r="A173" t="inlineStr">
        <is>
          <t>Arginine</t>
        </is>
      </c>
      <c r="B173">
        <f>Ingredientes!FV11</f>
        <v/>
      </c>
      <c r="C173" t="inlineStr">
        <is>
          <t>g</t>
        </is>
      </c>
    </row>
    <row r="174">
      <c r="A174" t="inlineStr">
        <is>
          <t>Histidine</t>
        </is>
      </c>
      <c r="B174">
        <f>Ingredientes!FW11</f>
        <v/>
      </c>
      <c r="C174" t="inlineStr">
        <is>
          <t>g</t>
        </is>
      </c>
    </row>
    <row r="175">
      <c r="A175" t="inlineStr">
        <is>
          <t>Alanine</t>
        </is>
      </c>
      <c r="B175">
        <f>Ingredientes!FX11</f>
        <v/>
      </c>
      <c r="C175" t="inlineStr">
        <is>
          <t>g</t>
        </is>
      </c>
    </row>
    <row r="176">
      <c r="A176" t="inlineStr">
        <is>
          <t>Aspartic acid</t>
        </is>
      </c>
      <c r="B176">
        <f>Ingredientes!FY11</f>
        <v/>
      </c>
      <c r="C176" t="inlineStr">
        <is>
          <t>g</t>
        </is>
      </c>
    </row>
    <row r="177">
      <c r="A177" t="inlineStr">
        <is>
          <t>Glutamic acid</t>
        </is>
      </c>
      <c r="B177">
        <f>Ingredientes!FZ11</f>
        <v/>
      </c>
      <c r="C177" t="inlineStr">
        <is>
          <t>g</t>
        </is>
      </c>
    </row>
    <row r="178">
      <c r="A178" t="inlineStr">
        <is>
          <t>Glycine</t>
        </is>
      </c>
      <c r="B178">
        <f>Ingredientes!GA11</f>
        <v/>
      </c>
      <c r="C178" t="inlineStr">
        <is>
          <t>g</t>
        </is>
      </c>
    </row>
    <row r="179">
      <c r="A179" t="inlineStr">
        <is>
          <t>Proline</t>
        </is>
      </c>
      <c r="B179">
        <f>Ingredientes!GB11</f>
        <v/>
      </c>
      <c r="C179" t="inlineStr">
        <is>
          <t>g</t>
        </is>
      </c>
    </row>
    <row r="180">
      <c r="A180" t="inlineStr">
        <is>
          <t>Serine</t>
        </is>
      </c>
      <c r="B180">
        <f>Ingredientes!GC11</f>
        <v/>
      </c>
      <c r="C180" t="inlineStr">
        <is>
          <t>g</t>
        </is>
      </c>
    </row>
    <row r="181">
      <c r="A181" t="inlineStr">
        <is>
          <t>Hydroxyproline</t>
        </is>
      </c>
      <c r="B181">
        <f>Ingredientes!GD11</f>
        <v/>
      </c>
      <c r="C181" t="inlineStr">
        <is>
          <t>g</t>
        </is>
      </c>
    </row>
    <row r="182">
      <c r="A182" t="inlineStr">
        <is>
          <t>Cysteine</t>
        </is>
      </c>
      <c r="B182">
        <f>Ingredientes!GE11</f>
        <v/>
      </c>
      <c r="C182" t="inlineStr">
        <is>
          <t>g</t>
        </is>
      </c>
    </row>
    <row r="183">
      <c r="A183" t="inlineStr">
        <is>
          <t>Phytosterols</t>
        </is>
      </c>
      <c r="B183">
        <f>Ingredientes!GF11</f>
        <v/>
      </c>
      <c r="C183" t="inlineStr">
        <is>
          <t>mg</t>
        </is>
      </c>
    </row>
    <row r="184">
      <c r="A184" t="inlineStr">
        <is>
          <t>Beta-sitosterol</t>
        </is>
      </c>
      <c r="B184">
        <f>Ingredientes!GG11</f>
        <v/>
      </c>
      <c r="C184" t="inlineStr">
        <is>
          <t>mg</t>
        </is>
      </c>
    </row>
    <row r="185">
      <c r="A185" t="inlineStr">
        <is>
          <t>Campesterol</t>
        </is>
      </c>
      <c r="B185">
        <f>Ingredientes!GH11</f>
        <v/>
      </c>
      <c r="C185" t="inlineStr">
        <is>
          <t>mg</t>
        </is>
      </c>
    </row>
    <row r="186">
      <c r="A186" t="inlineStr">
        <is>
          <t>Stigmasterol</t>
        </is>
      </c>
      <c r="B186">
        <f>Ingredientes!GI11</f>
        <v/>
      </c>
      <c r="C186" t="inlineStr">
        <is>
          <t>mg</t>
        </is>
      </c>
    </row>
    <row r="187">
      <c r="A187" t="inlineStr">
        <is>
          <t>Alcohol, ethyl</t>
        </is>
      </c>
      <c r="B187">
        <f>Ingredientes!GJ11</f>
        <v/>
      </c>
      <c r="C187" t="inlineStr">
        <is>
          <t>g</t>
        </is>
      </c>
    </row>
    <row r="188">
      <c r="A188" t="inlineStr">
        <is>
          <t>25-hydroxycholecalciferol</t>
        </is>
      </c>
      <c r="B188">
        <f>Ingredientes!GK11</f>
        <v/>
      </c>
      <c r="C188" t="inlineStr">
        <is>
          <t>μg</t>
        </is>
      </c>
    </row>
    <row r="189">
      <c r="A189" t="inlineStr">
        <is>
          <t>Cryptoxanthin, beta</t>
        </is>
      </c>
      <c r="B189">
        <f>Ingredientes!GL11</f>
        <v/>
      </c>
      <c r="C189" t="inlineStr">
        <is>
          <t>μg</t>
        </is>
      </c>
    </row>
    <row r="190">
      <c r="A190" t="inlineStr">
        <is>
          <t>Cryptoxanthin, alpha</t>
        </is>
      </c>
      <c r="B190">
        <f>Ingredientes!GM11</f>
        <v/>
      </c>
      <c r="C190" t="inlineStr">
        <is>
          <t>μg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costos</t>
        </is>
      </c>
    </row>
    <row r="2">
      <c r="A2" t="inlineStr">
        <is>
          <t>Masa tirada (g)</t>
        </is>
      </c>
      <c r="B2" t="inlineStr">
        <is>
          <t>Yield (%)</t>
        </is>
      </c>
      <c r="C2" t="inlineStr">
        <is>
          <t>Masa vendible (g)</t>
        </is>
      </c>
      <c r="D2" t="inlineStr">
        <is>
          <t>Costo insumos (MN)</t>
        </is>
      </c>
      <c r="E2" t="inlineStr">
        <is>
          <t>Costo procesos (MN)</t>
        </is>
      </c>
      <c r="F2" t="inlineStr">
        <is>
          <t>Costo total (MN)</t>
        </is>
      </c>
    </row>
    <row r="3">
      <c r="A3" t="n">
        <v>5000</v>
      </c>
      <c r="B3" t="n">
        <v>95</v>
      </c>
      <c r="C3" t="n">
        <v>4750</v>
      </c>
      <c r="D3" t="n">
        <v>1223.264763507066</v>
      </c>
      <c r="E3" t="n">
        <v>223.3333333333333</v>
      </c>
      <c r="F3" t="n">
        <v>1446.598096840399</v>
      </c>
    </row>
    <row r="5">
      <c r="A5" t="inlineStr">
        <is>
          <t>Cotizaciones</t>
        </is>
      </c>
    </row>
    <row r="6">
      <c r="A6" t="inlineStr">
        <is>
          <t>Moneda</t>
        </is>
      </c>
      <c r="B6" t="inlineStr">
        <is>
          <t>Simbolo</t>
        </is>
      </c>
      <c r="C6" t="inlineStr">
        <is>
          <t>Cotizacion a MN</t>
        </is>
      </c>
    </row>
    <row r="7">
      <c r="A7" t="inlineStr">
        <is>
          <t>Moneda Nacional</t>
        </is>
      </c>
      <c r="B7" t="inlineStr">
        <is>
          <t>$</t>
        </is>
      </c>
      <c r="C7" t="n">
        <v>1</v>
      </c>
    </row>
    <row r="8">
      <c r="A8" t="inlineStr">
        <is>
          <t>Dolar</t>
        </is>
      </c>
      <c r="B8" t="inlineStr">
        <is>
          <t>U$D</t>
        </is>
      </c>
      <c r="C8" t="n">
        <v>40.5</v>
      </c>
    </row>
    <row r="10">
      <c r="A10" t="inlineStr">
        <is>
          <t>Insumos / Ingredientes</t>
        </is>
      </c>
    </row>
    <row r="11">
      <c r="A11" t="inlineStr">
        <is>
          <t>Ingrediente</t>
        </is>
      </c>
      <c r="B11" t="inlineStr">
        <is>
          <t>Cantidad (g)</t>
        </is>
      </c>
      <c r="C11" t="inlineStr">
        <is>
          <t>Presentacion</t>
        </is>
      </c>
      <c r="D11" t="inlineStr">
        <is>
          <t>Unidad</t>
        </is>
      </c>
      <c r="E11" t="inlineStr">
        <is>
          <t>Moneda</t>
        </is>
      </c>
      <c r="F11" t="inlineStr">
        <is>
          <t>Simbolo</t>
        </is>
      </c>
      <c r="G11" t="inlineStr">
        <is>
          <t>Costo</t>
        </is>
      </c>
      <c r="H11" t="inlineStr">
        <is>
          <t>Cotizacion</t>
        </is>
      </c>
      <c r="I11" t="inlineStr">
        <is>
          <t>Costo (MN)</t>
        </is>
      </c>
      <c r="J11" t="inlineStr">
        <is>
          <t>Costo unitario (MN/kg)</t>
        </is>
      </c>
      <c r="K11" t="inlineStr">
        <is>
          <t>Costo tirada (MN)</t>
        </is>
      </c>
      <c r="L11" t="inlineStr">
        <is>
          <t>% insumos</t>
        </is>
      </c>
    </row>
    <row r="12">
      <c r="A12" t="inlineStr">
        <is>
          <t>Eggs, Grade A, Large, egg whole</t>
        </is>
      </c>
      <c r="B12" t="n">
        <v>1616.438842558574</v>
      </c>
      <c r="C12" t="n">
        <v>1500</v>
      </c>
      <c r="D12" t="inlineStr">
        <is>
          <t>g</t>
        </is>
      </c>
      <c r="E12" t="inlineStr">
        <is>
          <t>Moneda Nacional</t>
        </is>
      </c>
      <c r="F12" t="inlineStr">
        <is>
          <t>$</t>
        </is>
      </c>
      <c r="G12" t="n">
        <v>300</v>
      </c>
      <c r="H12" t="n">
        <v>1</v>
      </c>
      <c r="I12" t="n">
        <v>300</v>
      </c>
      <c r="J12" t="n">
        <v>200</v>
      </c>
      <c r="K12" t="n">
        <v>323.2877685117149</v>
      </c>
      <c r="L12" t="n">
        <v>26.42827441418797</v>
      </c>
    </row>
    <row r="13">
      <c r="A13" t="inlineStr">
        <is>
          <t>Water, bottled, generic</t>
        </is>
      </c>
      <c r="B13" t="n">
        <v>1017.996652228222</v>
      </c>
      <c r="C13" t="n">
        <v>6</v>
      </c>
      <c r="D13" t="inlineStr">
        <is>
          <t>kg</t>
        </is>
      </c>
      <c r="E13" t="inlineStr">
        <is>
          <t>Moneda Nacional</t>
        </is>
      </c>
      <c r="F13" t="inlineStr">
        <is>
          <t>$</t>
        </is>
      </c>
      <c r="G13" t="n">
        <v>144</v>
      </c>
      <c r="H13" t="n">
        <v>1</v>
      </c>
      <c r="I13" t="n">
        <v>144</v>
      </c>
      <c r="J13" t="n">
        <v>24</v>
      </c>
      <c r="K13" t="n">
        <v>24.43191965347734</v>
      </c>
      <c r="L13" t="n">
        <v>1.997271595025079</v>
      </c>
    </row>
    <row r="14">
      <c r="A14" t="inlineStr">
        <is>
          <t>Spices, cinnamon, ground</t>
        </is>
      </c>
      <c r="B14" t="n">
        <v>427.4582716988232</v>
      </c>
      <c r="C14" t="n">
        <v>100</v>
      </c>
      <c r="D14" t="inlineStr">
        <is>
          <t>g</t>
        </is>
      </c>
      <c r="E14" t="inlineStr">
        <is>
          <t>Dolar</t>
        </is>
      </c>
      <c r="F14" t="inlineStr">
        <is>
          <t>U$D</t>
        </is>
      </c>
      <c r="G14" t="n">
        <v>3</v>
      </c>
      <c r="H14" t="n">
        <v>40.5</v>
      </c>
      <c r="I14" t="n">
        <v>121.5</v>
      </c>
      <c r="J14" t="n">
        <v>1215</v>
      </c>
      <c r="K14" t="n">
        <v>519.3618001140702</v>
      </c>
      <c r="L14" t="n">
        <v>42.457022846393</v>
      </c>
    </row>
    <row r="15">
      <c r="A15" t="inlineStr">
        <is>
          <t>Oil, canola</t>
        </is>
      </c>
      <c r="B15" t="n">
        <v>323.2877685117149</v>
      </c>
      <c r="C15" t="n">
        <v>10</v>
      </c>
      <c r="D15" t="inlineStr">
        <is>
          <t>lb</t>
        </is>
      </c>
      <c r="E15" t="inlineStr">
        <is>
          <t>Dolar</t>
        </is>
      </c>
      <c r="F15" t="inlineStr">
        <is>
          <t>U$D</t>
        </is>
      </c>
      <c r="G15" t="n">
        <v>10</v>
      </c>
      <c r="H15" t="n">
        <v>40.5</v>
      </c>
      <c r="I15" t="n">
        <v>405</v>
      </c>
      <c r="J15" t="n">
        <v>89.28721618487542</v>
      </c>
      <c r="K15" t="n">
        <v>28.86546487703145</v>
      </c>
      <c r="L15" t="n">
        <v>2.359707051012814</v>
      </c>
    </row>
    <row r="16">
      <c r="A16" t="inlineStr">
        <is>
          <t>Salt, table</t>
        </is>
      </c>
      <c r="B16" t="n">
        <v>33.73127639080728</v>
      </c>
      <c r="C16" t="n">
        <v>500</v>
      </c>
      <c r="D16" t="inlineStr">
        <is>
          <t>g</t>
        </is>
      </c>
      <c r="E16" t="inlineStr">
        <is>
          <t>Moneda Nacional</t>
        </is>
      </c>
      <c r="F16" t="inlineStr">
        <is>
          <t>$</t>
        </is>
      </c>
      <c r="G16" t="n">
        <v>60</v>
      </c>
      <c r="H16" t="n">
        <v>1</v>
      </c>
      <c r="I16" t="n">
        <v>60</v>
      </c>
      <c r="J16" t="n">
        <v>120</v>
      </c>
      <c r="K16" t="n">
        <v>4.047753166896873</v>
      </c>
      <c r="L16" t="n">
        <v>0.3308975528153103</v>
      </c>
    </row>
    <row r="17">
      <c r="A17" t="inlineStr">
        <is>
          <t>Lentils, dry</t>
        </is>
      </c>
      <c r="B17" t="n">
        <v>353.4612935728084</v>
      </c>
      <c r="C17" t="n">
        <v>25</v>
      </c>
      <c r="D17" t="inlineStr">
        <is>
          <t>kg</t>
        </is>
      </c>
      <c r="E17" t="inlineStr">
        <is>
          <t>Dolar</t>
        </is>
      </c>
      <c r="F17" t="inlineStr">
        <is>
          <t>U$D</t>
        </is>
      </c>
      <c r="G17" t="n">
        <v>140</v>
      </c>
      <c r="H17" t="n">
        <v>40.5</v>
      </c>
      <c r="I17" t="n">
        <v>5670</v>
      </c>
      <c r="J17" t="n">
        <v>226.8</v>
      </c>
      <c r="K17" t="n">
        <v>80.16502138231293</v>
      </c>
      <c r="L17" t="n">
        <v>6.553366349937366</v>
      </c>
    </row>
    <row r="18">
      <c r="A18" t="inlineStr">
        <is>
          <t>Cookie, chocolate sandwich</t>
        </is>
      </c>
      <c r="B18" t="n">
        <v>150</v>
      </c>
      <c r="C18" t="n">
        <v>75</v>
      </c>
      <c r="D18" t="inlineStr">
        <is>
          <t>g</t>
        </is>
      </c>
      <c r="E18" t="inlineStr">
        <is>
          <t>Moneda Nacional</t>
        </is>
      </c>
      <c r="F18" t="inlineStr">
        <is>
          <t>$</t>
        </is>
      </c>
      <c r="G18" t="n">
        <v>100</v>
      </c>
      <c r="H18" t="n">
        <v>1</v>
      </c>
      <c r="I18" t="n">
        <v>100</v>
      </c>
      <c r="J18" t="n">
        <v>1333.333333333333</v>
      </c>
      <c r="K18" t="n">
        <v>200</v>
      </c>
      <c r="L18" t="n">
        <v>16.34969026873672</v>
      </c>
    </row>
    <row r="19">
      <c r="A19" t="inlineStr">
        <is>
          <t>Milk, whole, 3.25% milkfat, with added vitamin D</t>
        </is>
      </c>
      <c r="B19" t="n">
        <v>1077.625895039049</v>
      </c>
      <c r="C19" t="n">
        <v>1</v>
      </c>
      <c r="D19" t="inlineStr">
        <is>
          <t>kg</t>
        </is>
      </c>
      <c r="E19" t="inlineStr">
        <is>
          <t>Moneda Nacional</t>
        </is>
      </c>
      <c r="F19" t="inlineStr">
        <is>
          <t>$</t>
        </is>
      </c>
      <c r="G19" t="n">
        <v>40</v>
      </c>
      <c r="H19" t="n">
        <v>1</v>
      </c>
      <c r="I19" t="n">
        <v>40</v>
      </c>
      <c r="J19" t="n">
        <v>40</v>
      </c>
      <c r="K19" t="n">
        <v>43.10503580156198</v>
      </c>
      <c r="L19" t="n">
        <v>3.523769921891729</v>
      </c>
    </row>
    <row r="21">
      <c r="A21" t="inlineStr">
        <is>
          <t>Procesos</t>
        </is>
      </c>
    </row>
    <row r="22">
      <c r="A22" t="inlineStr">
        <is>
          <t>Nombre</t>
        </is>
      </c>
      <c r="B22" t="inlineStr">
        <is>
          <t>Tipo</t>
        </is>
      </c>
      <c r="C22" t="inlineStr">
        <is>
          <t>Setup</t>
        </is>
      </c>
      <c r="D22" t="inlineStr">
        <is>
          <t>U</t>
        </is>
      </c>
      <c r="E22" t="inlineStr">
        <is>
          <t>Tiempo/kg</t>
        </is>
      </c>
      <c r="F22" t="inlineStr">
        <is>
          <t>U</t>
        </is>
      </c>
      <c r="G22" t="inlineStr">
        <is>
          <t>Tiempo total (h)</t>
        </is>
      </c>
      <c r="H22" t="inlineStr">
        <is>
          <t>Costo/h (MN)</t>
        </is>
      </c>
      <c r="I22" t="inlineStr">
        <is>
          <t>Costo total (MN)</t>
        </is>
      </c>
      <c r="J22" t="inlineStr">
        <is>
          <t>Notas</t>
        </is>
      </c>
    </row>
    <row r="23">
      <c r="A23" t="inlineStr">
        <is>
          <t>Horneado</t>
        </is>
      </c>
      <c r="B23" t="inlineStr">
        <is>
          <t>MIXED</t>
        </is>
      </c>
      <c r="C23" t="n">
        <v>30</v>
      </c>
      <c r="D23" t="inlineStr">
        <is>
          <t>min</t>
        </is>
      </c>
      <c r="E23" t="n">
        <v>10</v>
      </c>
      <c r="F23" t="inlineStr">
        <is>
          <t>min</t>
        </is>
      </c>
      <c r="G23" t="n">
        <v>1.333333333333333</v>
      </c>
      <c r="H23" t="n">
        <v>85</v>
      </c>
      <c r="I23" t="n">
        <v>113.3333333333333</v>
      </c>
      <c r="J23" t="inlineStr"/>
    </row>
    <row r="24">
      <c r="A24" t="inlineStr">
        <is>
          <t>Mezclado</t>
        </is>
      </c>
      <c r="B24" t="inlineStr">
        <is>
          <t>FIXED</t>
        </is>
      </c>
      <c r="D24" t="inlineStr"/>
      <c r="F24" t="inlineStr">
        <is>
          <t>min</t>
        </is>
      </c>
      <c r="G24" t="n">
        <v>0.5</v>
      </c>
      <c r="H24" t="n">
        <v>220</v>
      </c>
      <c r="I24" t="n">
        <v>110</v>
      </c>
      <c r="J24" t="inlineStr"/>
    </row>
    <row r="26">
      <c r="A26" t="inlineStr">
        <is>
          <t>Packaging</t>
        </is>
      </c>
    </row>
    <row r="27">
      <c r="A27" t="inlineStr">
        <is>
          <t>Nombre</t>
        </is>
      </c>
      <c r="B27" t="inlineStr">
        <is>
          <t>Cantidad/pack</t>
        </is>
      </c>
      <c r="C27" t="inlineStr">
        <is>
          <t>Costo unitario (MN)</t>
        </is>
      </c>
      <c r="D27" t="inlineStr">
        <is>
          <t>Subtotal (MN)</t>
        </is>
      </c>
      <c r="E27" t="inlineStr">
        <is>
          <t>Notas</t>
        </is>
      </c>
    </row>
    <row r="28">
      <c r="A28" t="inlineStr">
        <is>
          <t>Etiqueta premium</t>
        </is>
      </c>
      <c r="B28" t="n">
        <v>1</v>
      </c>
      <c r="C28" t="n">
        <v>5</v>
      </c>
      <c r="D28" t="n">
        <v>5</v>
      </c>
      <c r="E28" t="inlineStr"/>
    </row>
    <row r="29">
      <c r="A29" t="inlineStr">
        <is>
          <t>Envase</t>
        </is>
      </c>
      <c r="B29" t="n">
        <v>1</v>
      </c>
      <c r="C29" t="n">
        <v>8</v>
      </c>
      <c r="D29" t="n">
        <v>8</v>
      </c>
      <c r="E29" t="inlineStr"/>
    </row>
    <row r="30">
      <c r="A30" t="inlineStr">
        <is>
          <t>Caja 15 un</t>
        </is>
      </c>
      <c r="B30" t="n">
        <v>0.067</v>
      </c>
      <c r="C30" t="n">
        <v>30</v>
      </c>
      <c r="D30" t="n">
        <v>2.01</v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2026-01-12T13:53:16Z</dcterms:created>
  <dcterms:modified xsi:type="dcterms:W3CDTF">2026-01-12T13:53:16Z</dcterms:modified>
</cp:coreProperties>
</file>