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3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AD1" s="4" t="inlineStr">
        <is>
          <t>Minerals</t>
        </is>
      </c>
      <c r="AQ1" s="5" t="inlineStr">
        <is>
          <t>Vitamins and Other Components</t>
        </is>
      </c>
      <c r="CU1" s="6" t="inlineStr">
        <is>
          <t>Lipids</t>
        </is>
      </c>
      <c r="FX1" s="7" t="inlineStr">
        <is>
          <t>Amino acids</t>
        </is>
      </c>
      <c r="GQ1" s="8" t="inlineStr">
        <is>
          <t>Phytosterols</t>
        </is>
      </c>
      <c r="GZ1" s="8" t="inlineStr">
        <is>
          <t>Organic acids</t>
        </is>
      </c>
      <c r="HD1" s="8" t="inlineStr">
        <is>
          <t>Oligosaccharides</t>
        </is>
      </c>
      <c r="HG1" s="8" t="inlineStr">
        <is>
          <t>Isoflavones</t>
        </is>
      </c>
      <c r="HL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Total dietary fiber (AOAC 2011.25) (g)</t>
        </is>
      </c>
      <c r="R2" s="3" t="inlineStr">
        <is>
          <t>High Molecular Weight Dietary Fiber (HMWDF) (g)</t>
        </is>
      </c>
      <c r="S2" s="3" t="inlineStr">
        <is>
          <t>Low Molecular Weight Dietary Fiber (LMWDF) (g)</t>
        </is>
      </c>
      <c r="T2" s="3" t="inlineStr">
        <is>
          <t>Sugars, Total (g)</t>
        </is>
      </c>
      <c r="U2" s="3" t="inlineStr">
        <is>
          <t>Sucrose (g)</t>
        </is>
      </c>
      <c r="V2" s="3" t="inlineStr">
        <is>
          <t>Glucose (g)</t>
        </is>
      </c>
      <c r="W2" s="3" t="inlineStr">
        <is>
          <t>Fructose (g)</t>
        </is>
      </c>
      <c r="X2" s="3" t="inlineStr">
        <is>
          <t>Lactose (g)</t>
        </is>
      </c>
      <c r="Y2" s="3" t="inlineStr">
        <is>
          <t>Maltose (g)</t>
        </is>
      </c>
      <c r="Z2" s="3" t="inlineStr">
        <is>
          <t>Galactose (g)</t>
        </is>
      </c>
      <c r="AA2" s="3" t="inlineStr">
        <is>
          <t>Starch (g)</t>
        </is>
      </c>
      <c r="AB2" s="3" t="inlineStr">
        <is>
          <t>Resistant starch (g)</t>
        </is>
      </c>
      <c r="AC2" s="3" t="inlineStr">
        <is>
          <t>Sugars, added (g)</t>
        </is>
      </c>
      <c r="AD2" s="4" t="inlineStr">
        <is>
          <t>Calcium, Ca (mg)</t>
        </is>
      </c>
      <c r="AE2" s="4" t="inlineStr">
        <is>
          <t>Iron, Fe (mg)</t>
        </is>
      </c>
      <c r="AF2" s="4" t="inlineStr">
        <is>
          <t>Magnesium, Mg (mg)</t>
        </is>
      </c>
      <c r="AG2" s="4" t="inlineStr">
        <is>
          <t>Phosphorus, P (mg)</t>
        </is>
      </c>
      <c r="AH2" s="4" t="inlineStr">
        <is>
          <t>Potassium, K (mg)</t>
        </is>
      </c>
      <c r="AI2" s="4" t="inlineStr">
        <is>
          <t>Sodium, Na (mg)</t>
        </is>
      </c>
      <c r="AJ2" s="4" t="inlineStr">
        <is>
          <t>Zinc, Zn (mg)</t>
        </is>
      </c>
      <c r="AK2" s="4" t="inlineStr">
        <is>
          <t>Copper, Cu (mg)</t>
        </is>
      </c>
      <c r="AL2" s="4" t="inlineStr">
        <is>
          <t>Manganese, Mn (mg)</t>
        </is>
      </c>
      <c r="AM2" s="4" t="inlineStr">
        <is>
          <t>Iodine, I (µg)</t>
        </is>
      </c>
      <c r="AN2" s="4" t="inlineStr">
        <is>
          <t>Selenium, Se (µg)</t>
        </is>
      </c>
      <c r="AO2" s="4" t="inlineStr">
        <is>
          <t>Molybdenum, Mo (µg)</t>
        </is>
      </c>
      <c r="AP2" s="4" t="inlineStr">
        <is>
          <t>Fluoride, F (µg)</t>
        </is>
      </c>
      <c r="AQ2" s="5" t="inlineStr">
        <is>
          <t>Folate, food (µg)</t>
        </is>
      </c>
      <c r="AR2" s="5" t="inlineStr">
        <is>
          <t>Thiamin (mg)</t>
        </is>
      </c>
      <c r="AS2" s="5" t="inlineStr">
        <is>
          <t>Riboflavin (mg)</t>
        </is>
      </c>
      <c r="AT2" s="5" t="inlineStr">
        <is>
          <t>Niacin (mg)</t>
        </is>
      </c>
      <c r="AU2" s="5" t="inlineStr">
        <is>
          <t>Vitamin B-6 (mg)</t>
        </is>
      </c>
      <c r="AV2" s="5" t="inlineStr">
        <is>
          <t>Folate, total (µg)</t>
        </is>
      </c>
      <c r="AW2" s="5" t="inlineStr">
        <is>
          <t>Folic acid (µg)</t>
        </is>
      </c>
      <c r="AX2" s="5" t="inlineStr">
        <is>
          <t>Folate, DFE (µg)</t>
        </is>
      </c>
      <c r="AY2" s="5" t="inlineStr">
        <is>
          <t>Choline, total (mg)</t>
        </is>
      </c>
      <c r="AZ2" s="5" t="inlineStr">
        <is>
          <t>Choline, free (mg)</t>
        </is>
      </c>
      <c r="BA2" s="5" t="inlineStr">
        <is>
          <t>Choline, from phosphocholine (mg)</t>
        </is>
      </c>
      <c r="BB2" s="5" t="inlineStr">
        <is>
          <t>Choline, from phosphatidyl choline (mg)</t>
        </is>
      </c>
      <c r="BC2" s="5" t="inlineStr">
        <is>
          <t>Choline, from glycerophosphocholine (mg)</t>
        </is>
      </c>
      <c r="BD2" s="5" t="inlineStr">
        <is>
          <t>Choline, from sphingomyelin (mg)</t>
        </is>
      </c>
      <c r="BE2" s="5" t="inlineStr">
        <is>
          <t>Betaine (mg)</t>
        </is>
      </c>
      <c r="BF2" s="5" t="inlineStr">
        <is>
          <t>Vitamin B-12 (µg)</t>
        </is>
      </c>
      <c r="BG2" s="5" t="inlineStr">
        <is>
          <t>Vitamin B-12, added (µg)</t>
        </is>
      </c>
      <c r="BH2" s="5" t="inlineStr">
        <is>
          <t>Vitamin A, RAE (µg)</t>
        </is>
      </c>
      <c r="BI2" s="5" t="inlineStr">
        <is>
          <t>Retinol (µg)</t>
        </is>
      </c>
      <c r="BJ2" s="5" t="inlineStr">
        <is>
          <t>Carotene, beta (µg)</t>
        </is>
      </c>
      <c r="BK2" s="5" t="inlineStr">
        <is>
          <t>cis-beta-Carotene (µg)</t>
        </is>
      </c>
      <c r="BL2" s="5" t="inlineStr">
        <is>
          <t>trans-beta-Carotene (µg)</t>
        </is>
      </c>
      <c r="BM2" s="5" t="inlineStr">
        <is>
          <t>Carotene, alpha (µg)</t>
        </is>
      </c>
      <c r="BN2" s="5" t="inlineStr">
        <is>
          <t>Carotene, gamma (µg)</t>
        </is>
      </c>
      <c r="BO2" s="5" t="inlineStr">
        <is>
          <t>Cryptoxanthin, beta (µg)</t>
        </is>
      </c>
      <c r="BP2" s="5" t="inlineStr">
        <is>
          <t>Cryptoxanthin, alpha (µg)</t>
        </is>
      </c>
      <c r="BQ2" s="5" t="inlineStr">
        <is>
          <t>Vitamin A, IU (iu)</t>
        </is>
      </c>
      <c r="BR2" s="5" t="inlineStr">
        <is>
          <t>Lycopene (µg)</t>
        </is>
      </c>
      <c r="BS2" s="5" t="inlineStr">
        <is>
          <t>cis-Lycopene (µg)</t>
        </is>
      </c>
      <c r="BT2" s="5" t="inlineStr">
        <is>
          <t>trans-Lycopene (µg)</t>
        </is>
      </c>
      <c r="BU2" s="5" t="inlineStr">
        <is>
          <t>Lutein + zeaxanthin (µg)</t>
        </is>
      </c>
      <c r="BV2" s="5" t="inlineStr">
        <is>
          <t>cis-Lutein/Zeaxanthin (µg)</t>
        </is>
      </c>
      <c r="BW2" s="5" t="inlineStr">
        <is>
          <t>Lutein (µg)</t>
        </is>
      </c>
      <c r="BX2" s="5" t="inlineStr">
        <is>
          <t>Zeaxanthin (µg)</t>
        </is>
      </c>
      <c r="BY2" s="5" t="inlineStr">
        <is>
          <t>Vitamin D (D2 + D3), International Units (iu)</t>
        </is>
      </c>
      <c r="BZ2" s="5" t="inlineStr">
        <is>
          <t>Vitamin D (D2 + D3) (µg)</t>
        </is>
      </c>
      <c r="CA2" s="5" t="inlineStr">
        <is>
          <t>Vitamin D2 (ergocalciferol) (µg)</t>
        </is>
      </c>
      <c r="CB2" s="5" t="inlineStr">
        <is>
          <t>Vitamin D3 (cholecalciferol) (µg)</t>
        </is>
      </c>
      <c r="CC2" s="5" t="inlineStr">
        <is>
          <t>25-hydroxycholecalciferol (µg)</t>
        </is>
      </c>
      <c r="CD2" s="5" t="inlineStr">
        <is>
          <t>Vitamin K (phylloquinone) (µg)</t>
        </is>
      </c>
      <c r="CE2" s="5" t="inlineStr">
        <is>
          <t>Vitamin K (Dihydrophylloquinone) (µg)</t>
        </is>
      </c>
      <c r="CF2" s="5" t="inlineStr">
        <is>
          <t>Vitamin K (Menaquinone-4) (µg)</t>
        </is>
      </c>
      <c r="CG2" s="5" t="inlineStr">
        <is>
          <t>Vitamin E (alpha-tocopherol) (mg)</t>
        </is>
      </c>
      <c r="CH2" s="5" t="inlineStr">
        <is>
          <t>Vitamin E, added (mg)</t>
        </is>
      </c>
      <c r="CI2" s="5" t="inlineStr">
        <is>
          <t>Tocopherol, beta (mg)</t>
        </is>
      </c>
      <c r="CJ2" s="5" t="inlineStr">
        <is>
          <t>Tocopherol, gamma (mg)</t>
        </is>
      </c>
      <c r="CK2" s="5" t="inlineStr">
        <is>
          <t>Tocopherol, delta (mg)</t>
        </is>
      </c>
      <c r="CL2" s="5" t="inlineStr">
        <is>
          <t>Tocotrienol, alpha (mg)</t>
        </is>
      </c>
      <c r="CM2" s="5" t="inlineStr">
        <is>
          <t>Tocotrienol, beta (mg)</t>
        </is>
      </c>
      <c r="CN2" s="5" t="inlineStr">
        <is>
          <t>Tocotrienol, gamma (mg)</t>
        </is>
      </c>
      <c r="CO2" s="5" t="inlineStr">
        <is>
          <t>Tocotrienol, delta (mg)</t>
        </is>
      </c>
      <c r="CP2" s="5" t="inlineStr">
        <is>
          <t>Vitamin C, total ascorbic acid (mg)</t>
        </is>
      </c>
      <c r="CQ2" s="5" t="inlineStr">
        <is>
          <t>Pantothenic acid (mg)</t>
        </is>
      </c>
      <c r="CR2" s="5" t="inlineStr">
        <is>
          <t>Biotin (µg)</t>
        </is>
      </c>
      <c r="CS2" s="5" t="inlineStr">
        <is>
          <t>Caffeine (mg)</t>
        </is>
      </c>
      <c r="CT2" s="5" t="inlineStr">
        <is>
          <t>Theobromine (mg)</t>
        </is>
      </c>
      <c r="CU2" s="6" t="inlineStr">
        <is>
          <t>Fatty acids, total saturated (g)</t>
        </is>
      </c>
      <c r="CV2" s="6" t="inlineStr">
        <is>
          <t>SFA 4:0 (g)</t>
        </is>
      </c>
      <c r="CW2" s="6" t="inlineStr">
        <is>
          <t>SFA 5:0 (g)</t>
        </is>
      </c>
      <c r="CX2" s="6" t="inlineStr">
        <is>
          <t>SFA 6:0 (g)</t>
        </is>
      </c>
      <c r="CY2" s="6" t="inlineStr">
        <is>
          <t>SFA 7:0 (g)</t>
        </is>
      </c>
      <c r="CZ2" s="6" t="inlineStr">
        <is>
          <t>SFA 8:0 (g)</t>
        </is>
      </c>
      <c r="DA2" s="6" t="inlineStr">
        <is>
          <t>SFA 9:0 (g)</t>
        </is>
      </c>
      <c r="DB2" s="6" t="inlineStr">
        <is>
          <t>SFA 10:0 (g)</t>
        </is>
      </c>
      <c r="DC2" s="6" t="inlineStr">
        <is>
          <t>SFA 11:0 (g)</t>
        </is>
      </c>
      <c r="DD2" s="6" t="inlineStr">
        <is>
          <t>SFA 12:0 (g)</t>
        </is>
      </c>
      <c r="DE2" s="6" t="inlineStr">
        <is>
          <t>SFA 13:0 (g)</t>
        </is>
      </c>
      <c r="DF2" s="6" t="inlineStr">
        <is>
          <t>SFA 14:0 (g)</t>
        </is>
      </c>
      <c r="DG2" s="6" t="inlineStr">
        <is>
          <t>SFA 15:0 (g)</t>
        </is>
      </c>
      <c r="DH2" s="6" t="inlineStr">
        <is>
          <t>SFA 16:0 (g)</t>
        </is>
      </c>
      <c r="DI2" s="6" t="inlineStr">
        <is>
          <t>SFA 17:0 (g)</t>
        </is>
      </c>
      <c r="DJ2" s="6" t="inlineStr">
        <is>
          <t>SFA 18:0 (g)</t>
        </is>
      </c>
      <c r="DK2" s="6" t="inlineStr">
        <is>
          <t>SFA 20:0 (g)</t>
        </is>
      </c>
      <c r="DL2" s="6" t="inlineStr">
        <is>
          <t>SFA 21:0 (g)</t>
        </is>
      </c>
      <c r="DM2" s="6" t="inlineStr">
        <is>
          <t>SFA 22:0 (g)</t>
        </is>
      </c>
      <c r="DN2" s="6" t="inlineStr">
        <is>
          <t>SFA 23:0 (g)</t>
        </is>
      </c>
      <c r="DO2" s="6" t="inlineStr">
        <is>
          <t>SFA 24:0 (g)</t>
        </is>
      </c>
      <c r="DP2" s="6" t="inlineStr">
        <is>
          <t>Fatty acids, total monounsaturated (g)</t>
        </is>
      </c>
      <c r="DQ2" s="6" t="inlineStr">
        <is>
          <t>MUFA 12:1 (g)</t>
        </is>
      </c>
      <c r="DR2" s="6" t="inlineStr">
        <is>
          <t>MUFA 14:1 (g)</t>
        </is>
      </c>
      <c r="DS2" s="6" t="inlineStr">
        <is>
          <t>MUFA 14:1 c (g)</t>
        </is>
      </c>
      <c r="DT2" s="6" t="inlineStr">
        <is>
          <t>MUFA 15:1 (g)</t>
        </is>
      </c>
      <c r="DU2" s="6" t="inlineStr">
        <is>
          <t>MUFA 16:1 (g)</t>
        </is>
      </c>
      <c r="DV2" s="6" t="inlineStr">
        <is>
          <t>MUFA 16:1 c (g)</t>
        </is>
      </c>
      <c r="DW2" s="6" t="inlineStr">
        <is>
          <t>MUFA 17:1 (g)</t>
        </is>
      </c>
      <c r="DX2" s="6" t="inlineStr">
        <is>
          <t>MUFA 17:1 c (g)</t>
        </is>
      </c>
      <c r="DY2" s="6" t="inlineStr">
        <is>
          <t>MUFA 18:1 (g)</t>
        </is>
      </c>
      <c r="DZ2" s="6" t="inlineStr">
        <is>
          <t>MUFA 18:1 c (g)</t>
        </is>
      </c>
      <c r="EA2" s="6" t="inlineStr">
        <is>
          <t>MUFA 20:1 (g)</t>
        </is>
      </c>
      <c r="EB2" s="6" t="inlineStr">
        <is>
          <t>MUFA 20:1 c (g)</t>
        </is>
      </c>
      <c r="EC2" s="6" t="inlineStr">
        <is>
          <t>MUFA 22:1 (g)</t>
        </is>
      </c>
      <c r="ED2" s="6" t="inlineStr">
        <is>
          <t>MUFA 22:1 c (g)</t>
        </is>
      </c>
      <c r="EE2" s="6" t="inlineStr">
        <is>
          <t>MUFA 22:1 n-9 (g)</t>
        </is>
      </c>
      <c r="EF2" s="6" t="inlineStr">
        <is>
          <t>MUFA 22:1 n-11 (g)</t>
        </is>
      </c>
      <c r="EG2" s="6" t="inlineStr">
        <is>
          <t>MUFA 24:1 c (g)</t>
        </is>
      </c>
      <c r="EH2" s="6" t="inlineStr">
        <is>
          <t>Fatty acids, total polyunsaturated (g)</t>
        </is>
      </c>
      <c r="EI2" s="6" t="inlineStr">
        <is>
          <t>PUFA 18:2 (g)</t>
        </is>
      </c>
      <c r="EJ2" s="6" t="inlineStr">
        <is>
          <t>PUFA 18:2 c (g)</t>
        </is>
      </c>
      <c r="EK2" s="6" t="inlineStr">
        <is>
          <t>PUFA 18:2 n-6 c,c (g)</t>
        </is>
      </c>
      <c r="EL2" s="6" t="inlineStr">
        <is>
          <t>PUFA 18:2 CLAs (g)</t>
        </is>
      </c>
      <c r="EM2" s="6" t="inlineStr">
        <is>
          <t>PUFA 18:3 (g)</t>
        </is>
      </c>
      <c r="EN2" s="6" t="inlineStr">
        <is>
          <t>PUFA 18:3 c (g)</t>
        </is>
      </c>
      <c r="EO2" s="6" t="inlineStr">
        <is>
          <t>PUFA 18:3 n-3 c,c,c (ALA) (g)</t>
        </is>
      </c>
      <c r="EP2" s="6" t="inlineStr">
        <is>
          <t>PUFA 18:3 n-6 c,c,c (g)</t>
        </is>
      </c>
      <c r="EQ2" s="6" t="inlineStr">
        <is>
          <t>PUFA 18:4 (g)</t>
        </is>
      </c>
      <c r="ER2" s="6" t="inlineStr">
        <is>
          <t>PUFA 20:2 c (g)</t>
        </is>
      </c>
      <c r="ES2" s="6" t="inlineStr">
        <is>
          <t>PUFA 20:2 n-6 c,c (g)</t>
        </is>
      </c>
      <c r="ET2" s="6" t="inlineStr">
        <is>
          <t>PUFA 20:3 (g)</t>
        </is>
      </c>
      <c r="EU2" s="6" t="inlineStr">
        <is>
          <t>PUFA 20:3 c (g)</t>
        </is>
      </c>
      <c r="EV2" s="6" t="inlineStr">
        <is>
          <t>PUFA 20:3 n-3 (g)</t>
        </is>
      </c>
      <c r="EW2" s="6" t="inlineStr">
        <is>
          <t>PUFA 20:3 n-6 (g)</t>
        </is>
      </c>
      <c r="EX2" s="6" t="inlineStr">
        <is>
          <t>PUFA 20:3 n-9 (g)</t>
        </is>
      </c>
      <c r="EY2" s="6" t="inlineStr">
        <is>
          <t>PUFA 20:4 (g)</t>
        </is>
      </c>
      <c r="EZ2" s="6" t="inlineStr">
        <is>
          <t>PUFA 20:4c (g)</t>
        </is>
      </c>
      <c r="FA2" s="6" t="inlineStr">
        <is>
          <t>PUFA 20:5c (g)</t>
        </is>
      </c>
      <c r="FB2" s="6" t="inlineStr">
        <is>
          <t>PUFA 20:5 n-3 (EPA) (g)</t>
        </is>
      </c>
      <c r="FC2" s="6" t="inlineStr">
        <is>
          <t>PUFA 22:2 (g)</t>
        </is>
      </c>
      <c r="FD2" s="6" t="inlineStr">
        <is>
          <t>PUFA 22:3 (g)</t>
        </is>
      </c>
      <c r="FE2" s="6" t="inlineStr">
        <is>
          <t>PUFA 22:4 (g)</t>
        </is>
      </c>
      <c r="FF2" s="6" t="inlineStr">
        <is>
          <t>PUFA 22:5 c (g)</t>
        </is>
      </c>
      <c r="FG2" s="6" t="inlineStr">
        <is>
          <t>PUFA 22:5 n-3 (DPA) (g)</t>
        </is>
      </c>
      <c r="FH2" s="6" t="inlineStr">
        <is>
          <t>PUFA 22:6 c (g)</t>
        </is>
      </c>
      <c r="FI2" s="6" t="inlineStr">
        <is>
          <t>PUFA 22:6 n-3 (DHA) (g)</t>
        </is>
      </c>
      <c r="FJ2" s="6" t="inlineStr">
        <is>
          <t>Fatty acids, total trans (g)</t>
        </is>
      </c>
      <c r="FK2" s="6" t="inlineStr">
        <is>
          <t>Fatty acids, total trans-monoenoic (g)</t>
        </is>
      </c>
      <c r="FL2" s="6" t="inlineStr">
        <is>
          <t>Fatty acids, total trans-dienoic (g)</t>
        </is>
      </c>
      <c r="FM2" s="6" t="inlineStr">
        <is>
          <t>Fatty acids, total trans-polyenoic (g)</t>
        </is>
      </c>
      <c r="FN2" s="6" t="inlineStr">
        <is>
          <t>TFA 14:1 t (g)</t>
        </is>
      </c>
      <c r="FO2" s="6" t="inlineStr">
        <is>
          <t>TFA 16:1 t (g)</t>
        </is>
      </c>
      <c r="FP2" s="6" t="inlineStr">
        <is>
          <t>TFA 18:1 t (g)</t>
        </is>
      </c>
      <c r="FQ2" s="6" t="inlineStr">
        <is>
          <t>TFA 18:2 t (g)</t>
        </is>
      </c>
      <c r="FR2" s="6" t="inlineStr">
        <is>
          <t>TFA 18:2 t,t (g)</t>
        </is>
      </c>
      <c r="FS2" s="6" t="inlineStr">
        <is>
          <t>TFA 18:2 t not further defined (g)</t>
        </is>
      </c>
      <c r="FT2" s="6" t="inlineStr">
        <is>
          <t>TFA 18:3 t (g)</t>
        </is>
      </c>
      <c r="FU2" s="6" t="inlineStr">
        <is>
          <t>TFA 20:1 t (g)</t>
        </is>
      </c>
      <c r="FV2" s="6" t="inlineStr">
        <is>
          <t>TFA 22:1 t (g)</t>
        </is>
      </c>
      <c r="FW2" s="6" t="inlineStr">
        <is>
          <t>Cholesterol (mg)</t>
        </is>
      </c>
      <c r="FX2" s="7" t="inlineStr">
        <is>
          <t>Tryptophan (g)</t>
        </is>
      </c>
      <c r="FY2" s="7" t="inlineStr">
        <is>
          <t>Threonine (g)</t>
        </is>
      </c>
      <c r="FZ2" s="7" t="inlineStr">
        <is>
          <t>Isoleucine (g)</t>
        </is>
      </c>
      <c r="GA2" s="7" t="inlineStr">
        <is>
          <t>Leucine (g)</t>
        </is>
      </c>
      <c r="GB2" s="7" t="inlineStr">
        <is>
          <t>Lysine (g)</t>
        </is>
      </c>
      <c r="GC2" s="7" t="inlineStr">
        <is>
          <t>Methionine (g)</t>
        </is>
      </c>
      <c r="GD2" s="7" t="inlineStr">
        <is>
          <t>Phenylalanine (g)</t>
        </is>
      </c>
      <c r="GE2" s="7" t="inlineStr">
        <is>
          <t>Tyrosine (g)</t>
        </is>
      </c>
      <c r="GF2" s="7" t="inlineStr">
        <is>
          <t>Valine (g)</t>
        </is>
      </c>
      <c r="GG2" s="7" t="inlineStr">
        <is>
          <t>Arginine (g)</t>
        </is>
      </c>
      <c r="GH2" s="7" t="inlineStr">
        <is>
          <t>Histidine (g)</t>
        </is>
      </c>
      <c r="GI2" s="7" t="inlineStr">
        <is>
          <t>Alanine (g)</t>
        </is>
      </c>
      <c r="GJ2" s="7" t="inlineStr">
        <is>
          <t>Aspartic acid (g)</t>
        </is>
      </c>
      <c r="GK2" s="7" t="inlineStr">
        <is>
          <t>Glutamic acid (g)</t>
        </is>
      </c>
      <c r="GL2" s="7" t="inlineStr">
        <is>
          <t>Glycine (g)</t>
        </is>
      </c>
      <c r="GM2" s="7" t="inlineStr">
        <is>
          <t>Proline (g)</t>
        </is>
      </c>
      <c r="GN2" s="7" t="inlineStr">
        <is>
          <t>Serine (g)</t>
        </is>
      </c>
      <c r="GO2" s="7" t="inlineStr">
        <is>
          <t>Hydroxyproline (g)</t>
        </is>
      </c>
      <c r="GP2" s="7" t="inlineStr">
        <is>
          <t>Cysteine (g)</t>
        </is>
      </c>
      <c r="GQ2" s="8" t="inlineStr">
        <is>
          <t>Phytosterols (mg)</t>
        </is>
      </c>
      <c r="GR2" s="8" t="inlineStr">
        <is>
          <t>Beta-sitosterol (mg)</t>
        </is>
      </c>
      <c r="GS2" s="8" t="inlineStr">
        <is>
          <t>Brassicasterol (mg)</t>
        </is>
      </c>
      <c r="GT2" s="8" t="inlineStr">
        <is>
          <t>Campesterol (mg)</t>
        </is>
      </c>
      <c r="GU2" s="8" t="inlineStr">
        <is>
          <t>Campestanol (mg)</t>
        </is>
      </c>
      <c r="GV2" s="8" t="inlineStr">
        <is>
          <t>Delta-5-avenasterol (mg)</t>
        </is>
      </c>
      <c r="GW2" s="8" t="inlineStr">
        <is>
          <t>Phytosterols, other (mg)</t>
        </is>
      </c>
      <c r="GX2" s="8" t="inlineStr">
        <is>
          <t>Stigmasterol (mg)</t>
        </is>
      </c>
      <c r="GY2" s="8" t="inlineStr">
        <is>
          <t>Beta-sitostanol (mg)</t>
        </is>
      </c>
      <c r="GZ2" s="8" t="inlineStr">
        <is>
          <t>Citric acid (mg)</t>
        </is>
      </c>
      <c r="HA2" s="8" t="inlineStr">
        <is>
          <t>Malic acid (mg)</t>
        </is>
      </c>
      <c r="HB2" s="8" t="inlineStr">
        <is>
          <t>Oxalic acid (mg)</t>
        </is>
      </c>
      <c r="HC2" s="8" t="inlineStr">
        <is>
          <t>Quinic acid (mg)</t>
        </is>
      </c>
      <c r="HD2" s="8" t="inlineStr">
        <is>
          <t>Verbascose (g)</t>
        </is>
      </c>
      <c r="HE2" s="8" t="inlineStr">
        <is>
          <t>Raffinose (g)</t>
        </is>
      </c>
      <c r="HF2" s="8" t="inlineStr">
        <is>
          <t>Stachyose (g)</t>
        </is>
      </c>
      <c r="HG2" s="8" t="inlineStr">
        <is>
          <t>Daidzin (mg)</t>
        </is>
      </c>
      <c r="HH2" s="8" t="inlineStr">
        <is>
          <t>Genistin (mg)</t>
        </is>
      </c>
      <c r="HI2" s="8" t="inlineStr">
        <is>
          <t>Glycitin (mg)</t>
        </is>
      </c>
      <c r="HJ2" s="8" t="inlineStr">
        <is>
          <t>Daidzein (mg)</t>
        </is>
      </c>
      <c r="HK2" s="8" t="inlineStr">
        <is>
          <t>Genistein (mg)</t>
        </is>
      </c>
      <c r="HL2" s="8" t="inlineStr">
        <is>
          <t>Alcohol, ethyl (g)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150</v>
      </c>
      <c r="F3" s="10">
        <f>E3/SUM($E$3:$E$33)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T3" t="n">
        <v>0.2</v>
      </c>
      <c r="U3" t="n">
        <v>0</v>
      </c>
      <c r="V3" t="n">
        <v>0.2</v>
      </c>
      <c r="W3" t="n">
        <v>0</v>
      </c>
      <c r="X3" t="n">
        <v>0</v>
      </c>
      <c r="Y3" t="n">
        <v>0</v>
      </c>
      <c r="AA3" t="n">
        <v>0</v>
      </c>
      <c r="AD3" t="n">
        <v>48</v>
      </c>
      <c r="AE3" t="n">
        <v>1.67</v>
      </c>
      <c r="AF3" t="n">
        <v>11.4</v>
      </c>
      <c r="AG3" t="n">
        <v>184</v>
      </c>
      <c r="AH3" t="n">
        <v>132</v>
      </c>
      <c r="AI3" t="n">
        <v>129</v>
      </c>
      <c r="AJ3" t="n">
        <v>1.24</v>
      </c>
      <c r="AK3" t="n">
        <v>0</v>
      </c>
      <c r="AL3" t="n">
        <v>0</v>
      </c>
      <c r="AM3" t="n">
        <v>49.1</v>
      </c>
      <c r="AN3" t="n">
        <v>31.1</v>
      </c>
      <c r="AR3" t="n">
        <v>0.077</v>
      </c>
      <c r="AS3" t="n">
        <v>0.419</v>
      </c>
      <c r="AT3" t="n">
        <v>0</v>
      </c>
      <c r="AU3" t="n">
        <v>0.063</v>
      </c>
      <c r="AV3" t="n">
        <v>71</v>
      </c>
      <c r="AY3" t="n">
        <v>335</v>
      </c>
      <c r="AZ3" t="n">
        <v>0.6</v>
      </c>
      <c r="BA3" t="n">
        <v>309</v>
      </c>
      <c r="BB3" t="n">
        <v>0.2</v>
      </c>
      <c r="BC3" t="n">
        <v>0.2</v>
      </c>
      <c r="BD3" t="n">
        <v>25.1</v>
      </c>
      <c r="BE3" t="n">
        <v>0.3</v>
      </c>
      <c r="BF3" t="n">
        <v>1.02</v>
      </c>
      <c r="BH3" t="n">
        <v>180</v>
      </c>
      <c r="BI3" t="n">
        <v>179</v>
      </c>
      <c r="BJ3" t="n">
        <v>0</v>
      </c>
      <c r="BK3" t="n">
        <v>0</v>
      </c>
      <c r="BL3" t="n">
        <v>0</v>
      </c>
      <c r="BM3" t="n">
        <v>0</v>
      </c>
      <c r="BO3" t="n">
        <v>13</v>
      </c>
      <c r="BP3" t="n">
        <v>13</v>
      </c>
      <c r="BR3" t="n">
        <v>0</v>
      </c>
      <c r="BS3" t="n">
        <v>0</v>
      </c>
      <c r="BT3" t="n">
        <v>0</v>
      </c>
      <c r="BV3" t="n">
        <v>57</v>
      </c>
      <c r="BW3" t="n">
        <v>230</v>
      </c>
      <c r="BX3" t="n">
        <v>229</v>
      </c>
      <c r="BY3" t="n">
        <v>98.40000000000001</v>
      </c>
      <c r="BZ3" t="n">
        <v>2.46</v>
      </c>
      <c r="CA3" t="n">
        <v>0</v>
      </c>
      <c r="CB3" t="n">
        <v>2.46</v>
      </c>
      <c r="CC3" t="n">
        <v>0.5600000000000001</v>
      </c>
      <c r="CU3" t="n">
        <v>3.2</v>
      </c>
      <c r="DF3" t="n">
        <v>0.032</v>
      </c>
      <c r="DH3" t="n">
        <v>2.32</v>
      </c>
      <c r="DJ3" t="n">
        <v>0.8129999999999999</v>
      </c>
      <c r="DP3" t="n">
        <v>3.63</v>
      </c>
      <c r="DV3" t="n">
        <v>0.238</v>
      </c>
      <c r="DZ3" t="n">
        <v>3.35</v>
      </c>
      <c r="EH3" t="n">
        <v>1.82</v>
      </c>
      <c r="EJ3" t="n">
        <v>1.46</v>
      </c>
      <c r="EK3" t="n">
        <v>1.46</v>
      </c>
      <c r="EN3" t="n">
        <v>0.011</v>
      </c>
      <c r="EP3" t="n">
        <v>0.011</v>
      </c>
      <c r="EU3" t="n">
        <v>0.02</v>
      </c>
      <c r="EW3" t="n">
        <v>0.02</v>
      </c>
      <c r="FW3" t="n">
        <v>411</v>
      </c>
      <c r="FX3" t="n">
        <v>0.166</v>
      </c>
      <c r="FY3" t="n">
        <v>0.594</v>
      </c>
      <c r="FZ3" t="n">
        <v>0.616</v>
      </c>
      <c r="GA3" t="n">
        <v>1.05</v>
      </c>
      <c r="GB3" t="n">
        <v>0.832</v>
      </c>
      <c r="GC3" t="n">
        <v>0.418</v>
      </c>
      <c r="GD3" t="n">
        <v>0.66</v>
      </c>
      <c r="GE3" t="n">
        <v>0.512</v>
      </c>
      <c r="GF3" t="n">
        <v>0.734</v>
      </c>
      <c r="GG3" t="n">
        <v>0.787</v>
      </c>
      <c r="GH3" t="n">
        <v>0.283</v>
      </c>
      <c r="GI3" t="n">
        <v>0.667</v>
      </c>
      <c r="GJ3" t="n">
        <v>1.27</v>
      </c>
      <c r="GK3" t="n">
        <v>1.63</v>
      </c>
      <c r="GL3" t="n">
        <v>0.408</v>
      </c>
      <c r="GM3" t="n">
        <v>0.5600000000000001</v>
      </c>
      <c r="GN3" t="n">
        <v>0.919</v>
      </c>
      <c r="GO3" t="n">
        <v>0</v>
      </c>
      <c r="GP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116.4730390055723</v>
      </c>
      <c r="F4" s="10">
        <f>E4/SUM($E$3:$E$33)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T4" t="n">
        <v>0</v>
      </c>
      <c r="AD4" t="n">
        <v>10</v>
      </c>
      <c r="AE4" t="n">
        <v>0</v>
      </c>
      <c r="AF4" t="n">
        <v>2</v>
      </c>
      <c r="AG4" t="n">
        <v>0</v>
      </c>
      <c r="AH4" t="n">
        <v>0</v>
      </c>
      <c r="AI4" t="n">
        <v>2</v>
      </c>
      <c r="AJ4" t="n">
        <v>0</v>
      </c>
      <c r="AK4" t="n">
        <v>0.007</v>
      </c>
      <c r="AN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M4" t="n">
        <v>0</v>
      </c>
      <c r="BO4" t="n">
        <v>0</v>
      </c>
      <c r="BQ4" t="n">
        <v>0</v>
      </c>
      <c r="BR4" t="n">
        <v>0</v>
      </c>
      <c r="BU4" t="n">
        <v>0</v>
      </c>
      <c r="BY4" t="n">
        <v>0</v>
      </c>
      <c r="BZ4" t="n">
        <v>0</v>
      </c>
      <c r="CD4" t="n">
        <v>0</v>
      </c>
      <c r="CG4" t="n">
        <v>0</v>
      </c>
      <c r="CH4" t="n">
        <v>0</v>
      </c>
      <c r="CP4" t="n">
        <v>0</v>
      </c>
      <c r="CQ4" t="n">
        <v>0</v>
      </c>
      <c r="CS4" t="n">
        <v>0</v>
      </c>
      <c r="CT4" t="n">
        <v>0</v>
      </c>
      <c r="CU4" t="n">
        <v>0</v>
      </c>
      <c r="CV4" t="n">
        <v>0</v>
      </c>
      <c r="CX4" t="n">
        <v>0</v>
      </c>
      <c r="CZ4" t="n">
        <v>0</v>
      </c>
      <c r="DB4" t="n">
        <v>0</v>
      </c>
      <c r="DD4" t="n">
        <v>0</v>
      </c>
      <c r="DF4" t="n">
        <v>0</v>
      </c>
      <c r="DH4" t="n">
        <v>0</v>
      </c>
      <c r="DJ4" t="n">
        <v>0</v>
      </c>
      <c r="DP4" t="n">
        <v>0</v>
      </c>
      <c r="DU4" t="n">
        <v>0</v>
      </c>
      <c r="DY4" t="n">
        <v>0</v>
      </c>
      <c r="EA4" t="n">
        <v>0</v>
      </c>
      <c r="EC4" t="n">
        <v>0</v>
      </c>
      <c r="EH4" t="n">
        <v>0</v>
      </c>
      <c r="EI4" t="n">
        <v>0</v>
      </c>
      <c r="EM4" t="n">
        <v>0</v>
      </c>
      <c r="EQ4" t="n">
        <v>0</v>
      </c>
      <c r="EY4" t="n">
        <v>0</v>
      </c>
      <c r="FB4" t="n">
        <v>0</v>
      </c>
      <c r="FG4" t="n">
        <v>0</v>
      </c>
      <c r="FI4" t="n">
        <v>0</v>
      </c>
      <c r="FJ4" t="n">
        <v>0</v>
      </c>
      <c r="FW4" t="n">
        <v>0</v>
      </c>
      <c r="HL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39.66666666666669</v>
      </c>
      <c r="F5" s="10">
        <f>E5/SUM($E$3:$E$33)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T5" t="n">
        <v>2.17</v>
      </c>
      <c r="U5" t="n">
        <v>0.02</v>
      </c>
      <c r="V5" t="n">
        <v>1.04</v>
      </c>
      <c r="W5" t="n">
        <v>1.11</v>
      </c>
      <c r="X5" t="n">
        <v>0</v>
      </c>
      <c r="Y5" t="n">
        <v>0</v>
      </c>
      <c r="Z5" t="n">
        <v>0</v>
      </c>
      <c r="AD5" t="n">
        <v>1000</v>
      </c>
      <c r="AE5" t="n">
        <v>8.32</v>
      </c>
      <c r="AF5" t="n">
        <v>60</v>
      </c>
      <c r="AG5" t="n">
        <v>64</v>
      </c>
      <c r="AH5" t="n">
        <v>431</v>
      </c>
      <c r="AI5" t="n">
        <v>10</v>
      </c>
      <c r="AJ5" t="n">
        <v>1.83</v>
      </c>
      <c r="AK5" t="n">
        <v>0.339</v>
      </c>
      <c r="AL5" t="n">
        <v>17.5</v>
      </c>
      <c r="AN5" t="n">
        <v>3.1</v>
      </c>
      <c r="AQ5" t="n">
        <v>6</v>
      </c>
      <c r="AR5" t="n">
        <v>0.022</v>
      </c>
      <c r="AS5" t="n">
        <v>0.041</v>
      </c>
      <c r="AT5" t="n">
        <v>1.33</v>
      </c>
      <c r="AU5" t="n">
        <v>0.158</v>
      </c>
      <c r="AV5" t="n">
        <v>6</v>
      </c>
      <c r="AW5" t="n">
        <v>0</v>
      </c>
      <c r="AX5" t="n">
        <v>6</v>
      </c>
      <c r="AY5" t="n">
        <v>11</v>
      </c>
      <c r="BE5" t="n">
        <v>3.9</v>
      </c>
      <c r="BF5" t="n">
        <v>0</v>
      </c>
      <c r="BG5" t="n">
        <v>0</v>
      </c>
      <c r="BH5" t="n">
        <v>15</v>
      </c>
      <c r="BI5" t="n">
        <v>0</v>
      </c>
      <c r="BJ5" t="n">
        <v>112</v>
      </c>
      <c r="BM5" t="n">
        <v>1</v>
      </c>
      <c r="BO5" t="n">
        <v>129</v>
      </c>
      <c r="BQ5" t="n">
        <v>295</v>
      </c>
      <c r="BR5" t="n">
        <v>15</v>
      </c>
      <c r="BU5" t="n">
        <v>222</v>
      </c>
      <c r="BY5" t="n">
        <v>0</v>
      </c>
      <c r="BZ5" t="n">
        <v>0</v>
      </c>
      <c r="CD5" t="n">
        <v>31.2</v>
      </c>
      <c r="CE5" t="n">
        <v>0</v>
      </c>
      <c r="CG5" t="n">
        <v>2.32</v>
      </c>
      <c r="CH5" t="n">
        <v>0</v>
      </c>
      <c r="CI5" t="n">
        <v>0</v>
      </c>
      <c r="CJ5" t="n">
        <v>10.4</v>
      </c>
      <c r="CK5" t="n">
        <v>0.26</v>
      </c>
      <c r="CL5" t="n">
        <v>0</v>
      </c>
      <c r="CM5" t="n">
        <v>0</v>
      </c>
      <c r="CN5" t="n">
        <v>0</v>
      </c>
      <c r="CO5" t="n">
        <v>0</v>
      </c>
      <c r="CP5" t="n">
        <v>3.8</v>
      </c>
      <c r="CQ5" t="n">
        <v>0.358</v>
      </c>
      <c r="CS5" t="n">
        <v>0</v>
      </c>
      <c r="CT5" t="n">
        <v>0</v>
      </c>
      <c r="CU5" t="n">
        <v>0.345</v>
      </c>
      <c r="CV5" t="n">
        <v>0</v>
      </c>
      <c r="CX5" t="n">
        <v>0</v>
      </c>
      <c r="CZ5" t="n">
        <v>0</v>
      </c>
      <c r="DB5" t="n">
        <v>0.003</v>
      </c>
      <c r="DD5" t="n">
        <v>0.006</v>
      </c>
      <c r="DE5" t="n">
        <v>0</v>
      </c>
      <c r="DF5" t="n">
        <v>0.008999999999999999</v>
      </c>
      <c r="DG5" t="n">
        <v>0</v>
      </c>
      <c r="DH5" t="n">
        <v>0.104</v>
      </c>
      <c r="DI5" t="n">
        <v>0.136</v>
      </c>
      <c r="DJ5" t="n">
        <v>0.082</v>
      </c>
      <c r="DK5" t="n">
        <v>0</v>
      </c>
      <c r="DM5" t="n">
        <v>0</v>
      </c>
      <c r="DO5" t="n">
        <v>0</v>
      </c>
      <c r="DP5" t="n">
        <v>0.246</v>
      </c>
      <c r="DR5" t="n">
        <v>0</v>
      </c>
      <c r="DT5" t="n">
        <v>0</v>
      </c>
      <c r="DU5" t="n">
        <v>0.001</v>
      </c>
      <c r="DW5" t="n">
        <v>0</v>
      </c>
      <c r="DY5" t="n">
        <v>0.246</v>
      </c>
      <c r="DZ5" t="n">
        <v>0.246</v>
      </c>
      <c r="EA5" t="n">
        <v>0</v>
      </c>
      <c r="EC5" t="n">
        <v>0</v>
      </c>
      <c r="EG5" t="n">
        <v>0</v>
      </c>
      <c r="EH5" t="n">
        <v>0.068</v>
      </c>
      <c r="EI5" t="n">
        <v>0.044</v>
      </c>
      <c r="EM5" t="n">
        <v>0.011</v>
      </c>
      <c r="EO5" t="n">
        <v>0.011</v>
      </c>
      <c r="EP5" t="n">
        <v>0</v>
      </c>
      <c r="EQ5" t="n">
        <v>0</v>
      </c>
      <c r="ES5" t="n">
        <v>0</v>
      </c>
      <c r="ET5" t="n">
        <v>0</v>
      </c>
      <c r="EY5" t="n">
        <v>0</v>
      </c>
      <c r="FB5" t="n">
        <v>0</v>
      </c>
      <c r="FG5" t="n">
        <v>0</v>
      </c>
      <c r="FI5" t="n">
        <v>0</v>
      </c>
      <c r="FJ5" t="n">
        <v>0</v>
      </c>
      <c r="FK5" t="n">
        <v>0</v>
      </c>
      <c r="FP5" t="n">
        <v>0</v>
      </c>
      <c r="FW5" t="n">
        <v>0</v>
      </c>
      <c r="FX5" t="n">
        <v>0.049</v>
      </c>
      <c r="FY5" t="n">
        <v>0.136</v>
      </c>
      <c r="FZ5" t="n">
        <v>0.146</v>
      </c>
      <c r="GA5" t="n">
        <v>0.253</v>
      </c>
      <c r="GB5" t="n">
        <v>0.243</v>
      </c>
      <c r="GC5" t="n">
        <v>0.078</v>
      </c>
      <c r="GD5" t="n">
        <v>0.146</v>
      </c>
      <c r="GE5" t="n">
        <v>0.136</v>
      </c>
      <c r="GF5" t="n">
        <v>0.224</v>
      </c>
      <c r="GG5" t="n">
        <v>0.166</v>
      </c>
      <c r="GH5" t="n">
        <v>0.117</v>
      </c>
      <c r="GI5" t="n">
        <v>0.166</v>
      </c>
      <c r="GJ5" t="n">
        <v>0.438</v>
      </c>
      <c r="GK5" t="n">
        <v>0.37</v>
      </c>
      <c r="GL5" t="n">
        <v>0.195</v>
      </c>
      <c r="GM5" t="n">
        <v>0.419</v>
      </c>
      <c r="GN5" t="n">
        <v>0.195</v>
      </c>
      <c r="GO5" t="n">
        <v>0</v>
      </c>
      <c r="GP5" t="n">
        <v>0.058</v>
      </c>
      <c r="GQ5" t="n">
        <v>26</v>
      </c>
      <c r="HL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30</v>
      </c>
      <c r="F6" s="10">
        <f>E6/SUM($E$3:$E$33)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T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N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M6" t="n">
        <v>0</v>
      </c>
      <c r="BO6" t="n">
        <v>0</v>
      </c>
      <c r="BQ6" t="n">
        <v>0</v>
      </c>
      <c r="BR6" t="n">
        <v>0</v>
      </c>
      <c r="BU6" t="n">
        <v>0</v>
      </c>
      <c r="BY6" t="n">
        <v>0</v>
      </c>
      <c r="BZ6" t="n">
        <v>0</v>
      </c>
      <c r="CD6" t="n">
        <v>71.3</v>
      </c>
      <c r="CE6" t="n">
        <v>0</v>
      </c>
      <c r="CF6" t="n">
        <v>0</v>
      </c>
      <c r="CG6" t="n">
        <v>17.5</v>
      </c>
      <c r="CH6" t="n">
        <v>0</v>
      </c>
      <c r="CI6" t="n">
        <v>0.01</v>
      </c>
      <c r="CJ6" t="n">
        <v>27.3</v>
      </c>
      <c r="CK6" t="n">
        <v>0.99</v>
      </c>
      <c r="CL6" t="n">
        <v>0.03</v>
      </c>
      <c r="CM6" t="n">
        <v>0</v>
      </c>
      <c r="CN6" t="n">
        <v>0</v>
      </c>
      <c r="CO6" t="n">
        <v>0.01</v>
      </c>
      <c r="CP6" t="n">
        <v>0</v>
      </c>
      <c r="CQ6" t="n">
        <v>0</v>
      </c>
      <c r="CS6" t="n">
        <v>0</v>
      </c>
      <c r="CT6" t="n">
        <v>0</v>
      </c>
      <c r="CU6" t="n">
        <v>7.36</v>
      </c>
      <c r="CV6" t="n">
        <v>0</v>
      </c>
      <c r="CX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4.3</v>
      </c>
      <c r="DI6" t="n">
        <v>0</v>
      </c>
      <c r="DJ6" t="n">
        <v>2.09</v>
      </c>
      <c r="DK6" t="n">
        <v>0.65</v>
      </c>
      <c r="DM6" t="n">
        <v>0.33</v>
      </c>
      <c r="DP6" t="n">
        <v>63.3</v>
      </c>
      <c r="DR6" t="n">
        <v>0</v>
      </c>
      <c r="DT6" t="n">
        <v>0</v>
      </c>
      <c r="DU6" t="n">
        <v>0.214</v>
      </c>
      <c r="DW6" t="n">
        <v>0</v>
      </c>
      <c r="DY6" t="n">
        <v>61.7</v>
      </c>
      <c r="DZ6" t="n">
        <v>61.7</v>
      </c>
      <c r="EA6" t="n">
        <v>1.32</v>
      </c>
      <c r="EC6" t="n">
        <v>0</v>
      </c>
      <c r="EH6" t="n">
        <v>28.1</v>
      </c>
      <c r="EI6" t="n">
        <v>19</v>
      </c>
      <c r="EK6" t="n">
        <v>18.6</v>
      </c>
      <c r="EM6" t="n">
        <v>9.140000000000001</v>
      </c>
      <c r="EO6" t="n">
        <v>9.140000000000001</v>
      </c>
      <c r="EP6" t="n">
        <v>0</v>
      </c>
      <c r="EQ6" t="n">
        <v>0</v>
      </c>
      <c r="ES6" t="n">
        <v>0</v>
      </c>
      <c r="ET6" t="n">
        <v>0</v>
      </c>
      <c r="EY6" t="n">
        <v>0</v>
      </c>
      <c r="FB6" t="n">
        <v>0</v>
      </c>
      <c r="FG6" t="n">
        <v>0</v>
      </c>
      <c r="FI6" t="n">
        <v>0</v>
      </c>
      <c r="FJ6" t="n">
        <v>0.395</v>
      </c>
      <c r="FK6" t="n">
        <v>0.03</v>
      </c>
      <c r="FM6" t="n">
        <v>0.365</v>
      </c>
      <c r="FP6" t="n">
        <v>0.03</v>
      </c>
      <c r="FR6" t="n">
        <v>0.365</v>
      </c>
      <c r="FW6" t="n">
        <v>0</v>
      </c>
      <c r="GR6" t="n">
        <v>413</v>
      </c>
      <c r="GT6" t="n">
        <v>241</v>
      </c>
      <c r="GX6" t="n">
        <v>3</v>
      </c>
      <c r="HL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5</v>
      </c>
      <c r="F7" s="10">
        <f>E7/SUM($E$3:$E$33)</f>
        <v/>
      </c>
      <c r="H7" t="n">
        <v>851.4</v>
      </c>
      <c r="I7" t="n">
        <v>3562.2576</v>
      </c>
      <c r="L7" t="n">
        <v>94.59999999999999</v>
      </c>
      <c r="M7" t="n">
        <v>94.59999999999999</v>
      </c>
      <c r="CG7" t="n">
        <v>12.2</v>
      </c>
      <c r="CI7" t="n">
        <v>1.8</v>
      </c>
      <c r="CJ7" t="n">
        <v>70.40000000000001</v>
      </c>
      <c r="CK7" t="n">
        <v>22</v>
      </c>
      <c r="CL7" t="n">
        <v>0</v>
      </c>
      <c r="CM7" t="n">
        <v>1.6</v>
      </c>
      <c r="CN7" t="n">
        <v>0</v>
      </c>
      <c r="CO7" t="n">
        <v>0</v>
      </c>
      <c r="CU7" t="n">
        <v>14.9</v>
      </c>
      <c r="DF7" t="n">
        <v>0.075</v>
      </c>
      <c r="DG7" t="n">
        <v>0.014</v>
      </c>
      <c r="DH7" t="n">
        <v>10.3</v>
      </c>
      <c r="DI7" t="n">
        <v>0.08599999999999999</v>
      </c>
      <c r="DJ7" t="n">
        <v>3.71</v>
      </c>
      <c r="DK7" t="n">
        <v>0.294</v>
      </c>
      <c r="DL7" t="n">
        <v>0.025</v>
      </c>
      <c r="DM7" t="n">
        <v>0.306</v>
      </c>
      <c r="DO7" t="n">
        <v>0.124</v>
      </c>
      <c r="DP7" t="n">
        <v>22.1</v>
      </c>
      <c r="DV7" t="n">
        <v>0.08</v>
      </c>
      <c r="DZ7" t="n">
        <v>21.4</v>
      </c>
      <c r="EB7" t="n">
        <v>0.6</v>
      </c>
      <c r="EH7" t="n">
        <v>57.6</v>
      </c>
      <c r="EJ7" t="n">
        <v>50.9</v>
      </c>
      <c r="EK7" t="n">
        <v>50.9</v>
      </c>
      <c r="EN7" t="n">
        <v>6.62</v>
      </c>
      <c r="EO7" t="n">
        <v>6.62</v>
      </c>
      <c r="EU7" t="n">
        <v>0</v>
      </c>
      <c r="EW7" t="n">
        <v>0</v>
      </c>
      <c r="GR7" t="n">
        <v>153</v>
      </c>
      <c r="GS7" t="n">
        <v>0</v>
      </c>
      <c r="GT7" t="n">
        <v>58</v>
      </c>
      <c r="GU7" t="n">
        <v>2.15</v>
      </c>
      <c r="GV7" t="n">
        <v>10.5</v>
      </c>
      <c r="GW7" t="n">
        <v>20.8</v>
      </c>
      <c r="GX7" t="n">
        <v>55.4</v>
      </c>
      <c r="GY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3.130147163880557</v>
      </c>
      <c r="F8" s="10">
        <f>E8/SUM($E$3:$E$33)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99.8</v>
      </c>
      <c r="O8" t="n">
        <v>0</v>
      </c>
      <c r="P8" t="n">
        <v>0</v>
      </c>
      <c r="T8" t="n">
        <v>0</v>
      </c>
      <c r="AD8" t="n">
        <v>24</v>
      </c>
      <c r="AE8" t="n">
        <v>0.33</v>
      </c>
      <c r="AF8" t="n">
        <v>1</v>
      </c>
      <c r="AG8" t="n">
        <v>0</v>
      </c>
      <c r="AH8" t="n">
        <v>8</v>
      </c>
      <c r="AI8" t="n">
        <v>38800</v>
      </c>
      <c r="AJ8" t="n">
        <v>0.1</v>
      </c>
      <c r="AK8" t="n">
        <v>0.03</v>
      </c>
      <c r="AL8" t="n">
        <v>0.1</v>
      </c>
      <c r="AN8" t="n">
        <v>0.1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M8" t="n">
        <v>0</v>
      </c>
      <c r="BO8" t="n">
        <v>0</v>
      </c>
      <c r="BQ8" t="n">
        <v>0</v>
      </c>
      <c r="BR8" t="n">
        <v>0</v>
      </c>
      <c r="BU8" t="n">
        <v>0</v>
      </c>
      <c r="BY8" t="n">
        <v>0</v>
      </c>
      <c r="BZ8" t="n">
        <v>0</v>
      </c>
      <c r="CD8" t="n">
        <v>0</v>
      </c>
      <c r="CG8" t="n">
        <v>0</v>
      </c>
      <c r="CH8" t="n">
        <v>0</v>
      </c>
      <c r="CP8" t="n">
        <v>0</v>
      </c>
      <c r="CQ8" t="n">
        <v>0</v>
      </c>
      <c r="CS8" t="n">
        <v>0</v>
      </c>
      <c r="CT8" t="n">
        <v>0</v>
      </c>
      <c r="CU8" t="n">
        <v>0</v>
      </c>
      <c r="CV8" t="n">
        <v>0</v>
      </c>
      <c r="CX8" t="n">
        <v>0</v>
      </c>
      <c r="CZ8" t="n">
        <v>0</v>
      </c>
      <c r="DB8" t="n">
        <v>0</v>
      </c>
      <c r="DD8" t="n">
        <v>0</v>
      </c>
      <c r="DF8" t="n">
        <v>0</v>
      </c>
      <c r="DH8" t="n">
        <v>0</v>
      </c>
      <c r="DJ8" t="n">
        <v>0</v>
      </c>
      <c r="DP8" t="n">
        <v>0</v>
      </c>
      <c r="DU8" t="n">
        <v>0</v>
      </c>
      <c r="DY8" t="n">
        <v>0</v>
      </c>
      <c r="EA8" t="n">
        <v>0</v>
      </c>
      <c r="EC8" t="n">
        <v>0</v>
      </c>
      <c r="EH8" t="n">
        <v>0</v>
      </c>
      <c r="EI8" t="n">
        <v>0</v>
      </c>
      <c r="EM8" t="n">
        <v>0</v>
      </c>
      <c r="EQ8" t="n">
        <v>0</v>
      </c>
      <c r="EY8" t="n">
        <v>0</v>
      </c>
      <c r="FB8" t="n">
        <v>0</v>
      </c>
      <c r="FG8" t="n">
        <v>0</v>
      </c>
      <c r="FI8" t="n">
        <v>0</v>
      </c>
      <c r="FJ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P8" t="n">
        <v>0</v>
      </c>
      <c r="GQ8" t="n">
        <v>0</v>
      </c>
      <c r="HL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32.80000000000001</v>
      </c>
      <c r="F9" s="10">
        <f>E9/SUM($E$3:$E$33)</f>
        <v/>
      </c>
      <c r="G9" t="n">
        <v>9.449999999999999</v>
      </c>
      <c r="H9" t="n">
        <v>360.48</v>
      </c>
      <c r="I9" t="n">
        <v>1508.24832</v>
      </c>
      <c r="J9" t="n">
        <v>3.77</v>
      </c>
      <c r="K9" t="n">
        <v>23.6</v>
      </c>
      <c r="L9" t="n">
        <v>1.92</v>
      </c>
      <c r="M9" t="n">
        <v>1.92</v>
      </c>
      <c r="N9" t="n">
        <v>2.88</v>
      </c>
      <c r="O9" t="n">
        <v>62.2</v>
      </c>
      <c r="AA9" t="n">
        <v>37.1</v>
      </c>
      <c r="AB9" t="n">
        <v>16</v>
      </c>
      <c r="AD9" t="n">
        <v>61.8</v>
      </c>
      <c r="AE9" t="n">
        <v>7.16</v>
      </c>
      <c r="AF9" t="n">
        <v>107</v>
      </c>
      <c r="AG9" t="n">
        <v>374</v>
      </c>
      <c r="AH9" t="n">
        <v>949</v>
      </c>
      <c r="AI9" t="n">
        <v>0</v>
      </c>
      <c r="AJ9" t="n">
        <v>3.86</v>
      </c>
      <c r="AK9" t="n">
        <v>0.838</v>
      </c>
      <c r="AL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100</v>
      </c>
      <c r="F10" s="10">
        <f>E10/SUM($E$3:$E$33)</f>
        <v/>
      </c>
      <c r="G10" t="n">
        <v>3.11</v>
      </c>
      <c r="H10" t="n">
        <v>476.74</v>
      </c>
      <c r="I10" t="n">
        <v>1994.68016</v>
      </c>
      <c r="J10" t="n">
        <v>0.8336</v>
      </c>
      <c r="K10" t="n">
        <v>5.21</v>
      </c>
      <c r="L10" t="n">
        <v>19.1</v>
      </c>
      <c r="M10" t="n">
        <v>19.1</v>
      </c>
      <c r="O10" t="n">
        <v>71</v>
      </c>
      <c r="P10" t="n">
        <v>2.9</v>
      </c>
      <c r="T10" t="n">
        <v>40.7</v>
      </c>
      <c r="AD10" t="n">
        <v>21</v>
      </c>
      <c r="AE10" t="n">
        <v>12.1</v>
      </c>
      <c r="AF10" t="n">
        <v>47</v>
      </c>
      <c r="AG10" t="n">
        <v>93</v>
      </c>
      <c r="AH10" t="n">
        <v>234</v>
      </c>
      <c r="AI10" t="n">
        <v>388</v>
      </c>
      <c r="AJ10" t="n">
        <v>0.74</v>
      </c>
      <c r="AK10" t="n">
        <v>0.334</v>
      </c>
      <c r="AN10" t="n">
        <v>5.2</v>
      </c>
      <c r="AQ10" t="n">
        <v>3</v>
      </c>
      <c r="AR10" t="n">
        <v>0.197</v>
      </c>
      <c r="AS10" t="n">
        <v>0.238</v>
      </c>
      <c r="AT10" t="n">
        <v>2.6</v>
      </c>
      <c r="AU10" t="n">
        <v>0.023</v>
      </c>
      <c r="AV10" t="n">
        <v>61</v>
      </c>
      <c r="AW10" t="n">
        <v>58</v>
      </c>
      <c r="AX10" t="n">
        <v>102</v>
      </c>
      <c r="AY10" t="n">
        <v>19.2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M10" t="n">
        <v>0</v>
      </c>
      <c r="BO10" t="n">
        <v>0</v>
      </c>
      <c r="BR10" t="n">
        <v>0</v>
      </c>
      <c r="BU10" t="n">
        <v>4</v>
      </c>
      <c r="BZ10" t="n">
        <v>0</v>
      </c>
      <c r="CD10" t="n">
        <v>27.4</v>
      </c>
      <c r="CG10" t="n">
        <v>2.47</v>
      </c>
      <c r="CH10" t="n">
        <v>0</v>
      </c>
      <c r="CP10" t="n">
        <v>0</v>
      </c>
      <c r="CS10" t="n">
        <v>5</v>
      </c>
      <c r="CT10" t="n">
        <v>184</v>
      </c>
      <c r="CU10" t="n">
        <v>5.65</v>
      </c>
      <c r="CV10" t="n">
        <v>0</v>
      </c>
      <c r="CX10" t="n">
        <v>0</v>
      </c>
      <c r="CZ10" t="n">
        <v>0.003</v>
      </c>
      <c r="DB10" t="n">
        <v>0.011</v>
      </c>
      <c r="DD10" t="n">
        <v>0.045</v>
      </c>
      <c r="DF10" t="n">
        <v>0.111</v>
      </c>
      <c r="DH10" t="n">
        <v>4.45</v>
      </c>
      <c r="DJ10" t="n">
        <v>0.857</v>
      </c>
      <c r="DP10" t="n">
        <v>9.279999999999999</v>
      </c>
      <c r="DU10" t="n">
        <v>0.036</v>
      </c>
      <c r="DY10" t="n">
        <v>9.109999999999999</v>
      </c>
      <c r="EA10" t="n">
        <v>0.12</v>
      </c>
      <c r="EC10" t="n">
        <v>0.003</v>
      </c>
      <c r="EH10" t="n">
        <v>3.56</v>
      </c>
      <c r="EI10" t="n">
        <v>3.25</v>
      </c>
      <c r="EM10" t="n">
        <v>0.298</v>
      </c>
      <c r="EQ10" t="n">
        <v>0</v>
      </c>
      <c r="EY10" t="n">
        <v>0.004</v>
      </c>
      <c r="FB10" t="n">
        <v>0</v>
      </c>
      <c r="FG10" t="n">
        <v>0</v>
      </c>
      <c r="FI10" t="n">
        <v>0</v>
      </c>
      <c r="FW10" t="n">
        <v>0</v>
      </c>
      <c r="HL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100</v>
      </c>
      <c r="F11" s="10">
        <f>E11/SUM($E$3:$E$33)</f>
        <v/>
      </c>
      <c r="G11" t="n">
        <v>88.09999999999999</v>
      </c>
      <c r="H11" t="n">
        <v>60.40000000000001</v>
      </c>
      <c r="I11" t="n">
        <v>252.7136</v>
      </c>
      <c r="J11" t="n">
        <v>0.51</v>
      </c>
      <c r="K11" t="n">
        <v>3.27</v>
      </c>
      <c r="L11" t="n">
        <v>2.77</v>
      </c>
      <c r="M11" t="n">
        <v>3.2</v>
      </c>
      <c r="N11" t="n">
        <v>0.8</v>
      </c>
      <c r="O11" t="n">
        <v>4.63</v>
      </c>
      <c r="T11" t="n">
        <v>4.81</v>
      </c>
      <c r="U11" t="n">
        <v>0</v>
      </c>
      <c r="V11" t="n">
        <v>0</v>
      </c>
      <c r="W11" t="n">
        <v>0</v>
      </c>
      <c r="X11" t="n">
        <v>4.81</v>
      </c>
      <c r="Y11" t="n">
        <v>0</v>
      </c>
      <c r="Z11" t="n">
        <v>0</v>
      </c>
      <c r="AD11" t="n">
        <v>123</v>
      </c>
      <c r="AE11" t="n">
        <v>0</v>
      </c>
      <c r="AF11" t="n">
        <v>11.9</v>
      </c>
      <c r="AG11" t="n">
        <v>101</v>
      </c>
      <c r="AH11" t="n">
        <v>150</v>
      </c>
      <c r="AI11" t="n">
        <v>38</v>
      </c>
      <c r="AJ11" t="n">
        <v>0.42</v>
      </c>
      <c r="AK11" t="n">
        <v>0.001</v>
      </c>
      <c r="AL11" t="n">
        <v>0</v>
      </c>
      <c r="AM11" t="n">
        <v>37.9</v>
      </c>
      <c r="AN11" t="n">
        <v>1.9</v>
      </c>
      <c r="AR11" t="n">
        <v>0.056</v>
      </c>
      <c r="AS11" t="n">
        <v>0.138</v>
      </c>
      <c r="AT11" t="n">
        <v>0.105</v>
      </c>
      <c r="AU11" t="n">
        <v>0.061</v>
      </c>
      <c r="AV11" t="n">
        <v>0</v>
      </c>
      <c r="AY11" t="n">
        <v>17.8</v>
      </c>
      <c r="AZ11" t="n">
        <v>3</v>
      </c>
      <c r="BA11" t="n">
        <v>1.3</v>
      </c>
      <c r="BB11" t="n">
        <v>1.8</v>
      </c>
      <c r="BC11" t="n">
        <v>10.3</v>
      </c>
      <c r="BD11" t="n">
        <v>1.4</v>
      </c>
      <c r="BE11" t="n">
        <v>0.7</v>
      </c>
      <c r="BF11" t="n">
        <v>0.54</v>
      </c>
      <c r="BH11" t="n">
        <v>32</v>
      </c>
      <c r="BI11" t="n">
        <v>31</v>
      </c>
      <c r="BJ11" t="n">
        <v>7</v>
      </c>
      <c r="BK11" t="n">
        <v>2</v>
      </c>
      <c r="BL11" t="n">
        <v>5</v>
      </c>
      <c r="BM11" t="n">
        <v>0</v>
      </c>
      <c r="BO11" t="n">
        <v>0</v>
      </c>
      <c r="BP11" t="n">
        <v>0</v>
      </c>
      <c r="BR11" t="n">
        <v>0</v>
      </c>
      <c r="BS11" t="n">
        <v>0</v>
      </c>
      <c r="BT11" t="n">
        <v>0</v>
      </c>
      <c r="BV11" t="n">
        <v>0</v>
      </c>
      <c r="BW11" t="n">
        <v>5</v>
      </c>
      <c r="BX11" t="n">
        <v>1</v>
      </c>
      <c r="BY11" t="n">
        <v>38.4</v>
      </c>
      <c r="BZ11" t="n">
        <v>0.96</v>
      </c>
      <c r="CA11" t="n">
        <v>0</v>
      </c>
      <c r="CB11" t="n">
        <v>0.96</v>
      </c>
      <c r="CC11" t="n">
        <v>0</v>
      </c>
      <c r="CG11" t="n">
        <v>0.05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Q11" t="n">
        <v>0.362</v>
      </c>
      <c r="CU11" t="n">
        <v>1.86</v>
      </c>
      <c r="CV11" t="n">
        <v>0.067</v>
      </c>
      <c r="CW11" t="n">
        <v>0</v>
      </c>
      <c r="CX11" t="n">
        <v>0.054</v>
      </c>
      <c r="CY11" t="n">
        <v>0</v>
      </c>
      <c r="CZ11" t="n">
        <v>0.034</v>
      </c>
      <c r="DA11" t="n">
        <v>0</v>
      </c>
      <c r="DB11" t="n">
        <v>0.08400000000000001</v>
      </c>
      <c r="DC11" t="n">
        <v>0</v>
      </c>
      <c r="DD11" t="n">
        <v>0.097</v>
      </c>
      <c r="DF11" t="n">
        <v>0.303</v>
      </c>
      <c r="DG11" t="n">
        <v>0.032</v>
      </c>
      <c r="DH11" t="n">
        <v>0.857</v>
      </c>
      <c r="DI11" t="n">
        <v>0.018</v>
      </c>
      <c r="DJ11" t="n">
        <v>0.309</v>
      </c>
      <c r="DK11" t="n">
        <v>0.004</v>
      </c>
      <c r="DL11" t="n">
        <v>0</v>
      </c>
      <c r="DM11" t="n">
        <v>0.002</v>
      </c>
      <c r="DN11" t="n">
        <v>0</v>
      </c>
      <c r="DO11" t="n">
        <v>0.001</v>
      </c>
      <c r="DP11" t="n">
        <v>0.6879999999999999</v>
      </c>
      <c r="DQ11" t="n">
        <v>0.001</v>
      </c>
      <c r="DS11" t="n">
        <v>0.024</v>
      </c>
      <c r="DT11" t="n">
        <v>0</v>
      </c>
      <c r="DV11" t="n">
        <v>0.039</v>
      </c>
      <c r="DW11" t="n">
        <v>0.005</v>
      </c>
      <c r="DX11" t="n">
        <v>0.005</v>
      </c>
      <c r="DZ11" t="n">
        <v>0.612</v>
      </c>
      <c r="EB11" t="n">
        <v>0.004</v>
      </c>
      <c r="ED11" t="n">
        <v>0</v>
      </c>
      <c r="EE11" t="n">
        <v>0</v>
      </c>
      <c r="EF11" t="n">
        <v>0</v>
      </c>
      <c r="EG11" t="n">
        <v>0</v>
      </c>
      <c r="EH11" t="n">
        <v>0.108</v>
      </c>
      <c r="EJ11" t="n">
        <v>0.097</v>
      </c>
      <c r="EK11" t="n">
        <v>0.08400000000000001</v>
      </c>
      <c r="EL11" t="n">
        <v>0.013</v>
      </c>
      <c r="EN11" t="n">
        <v>0.013</v>
      </c>
      <c r="EO11" t="n">
        <v>0.012</v>
      </c>
      <c r="EP11" t="n">
        <v>0.001</v>
      </c>
      <c r="EQ11" t="n">
        <v>0</v>
      </c>
      <c r="ER11" t="n">
        <v>0.001</v>
      </c>
      <c r="ES11" t="n">
        <v>0.001</v>
      </c>
      <c r="EU11" t="n">
        <v>0.004</v>
      </c>
      <c r="EV11" t="n">
        <v>0</v>
      </c>
      <c r="EW11" t="n">
        <v>0.004</v>
      </c>
      <c r="EX11" t="n">
        <v>0</v>
      </c>
      <c r="EY11" t="n">
        <v>0.004</v>
      </c>
      <c r="EZ11" t="n">
        <v>0.004</v>
      </c>
      <c r="FA11" t="n">
        <v>0.001</v>
      </c>
      <c r="FB11" t="n">
        <v>0.001</v>
      </c>
      <c r="FC11" t="n">
        <v>0</v>
      </c>
      <c r="FD11" t="n">
        <v>0</v>
      </c>
      <c r="FE11" t="n">
        <v>0.001</v>
      </c>
      <c r="FF11" t="n">
        <v>0.002</v>
      </c>
      <c r="FG11" t="n">
        <v>0.002</v>
      </c>
      <c r="FH11" t="n">
        <v>0</v>
      </c>
      <c r="FI11" t="n">
        <v>0</v>
      </c>
      <c r="FJ11" t="n">
        <v>0.112</v>
      </c>
      <c r="FK11" t="n">
        <v>0.095</v>
      </c>
      <c r="FL11" t="n">
        <v>0.018</v>
      </c>
      <c r="FM11" t="n">
        <v>0</v>
      </c>
      <c r="FN11" t="n">
        <v>0.005</v>
      </c>
      <c r="FO11" t="n">
        <v>0.008</v>
      </c>
      <c r="FP11" t="n">
        <v>0.082</v>
      </c>
      <c r="FS11" t="n">
        <v>0.018</v>
      </c>
      <c r="FT11" t="n">
        <v>0</v>
      </c>
      <c r="FU11" t="n">
        <v>0</v>
      </c>
      <c r="FV11" t="n">
        <v>0</v>
      </c>
      <c r="FW11" t="n">
        <v>12</v>
      </c>
      <c r="FX11" t="n">
        <v>0.043</v>
      </c>
      <c r="FY11" t="n">
        <v>0.154</v>
      </c>
      <c r="FZ11" t="n">
        <v>0.173</v>
      </c>
      <c r="GA11" t="n">
        <v>0.333</v>
      </c>
      <c r="GB11" t="n">
        <v>0.298</v>
      </c>
      <c r="GC11" t="n">
        <v>0.09</v>
      </c>
      <c r="GD11" t="n">
        <v>0.161</v>
      </c>
      <c r="GE11" t="n">
        <v>0.162</v>
      </c>
      <c r="GF11" t="n">
        <v>0.207</v>
      </c>
      <c r="GG11" t="n">
        <v>0.127</v>
      </c>
      <c r="GH11" t="n">
        <v>0.097</v>
      </c>
      <c r="GI11" t="n">
        <v>0.11</v>
      </c>
      <c r="GJ11" t="n">
        <v>0.279</v>
      </c>
      <c r="GK11" t="n">
        <v>0.788</v>
      </c>
      <c r="GL11" t="n">
        <v>0.06900000000000001</v>
      </c>
      <c r="GM11" t="n">
        <v>0.333</v>
      </c>
      <c r="GN11" t="n">
        <v>0.188</v>
      </c>
      <c r="GO11" t="n">
        <v>0</v>
      </c>
      <c r="GP11" t="n">
        <v>0.038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9" t="n">
        <v>100</v>
      </c>
      <c r="F12" s="10">
        <f>E12/SUM($E$3:$E$33)</f>
        <v/>
      </c>
      <c r="G12" t="n">
        <v>4.299999999999983</v>
      </c>
      <c r="H12" t="n">
        <v>529.2</v>
      </c>
      <c r="I12" t="n">
        <v>2214.1728</v>
      </c>
      <c r="J12" t="n">
        <v>0.72</v>
      </c>
      <c r="K12" t="n">
        <v>4.5</v>
      </c>
      <c r="L12" t="n">
        <v>31.2</v>
      </c>
      <c r="M12" t="n">
        <v>31.2</v>
      </c>
      <c r="O12" t="n">
        <v>57.6</v>
      </c>
      <c r="P12" t="n">
        <v>2.4</v>
      </c>
      <c r="T12" t="n">
        <v>4.3</v>
      </c>
      <c r="AC12" t="n">
        <v>3.2</v>
      </c>
      <c r="AD12" t="n">
        <v>9.699999999999999</v>
      </c>
      <c r="AE12" t="n">
        <v>0.6</v>
      </c>
      <c r="AH12" t="n">
        <v>412</v>
      </c>
      <c r="AI12" t="n">
        <v>482</v>
      </c>
      <c r="BZ12" t="n">
        <v>0</v>
      </c>
      <c r="CU12" t="n">
        <v>8.6</v>
      </c>
      <c r="FJ12" t="n">
        <v>0</v>
      </c>
      <c r="FW12" t="n">
        <v>0</v>
      </c>
    </row>
    <row r="13">
      <c r="A13" t="n">
        <v>2257045</v>
      </c>
      <c r="B13" t="inlineStr">
        <is>
          <t>Almond milk, unsweetened, plain, refrigerated</t>
        </is>
      </c>
      <c r="C13" t="inlineStr"/>
      <c r="D13" t="inlineStr">
        <is>
          <t>Foundation</t>
        </is>
      </c>
      <c r="E13" s="9" t="n">
        <v>100</v>
      </c>
      <c r="F13" s="10">
        <f>E13/SUM($E$3:$E$33)</f>
        <v/>
      </c>
      <c r="G13" t="n">
        <v>96.5</v>
      </c>
      <c r="H13" t="n">
        <v>19.348</v>
      </c>
      <c r="I13" t="n">
        <v>80.952032</v>
      </c>
      <c r="J13" t="n">
        <v>0.105</v>
      </c>
      <c r="K13" t="n">
        <v>0.656</v>
      </c>
      <c r="L13" t="n">
        <v>1.56</v>
      </c>
      <c r="M13" t="n">
        <v>1.56</v>
      </c>
      <c r="N13" t="n">
        <v>0.595</v>
      </c>
      <c r="O13" t="n">
        <v>0.671</v>
      </c>
      <c r="P13" t="n">
        <v>0</v>
      </c>
      <c r="U13" t="n">
        <v>0.0386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D13" t="n">
        <v>158</v>
      </c>
      <c r="AE13" t="n">
        <v>0.125</v>
      </c>
      <c r="AF13" t="n">
        <v>8.25</v>
      </c>
      <c r="AG13" t="n">
        <v>19.1</v>
      </c>
      <c r="AH13" t="n">
        <v>49.3</v>
      </c>
      <c r="AI13" t="n">
        <v>59.2</v>
      </c>
      <c r="AJ13" t="n">
        <v>0.0766</v>
      </c>
      <c r="AK13" t="n">
        <v>0.0269</v>
      </c>
      <c r="AL13" t="n">
        <v>0.0564</v>
      </c>
      <c r="AR13" t="n">
        <v>0.005</v>
      </c>
      <c r="AS13" t="n">
        <v>0.0833</v>
      </c>
      <c r="AT13" t="n">
        <v>0.0888</v>
      </c>
      <c r="AU13" t="n">
        <v>0</v>
      </c>
      <c r="AV13" t="n">
        <v>0</v>
      </c>
      <c r="BF13" t="n">
        <v>0.449</v>
      </c>
      <c r="BI13" t="n">
        <v>60.9</v>
      </c>
      <c r="BY13" t="n">
        <v>63.6</v>
      </c>
      <c r="BZ13" t="n">
        <v>1.59</v>
      </c>
      <c r="CA13" t="n">
        <v>1.58</v>
      </c>
      <c r="CB13" t="n">
        <v>0.0102</v>
      </c>
      <c r="CD13" t="n">
        <v>0</v>
      </c>
      <c r="CE13" t="n">
        <v>0</v>
      </c>
      <c r="CF13" t="n">
        <v>0</v>
      </c>
      <c r="CR13" t="n">
        <v>1.42</v>
      </c>
      <c r="FX13" t="n">
        <v>0.00125</v>
      </c>
      <c r="FY13" t="n">
        <v>0.01</v>
      </c>
      <c r="FZ13" t="n">
        <v>0.0262</v>
      </c>
      <c r="GA13" t="n">
        <v>0.0462</v>
      </c>
      <c r="GB13" t="n">
        <v>0.0312</v>
      </c>
      <c r="GC13" t="n">
        <v>0.00125</v>
      </c>
      <c r="GD13" t="n">
        <v>0.0425</v>
      </c>
      <c r="GE13" t="n">
        <v>0.0188</v>
      </c>
      <c r="GF13" t="n">
        <v>0.0175</v>
      </c>
      <c r="GG13" t="n">
        <v>0.0925</v>
      </c>
      <c r="GH13" t="n">
        <v>0.0138</v>
      </c>
      <c r="GI13" t="n">
        <v>0.0288</v>
      </c>
      <c r="GJ13" t="n">
        <v>0.0775</v>
      </c>
      <c r="GK13" t="n">
        <v>0.138</v>
      </c>
      <c r="GL13" t="n">
        <v>0.045</v>
      </c>
      <c r="GM13" t="n">
        <v>0.0312</v>
      </c>
      <c r="GN13" t="n">
        <v>0.02</v>
      </c>
      <c r="GO13" t="n">
        <v>0</v>
      </c>
      <c r="GP13" t="n">
        <v>0.00125</v>
      </c>
    </row>
    <row r="14">
      <c r="A14" t="n">
        <v>1999631</v>
      </c>
      <c r="B14" t="inlineStr">
        <is>
          <t>Almond milk, unsweetened, plain, shelf stable</t>
        </is>
      </c>
      <c r="C14" t="inlineStr"/>
      <c r="D14" t="inlineStr">
        <is>
          <t>Foundation</t>
        </is>
      </c>
      <c r="E14" s="9" t="n">
        <v>100</v>
      </c>
      <c r="F14" s="10">
        <f>E14/SUM($E$3:$E$33)</f>
        <v/>
      </c>
      <c r="G14" t="n">
        <v>97.40000000000001</v>
      </c>
      <c r="H14" t="n">
        <v>14.548</v>
      </c>
      <c r="I14" t="n">
        <v>60.86883200000001</v>
      </c>
      <c r="J14" t="n">
        <v>0.0888</v>
      </c>
      <c r="K14" t="n">
        <v>0.555</v>
      </c>
      <c r="L14" t="n">
        <v>1.11</v>
      </c>
      <c r="M14" t="n">
        <v>1.22</v>
      </c>
      <c r="N14" t="n">
        <v>0.487</v>
      </c>
      <c r="O14" t="n">
        <v>0.337</v>
      </c>
      <c r="P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D14" t="n">
        <v>173</v>
      </c>
      <c r="AE14" t="n">
        <v>0.29</v>
      </c>
      <c r="AF14" t="n">
        <v>6.78</v>
      </c>
      <c r="AG14" t="n">
        <v>29.8</v>
      </c>
      <c r="AH14" t="n">
        <v>30.8</v>
      </c>
      <c r="AI14" t="n">
        <v>59.6</v>
      </c>
      <c r="AJ14" t="n">
        <v>0.172</v>
      </c>
      <c r="AK14" t="n">
        <v>0.0213</v>
      </c>
      <c r="AL14" t="n">
        <v>0.045</v>
      </c>
      <c r="AM14" t="n">
        <v>0</v>
      </c>
      <c r="AN14" t="n">
        <v>0</v>
      </c>
      <c r="AO14" t="n">
        <v>0</v>
      </c>
      <c r="AR14" t="n">
        <v>0</v>
      </c>
      <c r="AS14" t="n">
        <v>0.0334</v>
      </c>
      <c r="AT14" t="n">
        <v>0.07439999999999999</v>
      </c>
      <c r="AU14" t="n">
        <v>0</v>
      </c>
      <c r="AV14" t="n">
        <v>0</v>
      </c>
      <c r="BF14" t="n">
        <v>0.338</v>
      </c>
      <c r="BH14" t="n">
        <v>41.4</v>
      </c>
      <c r="BI14" t="n">
        <v>41.4</v>
      </c>
      <c r="BY14" t="n">
        <v>37.1</v>
      </c>
      <c r="BZ14" t="n">
        <v>0.927</v>
      </c>
      <c r="CA14" t="n">
        <v>0.927</v>
      </c>
      <c r="CB14" t="n">
        <v>0</v>
      </c>
      <c r="CG14" t="n">
        <v>3.32</v>
      </c>
      <c r="CI14" t="n">
        <v>0</v>
      </c>
      <c r="CJ14" t="n">
        <v>0.0275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R14" t="n">
        <v>1.02</v>
      </c>
      <c r="CU14" t="n">
        <v>0.104</v>
      </c>
      <c r="CV14" t="n">
        <v>0.00369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F14" t="n">
        <v>0.00238</v>
      </c>
      <c r="DG14" t="n">
        <v>0.00125</v>
      </c>
      <c r="DH14" t="n">
        <v>0.07779999999999999</v>
      </c>
      <c r="DI14" t="n">
        <v>0.000875</v>
      </c>
      <c r="DJ14" t="n">
        <v>0.0195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0.729</v>
      </c>
      <c r="DQ14" t="n">
        <v>0</v>
      </c>
      <c r="DS14" t="n">
        <v>0</v>
      </c>
      <c r="DT14" t="n">
        <v>0</v>
      </c>
      <c r="DV14" t="n">
        <v>0.00581</v>
      </c>
      <c r="DW14" t="n">
        <v>0.00125</v>
      </c>
      <c r="DX14" t="n">
        <v>0.00125</v>
      </c>
      <c r="DZ14" t="n">
        <v>0.721</v>
      </c>
      <c r="EB14" t="n">
        <v>0.000875</v>
      </c>
      <c r="ED14" t="n">
        <v>0</v>
      </c>
      <c r="EE14" t="n">
        <v>0</v>
      </c>
      <c r="EF14" t="n">
        <v>0</v>
      </c>
      <c r="EG14" t="n">
        <v>0</v>
      </c>
      <c r="EH14" t="n">
        <v>0.276</v>
      </c>
      <c r="EJ14" t="n">
        <v>0.276</v>
      </c>
      <c r="EK14" t="n">
        <v>0.276</v>
      </c>
      <c r="EL14" t="n">
        <v>0</v>
      </c>
      <c r="EN14" t="n">
        <v>0.000625</v>
      </c>
      <c r="EO14" t="n">
        <v>0.000625</v>
      </c>
      <c r="EP14" t="n">
        <v>0</v>
      </c>
      <c r="EQ14" t="n">
        <v>0</v>
      </c>
      <c r="ER14" t="n">
        <v>0</v>
      </c>
      <c r="ES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0.000125</v>
      </c>
      <c r="FS14" t="n">
        <v>0.000125</v>
      </c>
      <c r="FT14" t="n">
        <v>0</v>
      </c>
      <c r="FU14" t="n">
        <v>0</v>
      </c>
      <c r="FV14" t="n">
        <v>0</v>
      </c>
      <c r="HD14" t="n">
        <v>0</v>
      </c>
      <c r="HE14" t="n">
        <v>0.00788</v>
      </c>
      <c r="HF14" t="n">
        <v>0.0075</v>
      </c>
    </row>
    <row r="15">
      <c r="A15" t="n">
        <v>2259796</v>
      </c>
      <c r="B15" t="inlineStr">
        <is>
          <t>Cheese, feta, whole milk, crumbled</t>
        </is>
      </c>
      <c r="C15" t="inlineStr"/>
      <c r="D15" t="inlineStr">
        <is>
          <t>Foundation</t>
        </is>
      </c>
      <c r="E15" s="9" t="n">
        <v>100</v>
      </c>
      <c r="F15" s="10">
        <f>E15/SUM($E$3:$E$33)</f>
        <v/>
      </c>
      <c r="G15" t="n">
        <v>51.9</v>
      </c>
      <c r="H15" t="n">
        <v>273.02</v>
      </c>
      <c r="I15" t="n">
        <v>1142.31568</v>
      </c>
      <c r="J15" t="n">
        <v>3.09</v>
      </c>
      <c r="K15" t="n">
        <v>19.7</v>
      </c>
      <c r="L15" t="n">
        <v>19.1</v>
      </c>
      <c r="M15" t="n">
        <v>19.1</v>
      </c>
      <c r="N15" t="n">
        <v>3.74</v>
      </c>
      <c r="O15" t="n">
        <v>5.58</v>
      </c>
      <c r="T15" t="n">
        <v>1.63</v>
      </c>
      <c r="U15" t="n">
        <v>0</v>
      </c>
      <c r="V15" t="n">
        <v>0.586</v>
      </c>
      <c r="W15" t="n">
        <v>0</v>
      </c>
      <c r="X15" t="n">
        <v>0.61</v>
      </c>
      <c r="Y15" t="n">
        <v>0</v>
      </c>
      <c r="Z15" t="n">
        <v>0.429</v>
      </c>
      <c r="AD15" t="n">
        <v>371</v>
      </c>
      <c r="AE15" t="n">
        <v>0.0675</v>
      </c>
      <c r="AF15" t="n">
        <v>17.7</v>
      </c>
      <c r="AG15" t="n">
        <v>328</v>
      </c>
      <c r="AH15" t="n">
        <v>105</v>
      </c>
      <c r="AI15" t="n">
        <v>1030</v>
      </c>
      <c r="AJ15" t="n">
        <v>2.35</v>
      </c>
      <c r="AK15" t="n">
        <v>0.0316</v>
      </c>
      <c r="AL15" t="n">
        <v>0.02</v>
      </c>
      <c r="AM15" t="n">
        <v>48.4</v>
      </c>
      <c r="AR15" t="n">
        <v>0.0564</v>
      </c>
      <c r="AS15" t="n">
        <v>0.444</v>
      </c>
      <c r="AT15" t="n">
        <v>0.264</v>
      </c>
      <c r="AU15" t="n">
        <v>0.0383</v>
      </c>
      <c r="BI15" t="n">
        <v>147</v>
      </c>
      <c r="BY15" t="n">
        <v>0</v>
      </c>
      <c r="BZ15" t="n">
        <v>0</v>
      </c>
      <c r="CA15" t="n">
        <v>0</v>
      </c>
      <c r="CB15" t="n">
        <v>0</v>
      </c>
      <c r="CD15" t="n">
        <v>1.2</v>
      </c>
      <c r="CE15" t="n">
        <v>0</v>
      </c>
      <c r="CF15" t="n">
        <v>4.8</v>
      </c>
      <c r="CR15" t="n">
        <v>0.464</v>
      </c>
      <c r="CU15" t="n">
        <v>11.2</v>
      </c>
      <c r="CV15" t="n">
        <v>0.404</v>
      </c>
      <c r="CX15" t="n">
        <v>0.334</v>
      </c>
      <c r="DB15" t="n">
        <v>0.481</v>
      </c>
      <c r="DD15" t="n">
        <v>0.545</v>
      </c>
      <c r="DF15" t="n">
        <v>1.8</v>
      </c>
      <c r="DH15" t="n">
        <v>5.31</v>
      </c>
      <c r="DJ15" t="n">
        <v>1.74</v>
      </c>
      <c r="DP15" t="n">
        <v>4.18</v>
      </c>
      <c r="DV15" t="n">
        <v>0.285</v>
      </c>
      <c r="DZ15" t="n">
        <v>3.66</v>
      </c>
      <c r="EK15" t="n">
        <v>0.424</v>
      </c>
      <c r="FW15" t="n">
        <v>57.5</v>
      </c>
    </row>
    <row r="16">
      <c r="A16" t="n">
        <v>746766</v>
      </c>
      <c r="B16" t="inlineStr">
        <is>
          <t>Cheese, ricotta, whole milk</t>
        </is>
      </c>
      <c r="C16" t="inlineStr"/>
      <c r="D16" t="inlineStr">
        <is>
          <t>Foundation</t>
        </is>
      </c>
      <c r="E16" s="9" t="n">
        <v>100</v>
      </c>
      <c r="F16" s="10">
        <f>E16/SUM($E$3:$E$33)</f>
        <v/>
      </c>
      <c r="G16" t="n">
        <v>72.90000000000001</v>
      </c>
      <c r="H16" t="n">
        <v>157.68</v>
      </c>
      <c r="I16" t="n">
        <v>659.7331200000001</v>
      </c>
      <c r="J16" t="n">
        <v>1.22</v>
      </c>
      <c r="K16" t="n">
        <v>7.81</v>
      </c>
      <c r="L16" t="n">
        <v>10.3</v>
      </c>
      <c r="M16" t="n">
        <v>11</v>
      </c>
      <c r="N16" t="n">
        <v>1.36</v>
      </c>
      <c r="O16" t="n">
        <v>6.86</v>
      </c>
      <c r="AD16" t="n">
        <v>224</v>
      </c>
      <c r="AE16" t="n">
        <v>0.1</v>
      </c>
      <c r="AF16" t="n">
        <v>19.7</v>
      </c>
      <c r="AG16" t="n">
        <v>162</v>
      </c>
      <c r="AH16" t="n">
        <v>230</v>
      </c>
      <c r="AI16" t="n">
        <v>105</v>
      </c>
      <c r="AJ16" t="n">
        <v>0.5600000000000001</v>
      </c>
      <c r="AK16" t="n">
        <v>0</v>
      </c>
      <c r="AL16" t="n">
        <v>0</v>
      </c>
      <c r="AN16" t="n">
        <v>5.5</v>
      </c>
      <c r="AR16" t="n">
        <v>0.043</v>
      </c>
      <c r="AS16" t="n">
        <v>0.327</v>
      </c>
      <c r="AT16" t="n">
        <v>0.168</v>
      </c>
      <c r="AU16" t="n">
        <v>0.099</v>
      </c>
      <c r="AV16" t="n">
        <v>4</v>
      </c>
      <c r="BF16" t="n">
        <v>0.78</v>
      </c>
      <c r="BH16" t="n">
        <v>127</v>
      </c>
      <c r="BI16" t="n">
        <v>127</v>
      </c>
      <c r="CD16" t="n">
        <v>0.6</v>
      </c>
      <c r="CE16" t="n">
        <v>0</v>
      </c>
      <c r="CF16" t="n">
        <v>3.1</v>
      </c>
      <c r="CG16" t="n">
        <v>0.27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Q16" t="n">
        <v>0.673</v>
      </c>
      <c r="CU16" t="n">
        <v>6.97</v>
      </c>
      <c r="CV16" t="n">
        <v>0.251</v>
      </c>
      <c r="CX16" t="n">
        <v>0.199</v>
      </c>
      <c r="CZ16" t="n">
        <v>0.125</v>
      </c>
      <c r="DB16" t="n">
        <v>0.306</v>
      </c>
      <c r="DC16" t="n">
        <v>0</v>
      </c>
      <c r="DD16" t="n">
        <v>0.36</v>
      </c>
      <c r="DF16" t="n">
        <v>1.15</v>
      </c>
      <c r="DG16" t="n">
        <v>0.116</v>
      </c>
      <c r="DH16" t="n">
        <v>3.36</v>
      </c>
      <c r="DI16" t="n">
        <v>0.067</v>
      </c>
      <c r="DJ16" t="n">
        <v>1.02</v>
      </c>
      <c r="DK16" t="n">
        <v>0.014</v>
      </c>
      <c r="DM16" t="n">
        <v>0.006</v>
      </c>
      <c r="DO16" t="n">
        <v>0.004</v>
      </c>
      <c r="DP16" t="n">
        <v>2.56</v>
      </c>
      <c r="DS16" t="n">
        <v>0.117</v>
      </c>
      <c r="DT16" t="n">
        <v>0</v>
      </c>
      <c r="DV16" t="n">
        <v>0.184</v>
      </c>
      <c r="DW16" t="n">
        <v>0.021</v>
      </c>
      <c r="DX16" t="n">
        <v>0.021</v>
      </c>
      <c r="DZ16" t="n">
        <v>2.22</v>
      </c>
      <c r="EB16" t="n">
        <v>0.02</v>
      </c>
      <c r="ED16" t="n">
        <v>0.002</v>
      </c>
      <c r="EE16" t="n">
        <v>0.002</v>
      </c>
      <c r="EG16" t="n">
        <v>0</v>
      </c>
      <c r="EH16" t="n">
        <v>0.389</v>
      </c>
      <c r="EJ16" t="n">
        <v>0.308</v>
      </c>
      <c r="EK16" t="n">
        <v>0.259</v>
      </c>
      <c r="EL16" t="n">
        <v>0.049</v>
      </c>
      <c r="EN16" t="n">
        <v>0.042</v>
      </c>
      <c r="EO16" t="n">
        <v>0.042</v>
      </c>
      <c r="EP16" t="n">
        <v>0</v>
      </c>
      <c r="EQ16" t="n">
        <v>0.001</v>
      </c>
      <c r="ER16" t="n">
        <v>0.001</v>
      </c>
      <c r="ES16" t="n">
        <v>0.001</v>
      </c>
      <c r="EU16" t="n">
        <v>0.012</v>
      </c>
      <c r="EV16" t="n">
        <v>0</v>
      </c>
      <c r="EW16" t="n">
        <v>0.012</v>
      </c>
      <c r="EX16" t="n">
        <v>0</v>
      </c>
      <c r="EY16" t="n">
        <v>0.015</v>
      </c>
      <c r="EZ16" t="n">
        <v>0.015</v>
      </c>
      <c r="FA16" t="n">
        <v>0.005</v>
      </c>
      <c r="FB16" t="n">
        <v>0.005</v>
      </c>
      <c r="FC16" t="n">
        <v>0</v>
      </c>
      <c r="FE16" t="n">
        <v>0.003</v>
      </c>
      <c r="FF16" t="n">
        <v>0.007</v>
      </c>
      <c r="FG16" t="n">
        <v>0.007</v>
      </c>
      <c r="FH16" t="n">
        <v>0</v>
      </c>
      <c r="FI16" t="n">
        <v>0</v>
      </c>
      <c r="FJ16" t="n">
        <v>0.351</v>
      </c>
      <c r="FK16" t="n">
        <v>0.283</v>
      </c>
      <c r="FL16" t="n">
        <v>0.068</v>
      </c>
      <c r="FM16" t="n">
        <v>0.001</v>
      </c>
      <c r="FO16" t="n">
        <v>0.032</v>
      </c>
      <c r="FP16" t="n">
        <v>0.251</v>
      </c>
      <c r="FS16" t="n">
        <v>0.068</v>
      </c>
      <c r="FT16" t="n">
        <v>0.001</v>
      </c>
      <c r="FV16" t="n">
        <v>0</v>
      </c>
      <c r="FW16" t="n">
        <v>48</v>
      </c>
      <c r="FX16" t="n">
        <v>0.115</v>
      </c>
      <c r="FY16" t="n">
        <v>0.395</v>
      </c>
      <c r="FZ16" t="n">
        <v>0.365</v>
      </c>
      <c r="GA16" t="n">
        <v>0.785</v>
      </c>
      <c r="GB16" t="n">
        <v>0.655</v>
      </c>
      <c r="GC16" t="n">
        <v>0.17</v>
      </c>
      <c r="GD16" t="n">
        <v>0.27</v>
      </c>
      <c r="GE16" t="n">
        <v>0.25</v>
      </c>
      <c r="GF16" t="n">
        <v>0.325</v>
      </c>
      <c r="GG16" t="n">
        <v>0.21</v>
      </c>
      <c r="GH16" t="n">
        <v>0.175</v>
      </c>
      <c r="GI16" t="n">
        <v>0.325</v>
      </c>
      <c r="GJ16" t="n">
        <v>0.735</v>
      </c>
      <c r="GK16" t="n">
        <v>1.3</v>
      </c>
      <c r="GL16" t="n">
        <v>0.135</v>
      </c>
      <c r="GM16" t="n">
        <v>0.5649999999999999</v>
      </c>
      <c r="GN16" t="n">
        <v>0.365</v>
      </c>
      <c r="GO16" t="n">
        <v>0</v>
      </c>
      <c r="GP16" t="n">
        <v>0.18</v>
      </c>
    </row>
    <row r="17">
      <c r="A17" t="n">
        <v>746772</v>
      </c>
      <c r="B17" t="inlineStr">
        <is>
          <t>Milk, lowfat, fluid, 1% milkfat, with added vitamin A and vitamin D</t>
        </is>
      </c>
      <c r="C17" t="inlineStr"/>
      <c r="D17" t="inlineStr">
        <is>
          <t>Foundation</t>
        </is>
      </c>
      <c r="E17" s="9" t="n">
        <v>100</v>
      </c>
      <c r="F17" s="10">
        <f>E17/SUM($E$3:$E$33)</f>
        <v/>
      </c>
      <c r="G17" t="n">
        <v>89.7</v>
      </c>
      <c r="H17" t="n">
        <v>42.78999999999999</v>
      </c>
      <c r="I17" t="n">
        <v>179.03336</v>
      </c>
      <c r="J17" t="n">
        <v>0.53</v>
      </c>
      <c r="K17" t="n">
        <v>3.38</v>
      </c>
      <c r="L17" t="n">
        <v>0.85</v>
      </c>
      <c r="M17" t="n">
        <v>0.95</v>
      </c>
      <c r="N17" t="n">
        <v>0.8</v>
      </c>
      <c r="O17" t="n">
        <v>5.18</v>
      </c>
      <c r="T17" t="n">
        <v>4.96</v>
      </c>
      <c r="U17" t="n">
        <v>0</v>
      </c>
      <c r="V17" t="n">
        <v>0</v>
      </c>
      <c r="W17" t="n">
        <v>0</v>
      </c>
      <c r="X17" t="n">
        <v>4.96</v>
      </c>
      <c r="Y17" t="n">
        <v>0</v>
      </c>
      <c r="Z17" t="n">
        <v>0</v>
      </c>
      <c r="AD17" t="n">
        <v>126</v>
      </c>
      <c r="AE17" t="n">
        <v>0</v>
      </c>
      <c r="AF17" t="n">
        <v>12</v>
      </c>
      <c r="AG17" t="n">
        <v>103</v>
      </c>
      <c r="AH17" t="n">
        <v>159</v>
      </c>
      <c r="AI17" t="n">
        <v>39</v>
      </c>
      <c r="AJ17" t="n">
        <v>0.43</v>
      </c>
      <c r="AK17" t="n">
        <v>0.001</v>
      </c>
      <c r="AL17" t="n">
        <v>0</v>
      </c>
      <c r="AM17" t="n">
        <v>36.2</v>
      </c>
      <c r="AN17" t="n">
        <v>2.1</v>
      </c>
      <c r="AR17" t="n">
        <v>0.057</v>
      </c>
      <c r="AS17" t="n">
        <v>0.14</v>
      </c>
      <c r="AT17" t="n">
        <v>0.113</v>
      </c>
      <c r="AU17" t="n">
        <v>0.06</v>
      </c>
      <c r="AV17" t="n">
        <v>2</v>
      </c>
      <c r="AY17" t="n">
        <v>17.4</v>
      </c>
      <c r="AZ17" t="n">
        <v>3</v>
      </c>
      <c r="BA17" t="n">
        <v>0.9</v>
      </c>
      <c r="BB17" t="n">
        <v>1.8</v>
      </c>
      <c r="BC17" t="n">
        <v>10.9</v>
      </c>
      <c r="BD17" t="n">
        <v>0.8</v>
      </c>
      <c r="BE17" t="n">
        <v>0.9</v>
      </c>
      <c r="BF17" t="n">
        <v>0.61</v>
      </c>
      <c r="BH17" t="n">
        <v>58</v>
      </c>
      <c r="BI17" t="n">
        <v>58</v>
      </c>
      <c r="BJ17" t="n">
        <v>1</v>
      </c>
      <c r="BK17" t="n">
        <v>0</v>
      </c>
      <c r="BL17" t="n">
        <v>1</v>
      </c>
      <c r="BM17" t="n">
        <v>0</v>
      </c>
      <c r="BO17" t="n">
        <v>0</v>
      </c>
      <c r="BP17" t="n">
        <v>0</v>
      </c>
      <c r="BR17" t="n">
        <v>0</v>
      </c>
      <c r="BS17" t="n">
        <v>0</v>
      </c>
      <c r="BT17" t="n">
        <v>0</v>
      </c>
      <c r="BV17" t="n">
        <v>0</v>
      </c>
      <c r="BW17" t="n">
        <v>0</v>
      </c>
      <c r="BX17" t="n">
        <v>0</v>
      </c>
      <c r="BY17" t="n">
        <v>42.4</v>
      </c>
      <c r="BZ17" t="n">
        <v>1.06</v>
      </c>
      <c r="CA17" t="n">
        <v>0</v>
      </c>
      <c r="CB17" t="n">
        <v>1.06</v>
      </c>
      <c r="CC17" t="n">
        <v>0</v>
      </c>
      <c r="CG17" t="n">
        <v>0.02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Q17" t="n">
        <v>0.368</v>
      </c>
      <c r="CU17" t="n">
        <v>0.5679999999999999</v>
      </c>
      <c r="CV17" t="n">
        <v>0.022</v>
      </c>
      <c r="CW17" t="n">
        <v>0</v>
      </c>
      <c r="CX17" t="n">
        <v>0.015</v>
      </c>
      <c r="CY17" t="n">
        <v>0</v>
      </c>
      <c r="CZ17" t="n">
        <v>0.011</v>
      </c>
      <c r="DA17" t="n">
        <v>0</v>
      </c>
      <c r="DB17" t="n">
        <v>0.023</v>
      </c>
      <c r="DC17" t="n">
        <v>0</v>
      </c>
      <c r="DD17" t="n">
        <v>0.026</v>
      </c>
      <c r="DF17" t="n">
        <v>0.093</v>
      </c>
      <c r="DG17" t="n">
        <v>0.01</v>
      </c>
      <c r="DH17" t="n">
        <v>0.265</v>
      </c>
      <c r="DI17" t="n">
        <v>0.006</v>
      </c>
      <c r="DJ17" t="n">
        <v>0.096</v>
      </c>
      <c r="DK17" t="n">
        <v>0.001</v>
      </c>
      <c r="DL17" t="n">
        <v>0</v>
      </c>
      <c r="DM17" t="n">
        <v>0</v>
      </c>
      <c r="DN17" t="n">
        <v>0</v>
      </c>
      <c r="DO17" t="n">
        <v>0</v>
      </c>
      <c r="DP17" t="n">
        <v>0.21</v>
      </c>
      <c r="DQ17" t="n">
        <v>0</v>
      </c>
      <c r="DS17" t="n">
        <v>0.007</v>
      </c>
      <c r="DT17" t="n">
        <v>0</v>
      </c>
      <c r="DV17" t="n">
        <v>0.012</v>
      </c>
      <c r="DW17" t="n">
        <v>0.002</v>
      </c>
      <c r="DX17" t="n">
        <v>0.002</v>
      </c>
      <c r="DZ17" t="n">
        <v>0.187</v>
      </c>
      <c r="EB17" t="n">
        <v>0.001</v>
      </c>
      <c r="ED17" t="n">
        <v>0</v>
      </c>
      <c r="EE17" t="n">
        <v>0</v>
      </c>
      <c r="EF17" t="n">
        <v>0</v>
      </c>
      <c r="EG17" t="n">
        <v>0</v>
      </c>
      <c r="EH17" t="n">
        <v>0.032</v>
      </c>
      <c r="EJ17" t="n">
        <v>0.029</v>
      </c>
      <c r="EK17" t="n">
        <v>0.026</v>
      </c>
      <c r="EL17" t="n">
        <v>0.004</v>
      </c>
      <c r="EN17" t="n">
        <v>0.004</v>
      </c>
      <c r="EO17" t="n">
        <v>0.004</v>
      </c>
      <c r="EP17" t="n">
        <v>0</v>
      </c>
      <c r="EQ17" t="n">
        <v>0</v>
      </c>
      <c r="ER17" t="n">
        <v>0</v>
      </c>
      <c r="ES17" t="n">
        <v>0</v>
      </c>
      <c r="EU17" t="n">
        <v>0.001</v>
      </c>
      <c r="EV17" t="n">
        <v>0</v>
      </c>
      <c r="EW17" t="n">
        <v>0.001</v>
      </c>
      <c r="EX17" t="n">
        <v>0</v>
      </c>
      <c r="EY17" t="n">
        <v>0.001</v>
      </c>
      <c r="EZ17" t="n">
        <v>0.001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0.036</v>
      </c>
      <c r="FK17" t="n">
        <v>0.031</v>
      </c>
      <c r="FL17" t="n">
        <v>0.004</v>
      </c>
      <c r="FM17" t="n">
        <v>0</v>
      </c>
      <c r="FN17" t="n">
        <v>0.001</v>
      </c>
      <c r="FO17" t="n">
        <v>0.002</v>
      </c>
      <c r="FP17" t="n">
        <v>0.027</v>
      </c>
      <c r="FS17" t="n">
        <v>0.004</v>
      </c>
      <c r="FT17" t="n">
        <v>0</v>
      </c>
      <c r="FU17" t="n">
        <v>0</v>
      </c>
      <c r="FV17" t="n">
        <v>0</v>
      </c>
      <c r="FW17" t="n">
        <v>5</v>
      </c>
      <c r="FX17" t="n">
        <v>0.045</v>
      </c>
      <c r="FY17" t="n">
        <v>0.158</v>
      </c>
      <c r="FZ17" t="n">
        <v>0.174</v>
      </c>
      <c r="GA17" t="n">
        <v>0.342</v>
      </c>
      <c r="GB17" t="n">
        <v>0.308</v>
      </c>
      <c r="GC17" t="n">
        <v>0.092</v>
      </c>
      <c r="GD17" t="n">
        <v>0.168</v>
      </c>
      <c r="GE17" t="n">
        <v>0.167</v>
      </c>
      <c r="GF17" t="n">
        <v>0.21</v>
      </c>
      <c r="GG17" t="n">
        <v>0.128</v>
      </c>
      <c r="GH17" t="n">
        <v>0.099</v>
      </c>
      <c r="GI17" t="n">
        <v>0.111</v>
      </c>
      <c r="GJ17" t="n">
        <v>0.286</v>
      </c>
      <c r="GK17" t="n">
        <v>0.8090000000000001</v>
      </c>
      <c r="GL17" t="n">
        <v>0.06900000000000001</v>
      </c>
      <c r="GM17" t="n">
        <v>0.349</v>
      </c>
      <c r="GN17" t="n">
        <v>0.194</v>
      </c>
      <c r="GO17" t="n">
        <v>0</v>
      </c>
      <c r="GP17" t="n">
        <v>0.036</v>
      </c>
    </row>
    <row r="18">
      <c r="A18" t="n">
        <v>746776</v>
      </c>
      <c r="B18" t="inlineStr">
        <is>
          <t>Milk, nonfat, fluid, with added vitamin A and vitamin D (fat free or skim)</t>
        </is>
      </c>
      <c r="C18" t="inlineStr"/>
      <c r="D18" t="inlineStr">
        <is>
          <t>Foundation</t>
        </is>
      </c>
      <c r="E18" s="9" t="n">
        <v>100</v>
      </c>
      <c r="F18" s="10">
        <f>E18/SUM($E$3:$E$33)</f>
        <v/>
      </c>
      <c r="G18" t="n">
        <v>90.8</v>
      </c>
      <c r="H18" t="n">
        <v>34.12</v>
      </c>
      <c r="I18" t="n">
        <v>142.75808</v>
      </c>
      <c r="J18" t="n">
        <v>0.54</v>
      </c>
      <c r="K18" t="n">
        <v>3.43</v>
      </c>
      <c r="L18" t="n">
        <v>0.07000000000000001</v>
      </c>
      <c r="M18" t="n">
        <v>0.08</v>
      </c>
      <c r="N18" t="n">
        <v>0.77</v>
      </c>
      <c r="O18" t="n">
        <v>4.92</v>
      </c>
      <c r="T18" t="n">
        <v>5.05</v>
      </c>
      <c r="U18" t="n">
        <v>0</v>
      </c>
      <c r="V18" t="n">
        <v>0</v>
      </c>
      <c r="W18" t="n">
        <v>0</v>
      </c>
      <c r="X18" t="n">
        <v>5.05</v>
      </c>
      <c r="Y18" t="n">
        <v>0</v>
      </c>
      <c r="Z18" t="n">
        <v>0</v>
      </c>
      <c r="AD18" t="n">
        <v>132</v>
      </c>
      <c r="AE18" t="n">
        <v>0</v>
      </c>
      <c r="AF18" t="n">
        <v>12.5</v>
      </c>
      <c r="AG18" t="n">
        <v>107</v>
      </c>
      <c r="AH18" t="n">
        <v>167</v>
      </c>
      <c r="AI18" t="n">
        <v>41</v>
      </c>
      <c r="AJ18" t="n">
        <v>0.45</v>
      </c>
      <c r="AK18" t="n">
        <v>0.002</v>
      </c>
      <c r="AL18" t="n">
        <v>0.001</v>
      </c>
      <c r="AM18" t="n">
        <v>35.7</v>
      </c>
      <c r="AN18" t="n">
        <v>2</v>
      </c>
      <c r="AR18" t="n">
        <v>0.056</v>
      </c>
      <c r="AS18" t="n">
        <v>0.131</v>
      </c>
      <c r="AT18" t="n">
        <v>0.118</v>
      </c>
      <c r="AU18" t="n">
        <v>0.058</v>
      </c>
      <c r="AV18" t="n">
        <v>2</v>
      </c>
      <c r="AY18" t="n">
        <v>18.2</v>
      </c>
      <c r="AZ18" t="n">
        <v>3.1</v>
      </c>
      <c r="BA18" t="n">
        <v>0.8</v>
      </c>
      <c r="BB18" t="n">
        <v>2</v>
      </c>
      <c r="BC18" t="n">
        <v>11.5</v>
      </c>
      <c r="BD18" t="n">
        <v>0.9</v>
      </c>
      <c r="BE18" t="n">
        <v>0.9</v>
      </c>
      <c r="BF18" t="n">
        <v>0.58</v>
      </c>
      <c r="BH18" t="n">
        <v>64</v>
      </c>
      <c r="BI18" t="n">
        <v>64</v>
      </c>
      <c r="BJ18" t="n">
        <v>2</v>
      </c>
      <c r="BK18" t="n">
        <v>1</v>
      </c>
      <c r="BL18" t="n">
        <v>1</v>
      </c>
      <c r="BM18" t="n">
        <v>0</v>
      </c>
      <c r="BO18" t="n">
        <v>0</v>
      </c>
      <c r="BP18" t="n">
        <v>0</v>
      </c>
      <c r="BR18" t="n">
        <v>0</v>
      </c>
      <c r="BS18" t="n">
        <v>0</v>
      </c>
      <c r="BT18" t="n">
        <v>0</v>
      </c>
      <c r="BV18" t="n">
        <v>0</v>
      </c>
      <c r="BW18" t="n">
        <v>1</v>
      </c>
      <c r="BX18" t="n">
        <v>0</v>
      </c>
      <c r="BY18" t="n">
        <v>44</v>
      </c>
      <c r="BZ18" t="n">
        <v>1.1</v>
      </c>
      <c r="CA18" t="n">
        <v>0</v>
      </c>
      <c r="CB18" t="n">
        <v>1.1</v>
      </c>
      <c r="CC18" t="n">
        <v>0</v>
      </c>
      <c r="CG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Q18" t="n">
        <v>0.388</v>
      </c>
      <c r="CU18" t="n">
        <v>0.049</v>
      </c>
      <c r="CV18" t="n">
        <v>0.003</v>
      </c>
      <c r="CW18" t="n">
        <v>0</v>
      </c>
      <c r="CX18" t="n">
        <v>0.001</v>
      </c>
      <c r="CY18" t="n">
        <v>0</v>
      </c>
      <c r="CZ18" t="n">
        <v>0.001</v>
      </c>
      <c r="DA18" t="n">
        <v>0</v>
      </c>
      <c r="DB18" t="n">
        <v>0.002</v>
      </c>
      <c r="DC18" t="n">
        <v>0</v>
      </c>
      <c r="DD18" t="n">
        <v>0.002</v>
      </c>
      <c r="DF18" t="n">
        <v>0.008</v>
      </c>
      <c r="DG18" t="n">
        <v>0.001</v>
      </c>
      <c r="DH18" t="n">
        <v>0.021</v>
      </c>
      <c r="DI18" t="n">
        <v>0.001</v>
      </c>
      <c r="DJ18" t="n">
        <v>0.008999999999999999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0.017</v>
      </c>
      <c r="DQ18" t="n">
        <v>0</v>
      </c>
      <c r="DS18" t="n">
        <v>0</v>
      </c>
      <c r="DT18" t="n">
        <v>0</v>
      </c>
      <c r="DV18" t="n">
        <v>0.001</v>
      </c>
      <c r="DW18" t="n">
        <v>0</v>
      </c>
      <c r="DX18" t="n">
        <v>0</v>
      </c>
      <c r="DZ18" t="n">
        <v>0.017</v>
      </c>
      <c r="EB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0.006</v>
      </c>
      <c r="EJ18" t="n">
        <v>0.005</v>
      </c>
      <c r="EK18" t="n">
        <v>0.005</v>
      </c>
      <c r="EL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0.001</v>
      </c>
      <c r="FL18" t="n">
        <v>0</v>
      </c>
      <c r="FM18" t="n">
        <v>0</v>
      </c>
      <c r="FN18" t="n">
        <v>0</v>
      </c>
      <c r="FO18" t="n">
        <v>0</v>
      </c>
      <c r="FP18" t="n">
        <v>0.001</v>
      </c>
      <c r="FS18" t="n">
        <v>0</v>
      </c>
      <c r="FT18" t="n">
        <v>0</v>
      </c>
      <c r="FU18" t="n">
        <v>0</v>
      </c>
      <c r="FV18" t="n">
        <v>0</v>
      </c>
      <c r="FW18" t="n">
        <v>3</v>
      </c>
      <c r="FX18" t="n">
        <v>0.048</v>
      </c>
      <c r="FY18" t="n">
        <v>0.166</v>
      </c>
      <c r="FZ18" t="n">
        <v>0.182</v>
      </c>
      <c r="GA18" t="n">
        <v>0.347</v>
      </c>
      <c r="GB18" t="n">
        <v>0.302</v>
      </c>
      <c r="GC18" t="n">
        <v>0.093</v>
      </c>
      <c r="GD18" t="n">
        <v>0.168</v>
      </c>
      <c r="GE18" t="n">
        <v>0.168</v>
      </c>
      <c r="GF18" t="n">
        <v>0.222</v>
      </c>
      <c r="GG18" t="n">
        <v>0.131</v>
      </c>
      <c r="GH18" t="n">
        <v>0.101</v>
      </c>
      <c r="GI18" t="n">
        <v>0.118</v>
      </c>
      <c r="GJ18" t="n">
        <v>0.299</v>
      </c>
      <c r="GK18" t="n">
        <v>0.832</v>
      </c>
      <c r="GL18" t="n">
        <v>0.07099999999999999</v>
      </c>
      <c r="GM18" t="n">
        <v>0.348</v>
      </c>
      <c r="GN18" t="n">
        <v>0.202</v>
      </c>
      <c r="GO18" t="n">
        <v>0</v>
      </c>
      <c r="GP18" t="n">
        <v>0.038</v>
      </c>
    </row>
    <row r="19">
      <c r="A19" t="n">
        <v>746778</v>
      </c>
      <c r="B19" t="inlineStr">
        <is>
          <t>Milk, reduced fat, fluid, 2% milkfat, with added vitamin A and vitamin D</t>
        </is>
      </c>
      <c r="C19" t="inlineStr"/>
      <c r="D19" t="inlineStr">
        <is>
          <t>Foundation</t>
        </is>
      </c>
      <c r="E19" s="9" t="n">
        <v>100</v>
      </c>
      <c r="F19" s="10">
        <f>E19/SUM($E$3:$E$33)</f>
        <v/>
      </c>
      <c r="G19" t="n">
        <v>89.09999999999999</v>
      </c>
      <c r="H19" t="n">
        <v>50.14</v>
      </c>
      <c r="I19" t="n">
        <v>209.78576</v>
      </c>
      <c r="J19" t="n">
        <v>0.53</v>
      </c>
      <c r="K19" t="n">
        <v>3.36</v>
      </c>
      <c r="L19" t="n">
        <v>1.64</v>
      </c>
      <c r="M19" t="n">
        <v>1.9</v>
      </c>
      <c r="N19" t="n">
        <v>0.75</v>
      </c>
      <c r="O19" t="n">
        <v>4.9</v>
      </c>
      <c r="T19" t="n">
        <v>4.89</v>
      </c>
      <c r="U19" t="n">
        <v>0</v>
      </c>
      <c r="V19" t="n">
        <v>0</v>
      </c>
      <c r="W19" t="n">
        <v>0</v>
      </c>
      <c r="X19" t="n">
        <v>4.89</v>
      </c>
      <c r="Y19" t="n">
        <v>0</v>
      </c>
      <c r="Z19" t="n">
        <v>0</v>
      </c>
      <c r="AD19" t="n">
        <v>126</v>
      </c>
      <c r="AE19" t="n">
        <v>0</v>
      </c>
      <c r="AF19" t="n">
        <v>12</v>
      </c>
      <c r="AG19" t="n">
        <v>103</v>
      </c>
      <c r="AH19" t="n">
        <v>159</v>
      </c>
      <c r="AI19" t="n">
        <v>39</v>
      </c>
      <c r="AJ19" t="n">
        <v>0.43</v>
      </c>
      <c r="AK19" t="n">
        <v>0.001</v>
      </c>
      <c r="AL19" t="n">
        <v>0.001</v>
      </c>
      <c r="AM19" t="n">
        <v>39.6</v>
      </c>
      <c r="AN19" t="n">
        <v>1.8</v>
      </c>
      <c r="AR19" t="n">
        <v>0.059</v>
      </c>
      <c r="AS19" t="n">
        <v>0.137</v>
      </c>
      <c r="AT19" t="n">
        <v>0.112</v>
      </c>
      <c r="AU19" t="n">
        <v>0.061</v>
      </c>
      <c r="AV19" t="n">
        <v>2</v>
      </c>
      <c r="AY19" t="n">
        <v>18.2</v>
      </c>
      <c r="AZ19" t="n">
        <v>3.1</v>
      </c>
      <c r="BA19" t="n">
        <v>1.1</v>
      </c>
      <c r="BB19" t="n">
        <v>1.9</v>
      </c>
      <c r="BC19" t="n">
        <v>11</v>
      </c>
      <c r="BD19" t="n">
        <v>1.2</v>
      </c>
      <c r="BE19" t="n">
        <v>0.7</v>
      </c>
      <c r="BF19" t="n">
        <v>0.55</v>
      </c>
      <c r="BH19" t="n">
        <v>83</v>
      </c>
      <c r="BI19" t="n">
        <v>83</v>
      </c>
      <c r="BJ19" t="n">
        <v>3</v>
      </c>
      <c r="BK19" t="n">
        <v>1</v>
      </c>
      <c r="BL19" t="n">
        <v>2</v>
      </c>
      <c r="BM19" t="n">
        <v>0</v>
      </c>
      <c r="BO19" t="n">
        <v>0</v>
      </c>
      <c r="BP19" t="n">
        <v>0</v>
      </c>
      <c r="BR19" t="n">
        <v>0</v>
      </c>
      <c r="BS19" t="n">
        <v>0</v>
      </c>
      <c r="BT19" t="n">
        <v>0</v>
      </c>
      <c r="BV19" t="n">
        <v>0</v>
      </c>
      <c r="BW19" t="n">
        <v>0</v>
      </c>
      <c r="BX19" t="n">
        <v>0</v>
      </c>
      <c r="BY19" t="n">
        <v>45.2</v>
      </c>
      <c r="BZ19" t="n">
        <v>1.13</v>
      </c>
      <c r="CA19" t="n">
        <v>0</v>
      </c>
      <c r="CB19" t="n">
        <v>1.13</v>
      </c>
      <c r="CC19" t="n">
        <v>0</v>
      </c>
      <c r="CG19" t="n">
        <v>0.03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Q19" t="n">
        <v>0.39</v>
      </c>
      <c r="CU19" t="n">
        <v>1.11</v>
      </c>
      <c r="CV19" t="n">
        <v>0.041</v>
      </c>
      <c r="CW19" t="n">
        <v>0</v>
      </c>
      <c r="CX19" t="n">
        <v>0.032</v>
      </c>
      <c r="CY19" t="n">
        <v>0</v>
      </c>
      <c r="CZ19" t="n">
        <v>0.021</v>
      </c>
      <c r="DA19" t="n">
        <v>0</v>
      </c>
      <c r="DB19" t="n">
        <v>0.049</v>
      </c>
      <c r="DC19" t="n">
        <v>0</v>
      </c>
      <c r="DD19" t="n">
        <v>0.058</v>
      </c>
      <c r="DF19" t="n">
        <v>0.181</v>
      </c>
      <c r="DG19" t="n">
        <v>0.019</v>
      </c>
      <c r="DH19" t="n">
        <v>0.512</v>
      </c>
      <c r="DI19" t="n">
        <v>0.011</v>
      </c>
      <c r="DJ19" t="n">
        <v>0.184</v>
      </c>
      <c r="DK19" t="n">
        <v>0.002</v>
      </c>
      <c r="DL19" t="n">
        <v>0</v>
      </c>
      <c r="DM19" t="n">
        <v>0.001</v>
      </c>
      <c r="DN19" t="n">
        <v>0</v>
      </c>
      <c r="DO19" t="n">
        <v>0</v>
      </c>
      <c r="DP19" t="n">
        <v>0.4</v>
      </c>
      <c r="DQ19" t="n">
        <v>0.001</v>
      </c>
      <c r="DS19" t="n">
        <v>0.014</v>
      </c>
      <c r="DT19" t="n">
        <v>0</v>
      </c>
      <c r="DV19" t="n">
        <v>0.024</v>
      </c>
      <c r="DW19" t="n">
        <v>0.003</v>
      </c>
      <c r="DX19" t="n">
        <v>0.003</v>
      </c>
      <c r="DZ19" t="n">
        <v>0.358</v>
      </c>
      <c r="EB19" t="n">
        <v>0.002</v>
      </c>
      <c r="ED19" t="n">
        <v>0</v>
      </c>
      <c r="EE19" t="n">
        <v>0</v>
      </c>
      <c r="EF19" t="n">
        <v>0</v>
      </c>
      <c r="EG19" t="n">
        <v>0</v>
      </c>
      <c r="EH19" t="n">
        <v>0.058</v>
      </c>
      <c r="EJ19" t="n">
        <v>0.052</v>
      </c>
      <c r="EK19" t="n">
        <v>0.045</v>
      </c>
      <c r="EL19" t="n">
        <v>0.007</v>
      </c>
      <c r="EN19" t="n">
        <v>0.007</v>
      </c>
      <c r="EO19" t="n">
        <v>0.007</v>
      </c>
      <c r="EP19" t="n">
        <v>0</v>
      </c>
      <c r="EQ19" t="n">
        <v>0</v>
      </c>
      <c r="ER19" t="n">
        <v>0</v>
      </c>
      <c r="ES19" t="n">
        <v>0</v>
      </c>
      <c r="EU19" t="n">
        <v>0.002</v>
      </c>
      <c r="EV19" t="n">
        <v>0</v>
      </c>
      <c r="EW19" t="n">
        <v>0.002</v>
      </c>
      <c r="EX19" t="n">
        <v>0</v>
      </c>
      <c r="EY19" t="n">
        <v>0.003</v>
      </c>
      <c r="EZ19" t="n">
        <v>0.003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0.001</v>
      </c>
      <c r="FG19" t="n">
        <v>0.001</v>
      </c>
      <c r="FH19" t="n">
        <v>0</v>
      </c>
      <c r="FI19" t="n">
        <v>0</v>
      </c>
      <c r="FJ19" t="n">
        <v>0.07000000000000001</v>
      </c>
      <c r="FK19" t="n">
        <v>0.06</v>
      </c>
      <c r="FL19" t="n">
        <v>0.008999999999999999</v>
      </c>
      <c r="FM19" t="n">
        <v>0</v>
      </c>
      <c r="FN19" t="n">
        <v>0.003</v>
      </c>
      <c r="FO19" t="n">
        <v>0.005</v>
      </c>
      <c r="FP19" t="n">
        <v>0.052</v>
      </c>
      <c r="FS19" t="n">
        <v>0.008999999999999999</v>
      </c>
      <c r="FT19" t="n">
        <v>0</v>
      </c>
      <c r="FU19" t="n">
        <v>0</v>
      </c>
      <c r="FV19" t="n">
        <v>0</v>
      </c>
      <c r="FW19" t="n">
        <v>8</v>
      </c>
      <c r="FX19" t="n">
        <v>0.042</v>
      </c>
      <c r="FY19" t="n">
        <v>0.162</v>
      </c>
      <c r="FZ19" t="n">
        <v>0.173</v>
      </c>
      <c r="GA19" t="n">
        <v>0.335</v>
      </c>
      <c r="GB19" t="n">
        <v>0.293</v>
      </c>
      <c r="GC19" t="n">
        <v>0.089</v>
      </c>
      <c r="GD19" t="n">
        <v>0.163</v>
      </c>
      <c r="GE19" t="n">
        <v>0.165</v>
      </c>
      <c r="GF19" t="n">
        <v>0.213</v>
      </c>
      <c r="GG19" t="n">
        <v>0.125</v>
      </c>
      <c r="GH19" t="n">
        <v>0.099</v>
      </c>
      <c r="GI19" t="n">
        <v>0.113</v>
      </c>
      <c r="GJ19" t="n">
        <v>0.291</v>
      </c>
      <c r="GK19" t="n">
        <v>0.801</v>
      </c>
      <c r="GL19" t="n">
        <v>0.068</v>
      </c>
      <c r="GM19" t="n">
        <v>0.332</v>
      </c>
      <c r="GN19" t="n">
        <v>0.197</v>
      </c>
      <c r="GO19" t="n">
        <v>0</v>
      </c>
      <c r="GP19" t="n">
        <v>0.035</v>
      </c>
    </row>
    <row r="20">
      <c r="A20" t="n">
        <v>2257046</v>
      </c>
      <c r="B20" t="inlineStr">
        <is>
          <t>Oat milk, unsweetened, plain, refrigerated</t>
        </is>
      </c>
      <c r="C20" t="inlineStr"/>
      <c r="D20" t="inlineStr">
        <is>
          <t>Foundation</t>
        </is>
      </c>
      <c r="E20" s="9" t="n">
        <v>100</v>
      </c>
      <c r="F20" s="10">
        <f>E20/SUM($E$3:$E$33)</f>
        <v/>
      </c>
      <c r="G20" t="n">
        <v>90.59999999999999</v>
      </c>
      <c r="H20" t="n">
        <v>48.33799999999999</v>
      </c>
      <c r="I20" t="n">
        <v>202.246192</v>
      </c>
      <c r="J20" t="n">
        <v>0.128</v>
      </c>
      <c r="K20" t="n">
        <v>0.797</v>
      </c>
      <c r="L20" t="n">
        <v>2.75</v>
      </c>
      <c r="M20" t="n">
        <v>2.75</v>
      </c>
      <c r="N20" t="n">
        <v>0.794</v>
      </c>
      <c r="O20" t="n">
        <v>5.1</v>
      </c>
      <c r="P20" t="n">
        <v>0</v>
      </c>
      <c r="T20" t="n">
        <v>2.32</v>
      </c>
      <c r="U20" t="n">
        <v>0</v>
      </c>
      <c r="V20" t="n">
        <v>0.771</v>
      </c>
      <c r="W20" t="n">
        <v>0</v>
      </c>
      <c r="X20" t="n">
        <v>0</v>
      </c>
      <c r="Y20" t="n">
        <v>1.55</v>
      </c>
      <c r="Z20" t="n">
        <v>0</v>
      </c>
      <c r="AD20" t="n">
        <v>148</v>
      </c>
      <c r="AE20" t="n">
        <v>0.261</v>
      </c>
      <c r="AF20" t="n">
        <v>5.91</v>
      </c>
      <c r="AG20" t="n">
        <v>89.2</v>
      </c>
      <c r="AH20" t="n">
        <v>148</v>
      </c>
      <c r="AI20" t="n">
        <v>42</v>
      </c>
      <c r="AJ20" t="n">
        <v>0.0906</v>
      </c>
      <c r="AK20" t="n">
        <v>0.0271</v>
      </c>
      <c r="AL20" t="n">
        <v>0.126</v>
      </c>
      <c r="AN20" t="n">
        <v>0</v>
      </c>
      <c r="AO20" t="n">
        <v>10.1</v>
      </c>
      <c r="AR20" t="n">
        <v>0.04</v>
      </c>
      <c r="AS20" t="n">
        <v>0.281</v>
      </c>
      <c r="AT20" t="n">
        <v>0.09619999999999999</v>
      </c>
      <c r="AU20" t="n">
        <v>0.0065</v>
      </c>
      <c r="AV20" t="n">
        <v>0</v>
      </c>
      <c r="BF20" t="n">
        <v>0.506</v>
      </c>
      <c r="BI20" t="n">
        <v>84.7</v>
      </c>
      <c r="BY20" t="n">
        <v>68</v>
      </c>
      <c r="BZ20" t="n">
        <v>1.7</v>
      </c>
      <c r="CA20" t="n">
        <v>1.69</v>
      </c>
      <c r="CB20" t="n">
        <v>0.00769</v>
      </c>
      <c r="CD20" t="n">
        <v>0.4</v>
      </c>
      <c r="CE20" t="n">
        <v>0</v>
      </c>
      <c r="CF20" t="n">
        <v>0</v>
      </c>
      <c r="CR20" t="n">
        <v>1.41</v>
      </c>
      <c r="FX20" t="n">
        <v>0.008750000000000001</v>
      </c>
      <c r="FY20" t="n">
        <v>0.0225</v>
      </c>
      <c r="FZ20" t="n">
        <v>0.025</v>
      </c>
      <c r="GA20" t="n">
        <v>0.08119999999999999</v>
      </c>
      <c r="GB20" t="n">
        <v>0.0612</v>
      </c>
      <c r="GC20" t="n">
        <v>0.01</v>
      </c>
      <c r="GD20" t="n">
        <v>0.0725</v>
      </c>
      <c r="GE20" t="n">
        <v>0.0412</v>
      </c>
      <c r="GF20" t="n">
        <v>0.0325</v>
      </c>
      <c r="GG20" t="n">
        <v>0.0825</v>
      </c>
      <c r="GH20" t="n">
        <v>0.0175</v>
      </c>
      <c r="GI20" t="n">
        <v>0.0375</v>
      </c>
      <c r="GJ20" t="n">
        <v>0.0825</v>
      </c>
      <c r="GK20" t="n">
        <v>0.15</v>
      </c>
      <c r="GL20" t="n">
        <v>0.0562</v>
      </c>
      <c r="GM20" t="n">
        <v>0.0725</v>
      </c>
      <c r="GN20" t="n">
        <v>0.0562</v>
      </c>
      <c r="GO20" t="n">
        <v>0</v>
      </c>
      <c r="GP20" t="n">
        <v>0.025</v>
      </c>
    </row>
    <row r="21">
      <c r="A21" t="n">
        <v>2257044</v>
      </c>
      <c r="B21" t="inlineStr">
        <is>
          <t>Soy milk, sweetened, plain, refrigerated</t>
        </is>
      </c>
      <c r="C21" t="inlineStr"/>
      <c r="D21" t="inlineStr">
        <is>
          <t>Foundation</t>
        </is>
      </c>
      <c r="E21" s="9" t="n">
        <v>100</v>
      </c>
      <c r="F21" s="10">
        <f>E21/SUM($E$3:$E$33)</f>
        <v/>
      </c>
      <c r="G21" t="n">
        <v>91.5</v>
      </c>
      <c r="H21" t="n">
        <v>40.76</v>
      </c>
      <c r="I21" t="n">
        <v>170.53984</v>
      </c>
      <c r="J21" t="n">
        <v>0.444</v>
      </c>
      <c r="K21" t="n">
        <v>2.78</v>
      </c>
      <c r="L21" t="n">
        <v>1.96</v>
      </c>
      <c r="M21" t="n">
        <v>1.96</v>
      </c>
      <c r="N21" t="n">
        <v>0.75</v>
      </c>
      <c r="O21" t="n">
        <v>3</v>
      </c>
      <c r="P21" t="n">
        <v>0</v>
      </c>
      <c r="U21" t="n">
        <v>2.58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D21" t="n">
        <v>155</v>
      </c>
      <c r="AE21" t="n">
        <v>0.367</v>
      </c>
      <c r="AF21" t="n">
        <v>17.5</v>
      </c>
      <c r="AG21" t="n">
        <v>46</v>
      </c>
      <c r="AH21" t="n">
        <v>118</v>
      </c>
      <c r="AI21" t="n">
        <v>39.4</v>
      </c>
      <c r="AJ21" t="n">
        <v>0.264</v>
      </c>
      <c r="AK21" t="n">
        <v>0.0956</v>
      </c>
      <c r="AL21" t="n">
        <v>0.16</v>
      </c>
      <c r="AN21" t="n">
        <v>0</v>
      </c>
      <c r="AO21" t="n">
        <v>32.3</v>
      </c>
      <c r="AR21" t="n">
        <v>0.0436</v>
      </c>
      <c r="AS21" t="n">
        <v>0.331</v>
      </c>
      <c r="AT21" t="n">
        <v>0.133</v>
      </c>
      <c r="AU21" t="n">
        <v>0.0364</v>
      </c>
      <c r="AV21" t="n">
        <v>15.8</v>
      </c>
      <c r="BF21" t="n">
        <v>1.33</v>
      </c>
      <c r="BI21" t="n">
        <v>89.40000000000001</v>
      </c>
      <c r="BY21" t="n">
        <v>185</v>
      </c>
      <c r="BZ21" t="n">
        <v>4.63</v>
      </c>
      <c r="CA21" t="n">
        <v>4.61</v>
      </c>
      <c r="CB21" t="n">
        <v>0.0201</v>
      </c>
      <c r="CD21" t="n">
        <v>2.8</v>
      </c>
      <c r="CE21" t="n">
        <v>0</v>
      </c>
      <c r="CF21" t="n">
        <v>0</v>
      </c>
      <c r="CR21" t="n">
        <v>2.16</v>
      </c>
      <c r="FX21" t="n">
        <v>0.0343</v>
      </c>
      <c r="FY21" t="n">
        <v>0.1</v>
      </c>
      <c r="FZ21" t="n">
        <v>0.1</v>
      </c>
      <c r="GA21" t="n">
        <v>0.2</v>
      </c>
      <c r="GB21" t="n">
        <v>0.2</v>
      </c>
      <c r="GC21" t="n">
        <v>0.0329</v>
      </c>
      <c r="GD21" t="n">
        <v>0.157</v>
      </c>
      <c r="GE21" t="n">
        <v>0.1</v>
      </c>
      <c r="GF21" t="n">
        <v>0.101</v>
      </c>
      <c r="GG21" t="n">
        <v>0.2</v>
      </c>
      <c r="GH21" t="n">
        <v>0.1</v>
      </c>
      <c r="GI21" t="n">
        <v>0.1</v>
      </c>
      <c r="GJ21" t="n">
        <v>0.329</v>
      </c>
      <c r="GK21" t="n">
        <v>0.486</v>
      </c>
      <c r="GL21" t="n">
        <v>0.1</v>
      </c>
      <c r="GM21" t="n">
        <v>0.114</v>
      </c>
      <c r="GN21" t="n">
        <v>0.171</v>
      </c>
      <c r="GO21" t="n">
        <v>0</v>
      </c>
      <c r="GP21" t="n">
        <v>0.0486</v>
      </c>
      <c r="HG21" t="n">
        <v>7.96</v>
      </c>
      <c r="HH21" t="n">
        <v>14.7</v>
      </c>
      <c r="HI21" t="n">
        <v>0.364</v>
      </c>
      <c r="HJ21" t="n">
        <v>0.139</v>
      </c>
      <c r="HK21" t="n">
        <v>0.236</v>
      </c>
    </row>
    <row r="22">
      <c r="A22" t="n">
        <v>1999630</v>
      </c>
      <c r="B22" t="inlineStr">
        <is>
          <t>Soy milk, unsweetened, plain, shelf stable</t>
        </is>
      </c>
      <c r="C22" t="inlineStr"/>
      <c r="D22" t="inlineStr">
        <is>
          <t>Foundation</t>
        </is>
      </c>
      <c r="E22" s="9" t="n">
        <v>100</v>
      </c>
      <c r="F22" s="10">
        <f>E22/SUM($E$3:$E$33)</f>
        <v/>
      </c>
      <c r="G22" t="n">
        <v>92.40000000000001</v>
      </c>
      <c r="H22" t="n">
        <v>38.44</v>
      </c>
      <c r="I22" t="n">
        <v>160.83296</v>
      </c>
      <c r="J22" t="n">
        <v>0.5679999999999999</v>
      </c>
      <c r="K22" t="n">
        <v>3.55</v>
      </c>
      <c r="L22" t="n">
        <v>1.88</v>
      </c>
      <c r="M22" t="n">
        <v>2.12</v>
      </c>
      <c r="N22" t="n">
        <v>0.635</v>
      </c>
      <c r="O22" t="n">
        <v>1.29</v>
      </c>
      <c r="P22" t="n">
        <v>0</v>
      </c>
      <c r="T22" t="n">
        <v>0.5570000000000001</v>
      </c>
      <c r="U22" t="n">
        <v>0.5570000000000001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D22" t="n">
        <v>101</v>
      </c>
      <c r="AE22" t="n">
        <v>0.542</v>
      </c>
      <c r="AF22" t="n">
        <v>21.5</v>
      </c>
      <c r="AG22" t="n">
        <v>68.59999999999999</v>
      </c>
      <c r="AH22" t="n">
        <v>158</v>
      </c>
      <c r="AI22" t="n">
        <v>34.3</v>
      </c>
      <c r="AJ22" t="n">
        <v>0.312</v>
      </c>
      <c r="AK22" t="n">
        <v>0.108</v>
      </c>
      <c r="AL22" t="n">
        <v>0.208</v>
      </c>
      <c r="AM22" t="n">
        <v>0</v>
      </c>
      <c r="AN22" t="n">
        <v>1.94</v>
      </c>
      <c r="AO22" t="n">
        <v>58.4</v>
      </c>
      <c r="AR22" t="n">
        <v>0.06320000000000001</v>
      </c>
      <c r="AS22" t="n">
        <v>0.08400000000000001</v>
      </c>
      <c r="AT22" t="n">
        <v>0.236</v>
      </c>
      <c r="AU22" t="n">
        <v>0.0552</v>
      </c>
      <c r="AV22" t="n">
        <v>19.7</v>
      </c>
      <c r="BF22" t="n">
        <v>0.393</v>
      </c>
      <c r="BH22" t="n">
        <v>58.2</v>
      </c>
      <c r="BI22" t="n">
        <v>58.2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R22" t="n">
        <v>0</v>
      </c>
      <c r="BS22" t="n">
        <v>0</v>
      </c>
      <c r="BT22" t="n">
        <v>0</v>
      </c>
      <c r="BU22" t="n">
        <v>8.220000000000001</v>
      </c>
      <c r="BV22" t="n">
        <v>0.966</v>
      </c>
      <c r="BX22" t="n">
        <v>7.26</v>
      </c>
      <c r="BY22" t="n">
        <v>27.2</v>
      </c>
      <c r="BZ22" t="n">
        <v>0.681</v>
      </c>
      <c r="CA22" t="n">
        <v>0.681</v>
      </c>
      <c r="CB22" t="n">
        <v>0</v>
      </c>
      <c r="CG22" t="n">
        <v>0.156</v>
      </c>
      <c r="CI22" t="n">
        <v>0</v>
      </c>
      <c r="CJ22" t="n">
        <v>1.42</v>
      </c>
      <c r="CK22" t="n">
        <v>0.874</v>
      </c>
      <c r="CL22" t="n">
        <v>0</v>
      </c>
      <c r="CM22" t="n">
        <v>0</v>
      </c>
      <c r="CN22" t="n">
        <v>0</v>
      </c>
      <c r="CO22" t="n">
        <v>0</v>
      </c>
      <c r="CR22" t="n">
        <v>3.34</v>
      </c>
      <c r="CU22" t="n">
        <v>0.314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F22" t="n">
        <v>0.00381</v>
      </c>
      <c r="DG22" t="n">
        <v>0.00169</v>
      </c>
      <c r="DH22" t="n">
        <v>0.218</v>
      </c>
      <c r="DI22" t="n">
        <v>0.002</v>
      </c>
      <c r="DJ22" t="n">
        <v>0.0728</v>
      </c>
      <c r="DK22" t="n">
        <v>0.00562</v>
      </c>
      <c r="DL22" t="n">
        <v>0</v>
      </c>
      <c r="DM22" t="n">
        <v>0.00675</v>
      </c>
      <c r="DN22" t="n">
        <v>0</v>
      </c>
      <c r="DO22" t="n">
        <v>0.00231</v>
      </c>
      <c r="DP22" t="n">
        <v>0.416</v>
      </c>
      <c r="DQ22" t="n">
        <v>0</v>
      </c>
      <c r="DS22" t="n">
        <v>0</v>
      </c>
      <c r="DT22" t="n">
        <v>0</v>
      </c>
      <c r="DV22" t="n">
        <v>0.00194</v>
      </c>
      <c r="DW22" t="n">
        <v>0.001</v>
      </c>
      <c r="DX22" t="n">
        <v>0.001</v>
      </c>
      <c r="DZ22" t="n">
        <v>0.409</v>
      </c>
      <c r="EB22" t="n">
        <v>0.00481</v>
      </c>
      <c r="ED22" t="n">
        <v>0</v>
      </c>
      <c r="EE22" t="n">
        <v>0</v>
      </c>
      <c r="EF22" t="n">
        <v>0</v>
      </c>
      <c r="EG22" t="n">
        <v>0</v>
      </c>
      <c r="EH22" t="n">
        <v>1.15</v>
      </c>
      <c r="EJ22" t="n">
        <v>0.988</v>
      </c>
      <c r="EK22" t="n">
        <v>0.988</v>
      </c>
      <c r="EL22" t="n">
        <v>0</v>
      </c>
      <c r="EN22" t="n">
        <v>0.166</v>
      </c>
      <c r="EO22" t="n">
        <v>0.166</v>
      </c>
      <c r="EP22" t="n">
        <v>0</v>
      </c>
      <c r="EQ22" t="n">
        <v>0</v>
      </c>
      <c r="ER22" t="n">
        <v>0.000562</v>
      </c>
      <c r="ES22" t="n">
        <v>0.000562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0.000812</v>
      </c>
      <c r="FM22" t="n">
        <v>0</v>
      </c>
      <c r="FN22" t="n">
        <v>0</v>
      </c>
      <c r="FO22" t="n">
        <v>0</v>
      </c>
      <c r="FP22" t="n">
        <v>0.000812</v>
      </c>
      <c r="FQ22" t="n">
        <v>0.00112</v>
      </c>
      <c r="FS22" t="n">
        <v>0.00112</v>
      </c>
      <c r="FT22" t="n">
        <v>0</v>
      </c>
      <c r="FU22" t="n">
        <v>0</v>
      </c>
      <c r="FV22" t="n">
        <v>0</v>
      </c>
      <c r="FX22" t="n">
        <v>0.0462</v>
      </c>
      <c r="FY22" t="n">
        <v>0.128</v>
      </c>
      <c r="FZ22" t="n">
        <v>0.145</v>
      </c>
      <c r="GA22" t="n">
        <v>0.249</v>
      </c>
      <c r="GB22" t="n">
        <v>0.221</v>
      </c>
      <c r="GC22" t="n">
        <v>0.0462</v>
      </c>
      <c r="GD22" t="n">
        <v>0.175</v>
      </c>
      <c r="GE22" t="n">
        <v>0.124</v>
      </c>
      <c r="GF22" t="n">
        <v>0.142</v>
      </c>
      <c r="GG22" t="n">
        <v>0.269</v>
      </c>
      <c r="GH22" t="n">
        <v>0.0975</v>
      </c>
      <c r="GI22" t="n">
        <v>0.139</v>
      </c>
      <c r="GJ22" t="n">
        <v>0.396</v>
      </c>
      <c r="GK22" t="n">
        <v>0.619</v>
      </c>
      <c r="GL22" t="n">
        <v>0.141</v>
      </c>
      <c r="GM22" t="n">
        <v>0.137</v>
      </c>
      <c r="GN22" t="n">
        <v>0.168</v>
      </c>
      <c r="GO22" t="n">
        <v>0</v>
      </c>
      <c r="GP22" t="n">
        <v>0.0575</v>
      </c>
      <c r="HD22" t="n">
        <v>0.0262</v>
      </c>
      <c r="HE22" t="n">
        <v>0.0665</v>
      </c>
      <c r="HF22" t="n">
        <v>0.434</v>
      </c>
      <c r="HG22" t="n">
        <v>12.9</v>
      </c>
      <c r="HH22" t="n">
        <v>18.8</v>
      </c>
      <c r="HI22" t="n">
        <v>1.36</v>
      </c>
      <c r="HJ22" t="n">
        <v>0.457</v>
      </c>
      <c r="HK22" t="n">
        <v>0.38</v>
      </c>
    </row>
    <row r="23">
      <c r="A23" t="n">
        <v>173532</v>
      </c>
      <c r="B23" t="inlineStr">
        <is>
          <t>Babyfood, cereal, mixed, with honey, prepared with whole milk</t>
        </is>
      </c>
      <c r="C23" t="inlineStr"/>
      <c r="D23" t="inlineStr">
        <is>
          <t>SR Legacy</t>
        </is>
      </c>
      <c r="E23" s="9" t="n">
        <v>100</v>
      </c>
      <c r="F23" s="10">
        <f>E23/SUM($E$3:$E$33)</f>
        <v/>
      </c>
      <c r="G23" t="n">
        <v>74.2</v>
      </c>
      <c r="H23" t="n">
        <v>116</v>
      </c>
      <c r="I23" t="n">
        <v>485.344</v>
      </c>
      <c r="J23" t="n">
        <v>0.8</v>
      </c>
      <c r="K23" t="n">
        <v>5</v>
      </c>
      <c r="L23" t="n">
        <v>3.6</v>
      </c>
      <c r="M23" t="n">
        <v>3.6</v>
      </c>
      <c r="N23" t="n">
        <v>1.2</v>
      </c>
      <c r="O23" t="n">
        <v>15.9</v>
      </c>
      <c r="AD23" t="n">
        <v>294</v>
      </c>
      <c r="AE23" t="n">
        <v>11.3</v>
      </c>
      <c r="AF23" t="n">
        <v>28</v>
      </c>
      <c r="AG23" t="n">
        <v>184</v>
      </c>
      <c r="AH23" t="n">
        <v>171</v>
      </c>
      <c r="AI23" t="n">
        <v>48</v>
      </c>
      <c r="AJ23" t="n">
        <v>0.72</v>
      </c>
      <c r="AK23" t="n">
        <v>0.064</v>
      </c>
      <c r="AQ23" t="n">
        <v>11</v>
      </c>
      <c r="AR23" t="n">
        <v>0.447</v>
      </c>
      <c r="AS23" t="n">
        <v>0.583</v>
      </c>
      <c r="AT23" t="n">
        <v>6.26</v>
      </c>
      <c r="AU23" t="n">
        <v>0.067</v>
      </c>
      <c r="AV23" t="n">
        <v>11</v>
      </c>
      <c r="AW23" t="n">
        <v>0</v>
      </c>
      <c r="AX23" t="n">
        <v>11</v>
      </c>
      <c r="BF23" t="n">
        <v>0.3</v>
      </c>
      <c r="CQ23" t="n">
        <v>0.443</v>
      </c>
    </row>
    <row r="24">
      <c r="A24" t="n">
        <v>173534</v>
      </c>
      <c r="B24" t="inlineStr">
        <is>
          <t>Babyfood, cereal, rice, with bananas, prepared with whole milk</t>
        </is>
      </c>
      <c r="C24" t="inlineStr"/>
      <c r="D24" t="inlineStr">
        <is>
          <t>SR Legacy</t>
        </is>
      </c>
      <c r="E24" s="9" t="n">
        <v>100</v>
      </c>
      <c r="F24" s="10">
        <f>E24/SUM($E$3:$E$33)</f>
        <v/>
      </c>
      <c r="G24" t="n">
        <v>81.8</v>
      </c>
      <c r="H24" t="n">
        <v>86.16</v>
      </c>
      <c r="I24" t="n">
        <v>360.49344</v>
      </c>
      <c r="J24" t="n">
        <v>0.5711999999999999</v>
      </c>
      <c r="K24" t="n">
        <v>3.57</v>
      </c>
      <c r="L24" t="n">
        <v>3.32</v>
      </c>
      <c r="M24" t="n">
        <v>3.32</v>
      </c>
      <c r="N24" t="n">
        <v>0.8100000000000001</v>
      </c>
      <c r="O24" t="n">
        <v>10.5</v>
      </c>
      <c r="P24" t="n">
        <v>0.1</v>
      </c>
      <c r="T24" t="n">
        <v>6.13</v>
      </c>
      <c r="U24" t="n">
        <v>0</v>
      </c>
      <c r="V24" t="n">
        <v>0</v>
      </c>
      <c r="W24" t="n">
        <v>0</v>
      </c>
      <c r="X24" t="n">
        <v>4.67</v>
      </c>
      <c r="Y24" t="n">
        <v>0</v>
      </c>
      <c r="Z24" t="n">
        <v>0</v>
      </c>
      <c r="AD24" t="n">
        <v>156</v>
      </c>
      <c r="AE24" t="n">
        <v>3.63</v>
      </c>
      <c r="AF24" t="n">
        <v>20</v>
      </c>
      <c r="AG24" t="n">
        <v>109</v>
      </c>
      <c r="AH24" t="n">
        <v>180</v>
      </c>
      <c r="AI24" t="n">
        <v>47</v>
      </c>
      <c r="AJ24" t="n">
        <v>0.46</v>
      </c>
      <c r="AK24" t="n">
        <v>0.042</v>
      </c>
      <c r="AL24" t="n">
        <v>0.004</v>
      </c>
      <c r="AN24" t="n">
        <v>4.3</v>
      </c>
      <c r="AQ24" t="n">
        <v>6</v>
      </c>
      <c r="AR24" t="n">
        <v>0.6840000000000001</v>
      </c>
      <c r="AS24" t="n">
        <v>0.444</v>
      </c>
      <c r="AT24" t="n">
        <v>1.85</v>
      </c>
      <c r="AU24" t="n">
        <v>0.08500000000000001</v>
      </c>
      <c r="AV24" t="n">
        <v>6</v>
      </c>
      <c r="AW24" t="n">
        <v>0</v>
      </c>
      <c r="AX24" t="n">
        <v>6</v>
      </c>
      <c r="AY24" t="n">
        <v>15.2</v>
      </c>
      <c r="BE24" t="n">
        <v>0.6</v>
      </c>
      <c r="BF24" t="n">
        <v>0.43</v>
      </c>
      <c r="BG24" t="n">
        <v>0</v>
      </c>
      <c r="BH24" t="n">
        <v>43</v>
      </c>
      <c r="BI24" t="n">
        <v>42</v>
      </c>
      <c r="BJ24" t="n">
        <v>7</v>
      </c>
      <c r="BM24" t="n">
        <v>1</v>
      </c>
      <c r="BO24" t="n">
        <v>0</v>
      </c>
      <c r="BQ24" t="n">
        <v>152</v>
      </c>
      <c r="BR24" t="n">
        <v>0</v>
      </c>
      <c r="BU24" t="n">
        <v>3</v>
      </c>
      <c r="BY24" t="n">
        <v>47</v>
      </c>
      <c r="BZ24" t="n">
        <v>1.2</v>
      </c>
      <c r="CB24" t="n">
        <v>1.2</v>
      </c>
      <c r="CD24" t="n">
        <v>0.5</v>
      </c>
      <c r="CE24" t="n">
        <v>0</v>
      </c>
      <c r="CF24" t="n">
        <v>0.9</v>
      </c>
      <c r="CG24" t="n">
        <v>0.09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0.2</v>
      </c>
      <c r="CQ24" t="n">
        <v>0.345</v>
      </c>
      <c r="CS24" t="n">
        <v>0</v>
      </c>
      <c r="CT24" t="n">
        <v>0</v>
      </c>
      <c r="CU24" t="n">
        <v>1.8</v>
      </c>
      <c r="CV24" t="n">
        <v>0.06900000000000001</v>
      </c>
      <c r="CX24" t="n">
        <v>0.06900000000000001</v>
      </c>
      <c r="CZ24" t="n">
        <v>0.06900000000000001</v>
      </c>
      <c r="DB24" t="n">
        <v>0.06900000000000001</v>
      </c>
      <c r="DD24" t="n">
        <v>0.07099999999999999</v>
      </c>
      <c r="DE24" t="n">
        <v>0</v>
      </c>
      <c r="DF24" t="n">
        <v>0.276</v>
      </c>
      <c r="DG24" t="n">
        <v>0</v>
      </c>
      <c r="DH24" t="n">
        <v>0.826</v>
      </c>
      <c r="DI24" t="n">
        <v>0</v>
      </c>
      <c r="DJ24" t="n">
        <v>0.345</v>
      </c>
      <c r="DK24" t="n">
        <v>0</v>
      </c>
      <c r="DM24" t="n">
        <v>0</v>
      </c>
      <c r="DO24" t="n">
        <v>0</v>
      </c>
      <c r="DP24" t="n">
        <v>0.826</v>
      </c>
      <c r="DR24" t="n">
        <v>0</v>
      </c>
      <c r="DU24" t="n">
        <v>0.002</v>
      </c>
      <c r="DY24" t="n">
        <v>0.823</v>
      </c>
      <c r="EA24" t="n">
        <v>0</v>
      </c>
      <c r="EC24" t="n">
        <v>0</v>
      </c>
      <c r="EH24" t="n">
        <v>0.294</v>
      </c>
      <c r="EI24" t="n">
        <v>0.209</v>
      </c>
      <c r="EM24" t="n">
        <v>0.08500000000000001</v>
      </c>
      <c r="EQ24" t="n">
        <v>0</v>
      </c>
      <c r="EY24" t="n">
        <v>0</v>
      </c>
      <c r="FB24" t="n">
        <v>0</v>
      </c>
      <c r="FG24" t="n">
        <v>0</v>
      </c>
      <c r="FI24" t="n">
        <v>0</v>
      </c>
      <c r="FW24" t="n">
        <v>10</v>
      </c>
      <c r="FX24" t="n">
        <v>0.079</v>
      </c>
      <c r="FY24" t="n">
        <v>0.163</v>
      </c>
      <c r="FZ24" t="n">
        <v>0.184</v>
      </c>
      <c r="GA24" t="n">
        <v>0.302</v>
      </c>
      <c r="GB24" t="n">
        <v>0.161</v>
      </c>
      <c r="GC24" t="n">
        <v>0.08500000000000001</v>
      </c>
      <c r="GD24" t="n">
        <v>0.163</v>
      </c>
      <c r="GE24" t="n">
        <v>0.165</v>
      </c>
      <c r="GF24" t="n">
        <v>0.215</v>
      </c>
      <c r="GG24" t="n">
        <v>0.113</v>
      </c>
      <c r="GH24" t="n">
        <v>0.08799999999999999</v>
      </c>
      <c r="GI24" t="n">
        <v>0.131</v>
      </c>
      <c r="GJ24" t="n">
        <v>0.28</v>
      </c>
      <c r="GK24" t="n">
        <v>0.702</v>
      </c>
      <c r="GL24" t="n">
        <v>0.095</v>
      </c>
      <c r="GM24" t="n">
        <v>0.341</v>
      </c>
      <c r="GN24" t="n">
        <v>0.132</v>
      </c>
      <c r="GP24" t="n">
        <v>0.029</v>
      </c>
      <c r="HL24" t="n">
        <v>0</v>
      </c>
    </row>
    <row r="25">
      <c r="A25" t="n">
        <v>2003591</v>
      </c>
      <c r="B25" t="inlineStr">
        <is>
          <t>Orange juice, no pulp, not fortified, from concentrate, refrigerated</t>
        </is>
      </c>
      <c r="C25" t="inlineStr"/>
      <c r="D25" t="inlineStr">
        <is>
          <t>Foundation</t>
        </is>
      </c>
      <c r="E25" s="9" t="n">
        <v>100</v>
      </c>
      <c r="F25" s="10">
        <f>E25/SUM($E$3:$E$33)</f>
        <v/>
      </c>
      <c r="G25" t="n">
        <v>88.2</v>
      </c>
      <c r="H25" t="n">
        <v>47.061</v>
      </c>
      <c r="I25" t="n">
        <v>196.903224</v>
      </c>
      <c r="J25" t="n">
        <v>0.118</v>
      </c>
      <c r="K25" t="n">
        <v>0.734</v>
      </c>
      <c r="L25" t="n">
        <v>0.325</v>
      </c>
      <c r="M25" t="n">
        <v>0.325</v>
      </c>
      <c r="N25" t="n">
        <v>0.35</v>
      </c>
      <c r="O25" t="n">
        <v>10.3</v>
      </c>
      <c r="T25" t="n">
        <v>8.279999999999999</v>
      </c>
      <c r="U25" t="n">
        <v>4.39</v>
      </c>
      <c r="V25" t="n">
        <v>1.79</v>
      </c>
      <c r="W25" t="n">
        <v>2.1</v>
      </c>
      <c r="X25" t="n">
        <v>0</v>
      </c>
      <c r="Y25" t="n">
        <v>0</v>
      </c>
      <c r="Z25" t="n">
        <v>0</v>
      </c>
      <c r="AD25" t="n">
        <v>12.8</v>
      </c>
      <c r="AE25" t="n">
        <v>0.0646</v>
      </c>
      <c r="AF25" t="n">
        <v>10.6</v>
      </c>
      <c r="AG25" t="n">
        <v>18.2</v>
      </c>
      <c r="AH25" t="n">
        <v>180</v>
      </c>
      <c r="AI25" t="n">
        <v>5.23</v>
      </c>
      <c r="AJ25" t="n">
        <v>0.0319</v>
      </c>
      <c r="AK25" t="n">
        <v>0.0322</v>
      </c>
      <c r="AL25" t="n">
        <v>0.0299</v>
      </c>
      <c r="AR25" t="n">
        <v>0.0701</v>
      </c>
      <c r="AT25" t="n">
        <v>0.0403</v>
      </c>
      <c r="AU25" t="n">
        <v>0.0429</v>
      </c>
      <c r="AV25" t="n">
        <v>29.8</v>
      </c>
      <c r="CP25" t="n">
        <v>26.9</v>
      </c>
      <c r="GZ25" t="n">
        <v>706</v>
      </c>
      <c r="HA25" t="n">
        <v>161</v>
      </c>
      <c r="HB25" t="n">
        <v>0</v>
      </c>
      <c r="HC25" t="n">
        <v>12.3</v>
      </c>
    </row>
    <row r="26">
      <c r="A26" t="n">
        <v>2003597</v>
      </c>
      <c r="B26" t="inlineStr">
        <is>
          <t>Orange juice, no pulp, not fortified, not from concentrate, refrigerated</t>
        </is>
      </c>
      <c r="C26" t="inlineStr"/>
      <c r="D26" t="inlineStr">
        <is>
          <t>Foundation</t>
        </is>
      </c>
      <c r="E26" s="9" t="n">
        <v>100</v>
      </c>
      <c r="F26" s="10">
        <f>E26/SUM($E$3:$E$33)</f>
        <v/>
      </c>
      <c r="G26" t="n">
        <v>88.5</v>
      </c>
      <c r="H26" t="n">
        <v>46.452</v>
      </c>
      <c r="I26" t="n">
        <v>194.355168</v>
      </c>
      <c r="J26" t="n">
        <v>0.13</v>
      </c>
      <c r="K26" t="n">
        <v>0.8120000000000001</v>
      </c>
      <c r="L26" t="n">
        <v>0.356</v>
      </c>
      <c r="M26" t="n">
        <v>0.356</v>
      </c>
      <c r="N26" t="n">
        <v>0.339</v>
      </c>
      <c r="O26" t="n">
        <v>10</v>
      </c>
      <c r="T26" t="n">
        <v>8.08</v>
      </c>
      <c r="U26" t="n">
        <v>4.14</v>
      </c>
      <c r="V26" t="n">
        <v>1.81</v>
      </c>
      <c r="W26" t="n">
        <v>2.12</v>
      </c>
      <c r="X26" t="n">
        <v>0</v>
      </c>
      <c r="Y26" t="n">
        <v>0</v>
      </c>
      <c r="Z26" t="n">
        <v>0</v>
      </c>
      <c r="AD26" t="n">
        <v>9.289999999999999</v>
      </c>
      <c r="AE26" t="n">
        <v>0.0706</v>
      </c>
      <c r="AF26" t="n">
        <v>10.3</v>
      </c>
      <c r="AG26" t="n">
        <v>19</v>
      </c>
      <c r="AH26" t="n">
        <v>183</v>
      </c>
      <c r="AI26" t="n">
        <v>0.075</v>
      </c>
      <c r="AJ26" t="n">
        <v>0.0321</v>
      </c>
      <c r="AK26" t="n">
        <v>0.0353</v>
      </c>
      <c r="AL26" t="n">
        <v>0.0277</v>
      </c>
      <c r="AR26" t="n">
        <v>0.0746</v>
      </c>
      <c r="AT26" t="n">
        <v>0.0291</v>
      </c>
      <c r="AU26" t="n">
        <v>0.0411</v>
      </c>
      <c r="AV26" t="n">
        <v>29</v>
      </c>
      <c r="CP26" t="n">
        <v>30.5</v>
      </c>
      <c r="GZ26" t="n">
        <v>757</v>
      </c>
      <c r="HA26" t="n">
        <v>160</v>
      </c>
      <c r="HB26" t="n">
        <v>0</v>
      </c>
      <c r="HC26" t="n">
        <v>0</v>
      </c>
    </row>
    <row r="27">
      <c r="A27" t="n">
        <v>169102</v>
      </c>
      <c r="B27" t="inlineStr">
        <is>
          <t>Orange juice, frozen concentrate, unsweetened, diluted with 3 volume water</t>
        </is>
      </c>
      <c r="C27" t="inlineStr"/>
      <c r="D27" t="inlineStr">
        <is>
          <t>SR Legacy</t>
        </is>
      </c>
      <c r="E27" s="9" t="n">
        <v>100</v>
      </c>
      <c r="F27" s="10">
        <f>E27/SUM($E$3:$E$33)</f>
        <v/>
      </c>
      <c r="G27" t="n">
        <v>90.09999999999999</v>
      </c>
      <c r="H27" t="n">
        <v>38.14</v>
      </c>
      <c r="I27" t="n">
        <v>159.57776</v>
      </c>
      <c r="J27" t="n">
        <v>0.096</v>
      </c>
      <c r="K27" t="n">
        <v>0.6</v>
      </c>
      <c r="L27" t="n">
        <v>0.06</v>
      </c>
      <c r="M27" t="n">
        <v>0.06</v>
      </c>
      <c r="N27" t="n">
        <v>0.47</v>
      </c>
      <c r="O27" t="n">
        <v>8.800000000000001</v>
      </c>
      <c r="P27" t="n">
        <v>0.2</v>
      </c>
      <c r="T27" t="n">
        <v>7.42</v>
      </c>
      <c r="AD27" t="n">
        <v>12</v>
      </c>
      <c r="AE27" t="n">
        <v>0.08</v>
      </c>
      <c r="AF27" t="n">
        <v>10</v>
      </c>
      <c r="AG27" t="n">
        <v>15</v>
      </c>
      <c r="AH27" t="n">
        <v>158</v>
      </c>
      <c r="AI27" t="n">
        <v>4</v>
      </c>
      <c r="AJ27" t="n">
        <v>0.04</v>
      </c>
      <c r="AK27" t="n">
        <v>0.021</v>
      </c>
      <c r="AN27" t="n">
        <v>0.1</v>
      </c>
      <c r="AQ27" t="n">
        <v>19</v>
      </c>
      <c r="AR27" t="n">
        <v>0.06900000000000001</v>
      </c>
      <c r="AS27" t="n">
        <v>0.044</v>
      </c>
      <c r="AT27" t="n">
        <v>0.273</v>
      </c>
      <c r="AU27" t="n">
        <v>0.065</v>
      </c>
      <c r="AV27" t="n">
        <v>19</v>
      </c>
      <c r="AW27" t="n">
        <v>0</v>
      </c>
      <c r="AX27" t="n">
        <v>19</v>
      </c>
      <c r="AY27" t="n">
        <v>5</v>
      </c>
      <c r="BF27" t="n">
        <v>0</v>
      </c>
      <c r="BG27" t="n">
        <v>0</v>
      </c>
      <c r="BH27" t="n">
        <v>3</v>
      </c>
      <c r="BI27" t="n">
        <v>0</v>
      </c>
      <c r="BJ27" t="n">
        <v>13</v>
      </c>
      <c r="BM27" t="n">
        <v>5</v>
      </c>
      <c r="BO27" t="n">
        <v>48</v>
      </c>
      <c r="BQ27" t="n">
        <v>66</v>
      </c>
      <c r="BR27" t="n">
        <v>0</v>
      </c>
      <c r="BU27" t="n">
        <v>83</v>
      </c>
      <c r="BY27" t="n">
        <v>0</v>
      </c>
      <c r="BZ27" t="n">
        <v>0</v>
      </c>
      <c r="CD27" t="n">
        <v>0.1</v>
      </c>
      <c r="CG27" t="n">
        <v>0.15</v>
      </c>
      <c r="CH27" t="n">
        <v>0</v>
      </c>
      <c r="CP27" t="n">
        <v>36.2</v>
      </c>
      <c r="CS27" t="n">
        <v>0</v>
      </c>
      <c r="CT27" t="n">
        <v>0</v>
      </c>
      <c r="CU27" t="n">
        <v>0.015</v>
      </c>
      <c r="CV27" t="n">
        <v>0</v>
      </c>
      <c r="CX27" t="n">
        <v>0</v>
      </c>
      <c r="CZ27" t="n">
        <v>0</v>
      </c>
      <c r="DB27" t="n">
        <v>0</v>
      </c>
      <c r="DD27" t="n">
        <v>0.001</v>
      </c>
      <c r="DF27" t="n">
        <v>0.001</v>
      </c>
      <c r="DH27" t="n">
        <v>0.011</v>
      </c>
      <c r="DJ27" t="n">
        <v>0.002</v>
      </c>
      <c r="DP27" t="n">
        <v>0.012</v>
      </c>
      <c r="DU27" t="n">
        <v>0.002</v>
      </c>
      <c r="DY27" t="n">
        <v>0.011</v>
      </c>
      <c r="EA27" t="n">
        <v>0</v>
      </c>
      <c r="EC27" t="n">
        <v>0</v>
      </c>
      <c r="EH27" t="n">
        <v>0.016</v>
      </c>
      <c r="EI27" t="n">
        <v>0.012</v>
      </c>
      <c r="EM27" t="n">
        <v>0.004</v>
      </c>
      <c r="EQ27" t="n">
        <v>0</v>
      </c>
      <c r="EY27" t="n">
        <v>0</v>
      </c>
      <c r="FB27" t="n">
        <v>0</v>
      </c>
      <c r="FG27" t="n">
        <v>0</v>
      </c>
      <c r="FI27" t="n">
        <v>0</v>
      </c>
      <c r="FJ27" t="n">
        <v>0</v>
      </c>
      <c r="FW27" t="n">
        <v>0</v>
      </c>
      <c r="HL27" t="n">
        <v>0</v>
      </c>
    </row>
    <row r="28">
      <c r="A28" t="n">
        <v>168113</v>
      </c>
      <c r="B28" t="inlineStr">
        <is>
          <t>Frozen novelties, juice type, orange</t>
        </is>
      </c>
      <c r="C28" t="inlineStr"/>
      <c r="D28" t="inlineStr">
        <is>
          <t>SR Legacy</t>
        </is>
      </c>
      <c r="E28" s="9" t="n">
        <v>100</v>
      </c>
      <c r="F28" s="10">
        <f>E28/SUM($E$3:$E$33)</f>
        <v/>
      </c>
      <c r="G28" t="n">
        <v>76.09999999999999</v>
      </c>
      <c r="H28" t="n">
        <v>94.8</v>
      </c>
      <c r="I28" t="n">
        <v>396.6432</v>
      </c>
      <c r="J28" t="n">
        <v>0.08</v>
      </c>
      <c r="K28" t="n">
        <v>0.5</v>
      </c>
      <c r="L28" t="n">
        <v>0</v>
      </c>
      <c r="M28" t="n">
        <v>0</v>
      </c>
      <c r="N28" t="n">
        <v>0.23</v>
      </c>
      <c r="O28" t="n">
        <v>23.2</v>
      </c>
      <c r="P28" t="n">
        <v>0.1</v>
      </c>
      <c r="T28" t="n">
        <v>20</v>
      </c>
      <c r="AD28" t="n">
        <v>9</v>
      </c>
      <c r="AE28" t="n">
        <v>0.47</v>
      </c>
      <c r="AF28" t="n">
        <v>8</v>
      </c>
      <c r="AG28" t="n">
        <v>13</v>
      </c>
      <c r="AH28" t="n">
        <v>100</v>
      </c>
      <c r="AI28" t="n">
        <v>8</v>
      </c>
      <c r="AJ28" t="n">
        <v>0.02</v>
      </c>
      <c r="AK28" t="n">
        <v>0.022</v>
      </c>
      <c r="AL28" t="n">
        <v>0.008</v>
      </c>
      <c r="AN28" t="n">
        <v>0.1</v>
      </c>
      <c r="AP28" t="n">
        <v>77</v>
      </c>
      <c r="AQ28" t="n">
        <v>18</v>
      </c>
      <c r="AR28" t="n">
        <v>0.01</v>
      </c>
      <c r="AS28" t="n">
        <v>0.03</v>
      </c>
      <c r="AT28" t="n">
        <v>0.16</v>
      </c>
      <c r="AU28" t="n">
        <v>0.018</v>
      </c>
      <c r="AV28" t="n">
        <v>18</v>
      </c>
      <c r="AW28" t="n">
        <v>0</v>
      </c>
      <c r="AX28" t="n">
        <v>18</v>
      </c>
      <c r="AY28" t="n">
        <v>2.9</v>
      </c>
      <c r="BF28" t="n">
        <v>0</v>
      </c>
      <c r="BG28" t="n">
        <v>0</v>
      </c>
      <c r="BH28" t="n">
        <v>1</v>
      </c>
      <c r="BI28" t="n">
        <v>0</v>
      </c>
      <c r="BJ28" t="n">
        <v>12</v>
      </c>
      <c r="BM28" t="n">
        <v>0</v>
      </c>
      <c r="BO28" t="n">
        <v>0</v>
      </c>
      <c r="BQ28" t="n">
        <v>21</v>
      </c>
      <c r="BR28" t="n">
        <v>0</v>
      </c>
      <c r="BU28" t="n">
        <v>39</v>
      </c>
      <c r="BY28" t="n">
        <v>0</v>
      </c>
      <c r="BZ28" t="n">
        <v>0</v>
      </c>
      <c r="CD28" t="n">
        <v>0.1</v>
      </c>
      <c r="CG28" t="n">
        <v>0.04</v>
      </c>
      <c r="CH28" t="n">
        <v>0</v>
      </c>
      <c r="CP28" t="n">
        <v>25.7</v>
      </c>
      <c r="CQ28" t="n">
        <v>0.065</v>
      </c>
      <c r="CS28" t="n">
        <v>0</v>
      </c>
      <c r="CT28" t="n">
        <v>0</v>
      </c>
      <c r="CU28" t="n">
        <v>0</v>
      </c>
      <c r="CV28" t="n">
        <v>0</v>
      </c>
      <c r="CX28" t="n">
        <v>0</v>
      </c>
      <c r="CZ28" t="n">
        <v>0</v>
      </c>
      <c r="DB28" t="n">
        <v>0</v>
      </c>
      <c r="DD28" t="n">
        <v>0</v>
      </c>
      <c r="DF28" t="n">
        <v>0</v>
      </c>
      <c r="DH28" t="n">
        <v>0</v>
      </c>
      <c r="DJ28" t="n">
        <v>0</v>
      </c>
      <c r="DP28" t="n">
        <v>0</v>
      </c>
      <c r="DU28" t="n">
        <v>0</v>
      </c>
      <c r="DY28" t="n">
        <v>0</v>
      </c>
      <c r="EA28" t="n">
        <v>0</v>
      </c>
      <c r="EC28" t="n">
        <v>0</v>
      </c>
      <c r="EH28" t="n">
        <v>0</v>
      </c>
      <c r="EI28" t="n">
        <v>0</v>
      </c>
      <c r="EM28" t="n">
        <v>0</v>
      </c>
      <c r="EQ28" t="n">
        <v>0</v>
      </c>
      <c r="EY28" t="n">
        <v>0</v>
      </c>
      <c r="FB28" t="n">
        <v>0</v>
      </c>
      <c r="FG28" t="n">
        <v>0</v>
      </c>
      <c r="FI28" t="n">
        <v>0</v>
      </c>
      <c r="FW28" t="n">
        <v>0</v>
      </c>
      <c r="HL28" t="n">
        <v>0</v>
      </c>
    </row>
    <row r="29">
      <c r="A29" t="n">
        <v>171354</v>
      </c>
      <c r="B29" t="inlineStr">
        <is>
          <t>Babyfood, juice, orange</t>
        </is>
      </c>
      <c r="C29" t="inlineStr"/>
      <c r="D29" t="inlineStr">
        <is>
          <t>SR Legacy</t>
        </is>
      </c>
      <c r="E29" s="9" t="n">
        <v>100</v>
      </c>
      <c r="F29" s="10">
        <f>E29/SUM($E$3:$E$33)</f>
        <v/>
      </c>
      <c r="G29" t="n">
        <v>88.5</v>
      </c>
      <c r="H29" t="n">
        <v>45.9</v>
      </c>
      <c r="I29" t="n">
        <v>192.0456</v>
      </c>
      <c r="J29" t="n">
        <v>0.096</v>
      </c>
      <c r="K29" t="n">
        <v>0.6</v>
      </c>
      <c r="L29" t="n">
        <v>0.3</v>
      </c>
      <c r="M29" t="n">
        <v>0.3</v>
      </c>
      <c r="N29" t="n">
        <v>0.4</v>
      </c>
      <c r="O29" t="n">
        <v>10.2</v>
      </c>
      <c r="P29" t="n">
        <v>0.1</v>
      </c>
      <c r="T29" t="n">
        <v>8.26</v>
      </c>
      <c r="AD29" t="n">
        <v>12</v>
      </c>
      <c r="AE29" t="n">
        <v>0.17</v>
      </c>
      <c r="AF29" t="n">
        <v>9</v>
      </c>
      <c r="AG29" t="n">
        <v>11</v>
      </c>
      <c r="AH29" t="n">
        <v>184</v>
      </c>
      <c r="AI29" t="n">
        <v>0</v>
      </c>
      <c r="AJ29" t="n">
        <v>0.06</v>
      </c>
      <c r="AK29" t="n">
        <v>0.046</v>
      </c>
      <c r="AN29" t="n">
        <v>0.1</v>
      </c>
      <c r="AQ29" t="n">
        <v>26</v>
      </c>
      <c r="AR29" t="n">
        <v>0.045</v>
      </c>
      <c r="AS29" t="n">
        <v>0.028</v>
      </c>
      <c r="AT29" t="n">
        <v>0.239</v>
      </c>
      <c r="AU29" t="n">
        <v>0.054</v>
      </c>
      <c r="AV29" t="n">
        <v>26</v>
      </c>
      <c r="AW29" t="n">
        <v>0</v>
      </c>
      <c r="AX29" t="n">
        <v>26</v>
      </c>
      <c r="AY29" t="n">
        <v>6.2</v>
      </c>
      <c r="BF29" t="n">
        <v>0</v>
      </c>
      <c r="BG29" t="n">
        <v>0</v>
      </c>
      <c r="BH29" t="n">
        <v>3</v>
      </c>
      <c r="BI29" t="n">
        <v>0</v>
      </c>
      <c r="BJ29" t="n">
        <v>9</v>
      </c>
      <c r="BM29" t="n">
        <v>2</v>
      </c>
      <c r="BO29" t="n">
        <v>47</v>
      </c>
      <c r="BQ29" t="n">
        <v>55</v>
      </c>
      <c r="BR29" t="n">
        <v>0</v>
      </c>
      <c r="BU29" t="n">
        <v>113</v>
      </c>
      <c r="BY29" t="n">
        <v>0</v>
      </c>
      <c r="BZ29" t="n">
        <v>0</v>
      </c>
      <c r="CD29" t="n">
        <v>0.1</v>
      </c>
      <c r="CG29" t="n">
        <v>0.04</v>
      </c>
      <c r="CH29" t="n">
        <v>0</v>
      </c>
      <c r="CP29" t="n">
        <v>62.5</v>
      </c>
      <c r="CQ29" t="n">
        <v>0.137</v>
      </c>
      <c r="CS29" t="n">
        <v>0</v>
      </c>
      <c r="CT29" t="n">
        <v>0</v>
      </c>
      <c r="CU29" t="n">
        <v>0.035</v>
      </c>
      <c r="CV29" t="n">
        <v>0</v>
      </c>
      <c r="CX29" t="n">
        <v>0</v>
      </c>
      <c r="CZ29" t="n">
        <v>0</v>
      </c>
      <c r="DB29" t="n">
        <v>0</v>
      </c>
      <c r="DD29" t="n">
        <v>0</v>
      </c>
      <c r="DF29" t="n">
        <v>0</v>
      </c>
      <c r="DH29" t="n">
        <v>0.035</v>
      </c>
      <c r="DJ29" t="n">
        <v>0</v>
      </c>
      <c r="DP29" t="n">
        <v>0.05</v>
      </c>
      <c r="DU29" t="n">
        <v>0.005</v>
      </c>
      <c r="DY29" t="n">
        <v>0.045</v>
      </c>
      <c r="EA29" t="n">
        <v>0</v>
      </c>
      <c r="EC29" t="n">
        <v>0</v>
      </c>
      <c r="EH29" t="n">
        <v>0.06</v>
      </c>
      <c r="EI29" t="n">
        <v>0.045</v>
      </c>
      <c r="EM29" t="n">
        <v>0.015</v>
      </c>
      <c r="EQ29" t="n">
        <v>0</v>
      </c>
      <c r="EY29" t="n">
        <v>0</v>
      </c>
      <c r="FB29" t="n">
        <v>0</v>
      </c>
      <c r="FG29" t="n">
        <v>0</v>
      </c>
      <c r="FI29" t="n">
        <v>0</v>
      </c>
      <c r="FW29" t="n">
        <v>0</v>
      </c>
      <c r="HL29" t="n">
        <v>0</v>
      </c>
    </row>
    <row r="30">
      <c r="A30" t="n">
        <v>1104812</v>
      </c>
      <c r="B30" t="inlineStr">
        <is>
          <t>Flour, rice, brown</t>
        </is>
      </c>
      <c r="C30" t="inlineStr"/>
      <c r="D30" t="inlineStr">
        <is>
          <t>Foundation</t>
        </is>
      </c>
      <c r="E30" s="9" t="n">
        <v>100</v>
      </c>
      <c r="F30" s="10">
        <f>E30/SUM($E$3:$E$33)</f>
        <v/>
      </c>
      <c r="G30" t="n">
        <v>12.1</v>
      </c>
      <c r="H30" t="n">
        <v>365.41</v>
      </c>
      <c r="I30" t="n">
        <v>1528.87544</v>
      </c>
      <c r="J30" t="n">
        <v>1.15</v>
      </c>
      <c r="K30" t="n">
        <v>7.19</v>
      </c>
      <c r="L30" t="n">
        <v>3.85</v>
      </c>
      <c r="M30" t="n">
        <v>3.85</v>
      </c>
      <c r="N30" t="n">
        <v>1.4</v>
      </c>
      <c r="O30" t="n">
        <v>75.5</v>
      </c>
      <c r="AD30" t="n">
        <v>10</v>
      </c>
      <c r="AE30" t="n">
        <v>1.5</v>
      </c>
      <c r="AF30" t="n">
        <v>124</v>
      </c>
      <c r="AG30" t="n">
        <v>319</v>
      </c>
      <c r="AH30" t="n">
        <v>265</v>
      </c>
      <c r="AI30" t="n">
        <v>1</v>
      </c>
      <c r="AJ30" t="n">
        <v>1.91</v>
      </c>
      <c r="AK30" t="n">
        <v>0.286</v>
      </c>
      <c r="AL30" t="n">
        <v>2.84</v>
      </c>
      <c r="AN30" t="n">
        <v>9.68</v>
      </c>
      <c r="AO30" t="n">
        <v>56.2</v>
      </c>
      <c r="AR30" t="n">
        <v>0.322</v>
      </c>
      <c r="AS30" t="n">
        <v>0.008</v>
      </c>
      <c r="AT30" t="n">
        <v>5.99</v>
      </c>
      <c r="AU30" t="n">
        <v>0.132</v>
      </c>
    </row>
    <row r="31">
      <c r="A31" t="n">
        <v>169707</v>
      </c>
      <c r="B31" t="inlineStr">
        <is>
          <t>Rice, white, long-grain, parboiled, enriched, dry</t>
        </is>
      </c>
      <c r="C31" t="inlineStr"/>
      <c r="D31" t="inlineStr">
        <is>
          <t>SR Legacy</t>
        </is>
      </c>
      <c r="E31" s="9" t="n">
        <v>100</v>
      </c>
      <c r="F31" s="10">
        <f>E31/SUM($E$3:$E$33)</f>
        <v/>
      </c>
      <c r="G31" t="n">
        <v>9.859999999999999</v>
      </c>
      <c r="H31" t="n">
        <v>362.91</v>
      </c>
      <c r="I31" t="n">
        <v>1518.41544</v>
      </c>
      <c r="J31" t="n">
        <v>1.2016</v>
      </c>
      <c r="K31" t="n">
        <v>7.51</v>
      </c>
      <c r="L31" t="n">
        <v>1.03</v>
      </c>
      <c r="M31" t="n">
        <v>1.03</v>
      </c>
      <c r="N31" t="n">
        <v>0.71</v>
      </c>
      <c r="O31" t="n">
        <v>80.90000000000001</v>
      </c>
      <c r="P31" t="n">
        <v>1.8</v>
      </c>
      <c r="T31" t="n">
        <v>0.33</v>
      </c>
      <c r="U31" t="n">
        <v>0.21</v>
      </c>
      <c r="V31" t="n">
        <v>0.11</v>
      </c>
      <c r="W31" t="n">
        <v>0.02</v>
      </c>
      <c r="X31" t="n">
        <v>0</v>
      </c>
      <c r="Y31" t="n">
        <v>0</v>
      </c>
      <c r="Z31" t="n">
        <v>0</v>
      </c>
      <c r="AA31" t="n">
        <v>68.3</v>
      </c>
      <c r="AD31" t="n">
        <v>71</v>
      </c>
      <c r="AE31" t="n">
        <v>3.33</v>
      </c>
      <c r="AF31" t="n">
        <v>27</v>
      </c>
      <c r="AG31" t="n">
        <v>153</v>
      </c>
      <c r="AH31" t="n">
        <v>174</v>
      </c>
      <c r="AI31" t="n">
        <v>2</v>
      </c>
      <c r="AJ31" t="n">
        <v>1.02</v>
      </c>
      <c r="AK31" t="n">
        <v>0.284</v>
      </c>
      <c r="AL31" t="n">
        <v>1.04</v>
      </c>
      <c r="AN31" t="n">
        <v>19.9</v>
      </c>
      <c r="AQ31" t="n">
        <v>8</v>
      </c>
      <c r="AR31" t="n">
        <v>0.603</v>
      </c>
      <c r="AS31" t="n">
        <v>0.05</v>
      </c>
      <c r="AT31" t="n">
        <v>5.05</v>
      </c>
      <c r="AU31" t="n">
        <v>0.452</v>
      </c>
      <c r="AV31" t="n">
        <v>257</v>
      </c>
      <c r="AW31" t="n">
        <v>249</v>
      </c>
      <c r="AX31" t="n">
        <v>431</v>
      </c>
      <c r="AY31" t="n">
        <v>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M31" t="n">
        <v>0</v>
      </c>
      <c r="BO31" t="n">
        <v>0</v>
      </c>
      <c r="BQ31" t="n">
        <v>0</v>
      </c>
      <c r="BR31" t="n">
        <v>0</v>
      </c>
      <c r="BU31" t="n">
        <v>0</v>
      </c>
      <c r="BY31" t="n">
        <v>0</v>
      </c>
      <c r="BZ31" t="n">
        <v>0</v>
      </c>
      <c r="CD31" t="n">
        <v>0.1</v>
      </c>
      <c r="CG31" t="n">
        <v>0.03</v>
      </c>
      <c r="CH31" t="n">
        <v>0</v>
      </c>
      <c r="CI31" t="n">
        <v>0.02</v>
      </c>
      <c r="CJ31" t="n">
        <v>0.17</v>
      </c>
      <c r="CK31" t="n">
        <v>0</v>
      </c>
      <c r="CL31" t="n">
        <v>0.05</v>
      </c>
      <c r="CM31" t="n">
        <v>0</v>
      </c>
      <c r="CN31" t="n">
        <v>0</v>
      </c>
      <c r="CO31" t="n">
        <v>0</v>
      </c>
      <c r="CP31" t="n">
        <v>0</v>
      </c>
      <c r="CQ31" t="n">
        <v>0.672</v>
      </c>
      <c r="CS31" t="n">
        <v>0</v>
      </c>
      <c r="CT31" t="n">
        <v>0</v>
      </c>
      <c r="CU31" t="n">
        <v>0.294</v>
      </c>
      <c r="CV31" t="n">
        <v>0</v>
      </c>
      <c r="CX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0.277</v>
      </c>
      <c r="DI31" t="n">
        <v>0</v>
      </c>
      <c r="DJ31" t="n">
        <v>0.017</v>
      </c>
      <c r="DK31" t="n">
        <v>0</v>
      </c>
      <c r="DM31" t="n">
        <v>0</v>
      </c>
      <c r="DO31" t="n">
        <v>0</v>
      </c>
      <c r="DP31" t="n">
        <v>0.258</v>
      </c>
      <c r="DR31" t="n">
        <v>0</v>
      </c>
      <c r="DU31" t="n">
        <v>0</v>
      </c>
      <c r="DY31" t="n">
        <v>0.258</v>
      </c>
      <c r="EA31" t="n">
        <v>0</v>
      </c>
      <c r="EC31" t="n">
        <v>0</v>
      </c>
      <c r="EH31" t="n">
        <v>0.322</v>
      </c>
      <c r="EI31" t="n">
        <v>0.305</v>
      </c>
      <c r="EM31" t="n">
        <v>0.017</v>
      </c>
      <c r="EQ31" t="n">
        <v>0</v>
      </c>
      <c r="EY31" t="n">
        <v>0</v>
      </c>
      <c r="FB31" t="n">
        <v>0</v>
      </c>
      <c r="FG31" t="n">
        <v>0</v>
      </c>
      <c r="FI31" t="n">
        <v>0</v>
      </c>
      <c r="FW31" t="n">
        <v>0</v>
      </c>
      <c r="FX31" t="n">
        <v>0.103</v>
      </c>
      <c r="FY31" t="n">
        <v>0.271</v>
      </c>
      <c r="FZ31" t="n">
        <v>0.339</v>
      </c>
      <c r="GA31" t="n">
        <v>0.656</v>
      </c>
      <c r="GB31" t="n">
        <v>0.215</v>
      </c>
      <c r="GC31" t="n">
        <v>0.183</v>
      </c>
      <c r="GD31" t="n">
        <v>0.398</v>
      </c>
      <c r="GE31" t="n">
        <v>0.216</v>
      </c>
      <c r="GF31" t="n">
        <v>0.47</v>
      </c>
      <c r="GG31" t="n">
        <v>0.651</v>
      </c>
      <c r="GH31" t="n">
        <v>0.185</v>
      </c>
      <c r="GI31" t="n">
        <v>0.433</v>
      </c>
      <c r="GJ31" t="n">
        <v>0.795</v>
      </c>
      <c r="GK31" t="n">
        <v>1.4</v>
      </c>
      <c r="GL31" t="n">
        <v>0.358</v>
      </c>
      <c r="GM31" t="n">
        <v>0.484</v>
      </c>
      <c r="GN31" t="n">
        <v>0.366</v>
      </c>
      <c r="GP31" t="n">
        <v>0.153</v>
      </c>
      <c r="HL31" t="n">
        <v>0</v>
      </c>
    </row>
    <row r="32">
      <c r="A32" t="n">
        <v>169758</v>
      </c>
      <c r="B32" t="inlineStr">
        <is>
          <t>Rice, white, long-grain, parboiled, unenriched, dry</t>
        </is>
      </c>
      <c r="C32" t="inlineStr"/>
      <c r="D32" t="inlineStr">
        <is>
          <t>SR Legacy</t>
        </is>
      </c>
      <c r="E32" s="9" t="n">
        <v>100</v>
      </c>
      <c r="F32" s="10">
        <f>E32/SUM($E$3:$E$33)</f>
        <v/>
      </c>
      <c r="G32" t="n">
        <v>9.859999999999999</v>
      </c>
      <c r="H32" t="n">
        <v>362.91</v>
      </c>
      <c r="I32" t="n">
        <v>1518.41544</v>
      </c>
      <c r="J32" t="n">
        <v>1.2016</v>
      </c>
      <c r="K32" t="n">
        <v>7.51</v>
      </c>
      <c r="L32" t="n">
        <v>1.03</v>
      </c>
      <c r="M32" t="n">
        <v>1.03</v>
      </c>
      <c r="N32" t="n">
        <v>0.71</v>
      </c>
      <c r="O32" t="n">
        <v>80.90000000000001</v>
      </c>
      <c r="P32" t="n">
        <v>1.8</v>
      </c>
      <c r="T32" t="n">
        <v>0.33</v>
      </c>
      <c r="U32" t="n">
        <v>0.21</v>
      </c>
      <c r="V32" t="n">
        <v>0.11</v>
      </c>
      <c r="W32" t="n">
        <v>0.02</v>
      </c>
      <c r="X32" t="n">
        <v>0</v>
      </c>
      <c r="Y32" t="n">
        <v>0</v>
      </c>
      <c r="Z32" t="n">
        <v>0</v>
      </c>
      <c r="AA32" t="n">
        <v>68.3</v>
      </c>
      <c r="AD32" t="n">
        <v>71</v>
      </c>
      <c r="AE32" t="n">
        <v>0.74</v>
      </c>
      <c r="AF32" t="n">
        <v>27</v>
      </c>
      <c r="AG32" t="n">
        <v>153</v>
      </c>
      <c r="AH32" t="n">
        <v>174</v>
      </c>
      <c r="AI32" t="n">
        <v>2</v>
      </c>
      <c r="AJ32" t="n">
        <v>1.02</v>
      </c>
      <c r="AK32" t="n">
        <v>0.284</v>
      </c>
      <c r="AL32" t="n">
        <v>1.04</v>
      </c>
      <c r="AN32" t="n">
        <v>19.9</v>
      </c>
      <c r="AQ32" t="n">
        <v>8</v>
      </c>
      <c r="AR32" t="n">
        <v>0.224</v>
      </c>
      <c r="AS32" t="n">
        <v>0.05</v>
      </c>
      <c r="AT32" t="n">
        <v>5.05</v>
      </c>
      <c r="AU32" t="n">
        <v>0.452</v>
      </c>
      <c r="AV32" t="n">
        <v>8</v>
      </c>
      <c r="AW32" t="n">
        <v>0</v>
      </c>
      <c r="AX32" t="n">
        <v>8</v>
      </c>
      <c r="BF32" t="n">
        <v>0</v>
      </c>
      <c r="BG32" t="n">
        <v>0</v>
      </c>
      <c r="BI32" t="n">
        <v>0</v>
      </c>
      <c r="BQ32" t="n">
        <v>0</v>
      </c>
      <c r="BY32" t="n">
        <v>0</v>
      </c>
      <c r="BZ32" t="n">
        <v>0</v>
      </c>
      <c r="CD32" t="n">
        <v>0.1</v>
      </c>
      <c r="CG32" t="n">
        <v>0.03</v>
      </c>
      <c r="CH32" t="n">
        <v>0</v>
      </c>
      <c r="CI32" t="n">
        <v>0.02</v>
      </c>
      <c r="CJ32" t="n">
        <v>0.17</v>
      </c>
      <c r="CK32" t="n">
        <v>0</v>
      </c>
      <c r="CL32" t="n">
        <v>0.05</v>
      </c>
      <c r="CM32" t="n">
        <v>0</v>
      </c>
      <c r="CN32" t="n">
        <v>0</v>
      </c>
      <c r="CO32" t="n">
        <v>0</v>
      </c>
      <c r="CP32" t="n">
        <v>0</v>
      </c>
      <c r="CQ32" t="n">
        <v>0.672</v>
      </c>
      <c r="CU32" t="n">
        <v>0.294</v>
      </c>
      <c r="CV32" t="n">
        <v>0</v>
      </c>
      <c r="CX32" t="n">
        <v>0</v>
      </c>
      <c r="CZ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0.277</v>
      </c>
      <c r="DI32" t="n">
        <v>0</v>
      </c>
      <c r="DJ32" t="n">
        <v>0.017</v>
      </c>
      <c r="DK32" t="n">
        <v>0</v>
      </c>
      <c r="DM32" t="n">
        <v>0</v>
      </c>
      <c r="DO32" t="n">
        <v>0</v>
      </c>
      <c r="DP32" t="n">
        <v>0.258</v>
      </c>
      <c r="DR32" t="n">
        <v>0</v>
      </c>
      <c r="DU32" t="n">
        <v>0</v>
      </c>
      <c r="DY32" t="n">
        <v>0.258</v>
      </c>
      <c r="EA32" t="n">
        <v>0</v>
      </c>
      <c r="EC32" t="n">
        <v>0</v>
      </c>
      <c r="EH32" t="n">
        <v>0.322</v>
      </c>
      <c r="EI32" t="n">
        <v>0.305</v>
      </c>
      <c r="EM32" t="n">
        <v>0.017</v>
      </c>
      <c r="EQ32" t="n">
        <v>0</v>
      </c>
      <c r="EY32" t="n">
        <v>0</v>
      </c>
      <c r="FB32" t="n">
        <v>0</v>
      </c>
      <c r="FG32" t="n">
        <v>0</v>
      </c>
      <c r="FI32" t="n">
        <v>0</v>
      </c>
      <c r="FW32" t="n">
        <v>0</v>
      </c>
      <c r="FX32" t="n">
        <v>0.103</v>
      </c>
      <c r="FY32" t="n">
        <v>0.271</v>
      </c>
      <c r="FZ32" t="n">
        <v>0.339</v>
      </c>
      <c r="GA32" t="n">
        <v>0.656</v>
      </c>
      <c r="GB32" t="n">
        <v>0.215</v>
      </c>
      <c r="GC32" t="n">
        <v>0.183</v>
      </c>
      <c r="GD32" t="n">
        <v>0.398</v>
      </c>
      <c r="GE32" t="n">
        <v>0.216</v>
      </c>
      <c r="GF32" t="n">
        <v>0.47</v>
      </c>
      <c r="GG32" t="n">
        <v>0.651</v>
      </c>
      <c r="GH32" t="n">
        <v>0.185</v>
      </c>
      <c r="GI32" t="n">
        <v>0.433</v>
      </c>
      <c r="GJ32" t="n">
        <v>0.795</v>
      </c>
      <c r="GK32" t="n">
        <v>1.4</v>
      </c>
      <c r="GL32" t="n">
        <v>0.358</v>
      </c>
      <c r="GM32" t="n">
        <v>0.484</v>
      </c>
      <c r="GN32" t="n">
        <v>0.366</v>
      </c>
      <c r="GP32" t="n">
        <v>0.153</v>
      </c>
      <c r="HL32" t="n">
        <v>0</v>
      </c>
    </row>
    <row r="33">
      <c r="A33" t="n">
        <v>2512381</v>
      </c>
      <c r="B33" t="inlineStr">
        <is>
          <t>Rice, white, long grain, unenriched, raw</t>
        </is>
      </c>
      <c r="C33" t="inlineStr"/>
      <c r="D33" t="inlineStr">
        <is>
          <t>Foundation</t>
        </is>
      </c>
      <c r="E33" s="9" t="n">
        <v>100</v>
      </c>
      <c r="F33" s="10">
        <f>E33/SUM($E$3:$E$33)</f>
        <v/>
      </c>
      <c r="G33" t="n">
        <v>11.2</v>
      </c>
      <c r="H33" t="n">
        <v>358.63</v>
      </c>
      <c r="I33" t="n">
        <v>1500.50792</v>
      </c>
      <c r="J33" t="n">
        <v>1.18</v>
      </c>
      <c r="K33" t="n">
        <v>7.04</v>
      </c>
      <c r="L33" t="n">
        <v>1.03</v>
      </c>
      <c r="M33" t="n">
        <v>1.03</v>
      </c>
      <c r="N33" t="n">
        <v>0.425</v>
      </c>
      <c r="O33" t="n">
        <v>80.3</v>
      </c>
      <c r="P33" t="n">
        <v>0.149</v>
      </c>
      <c r="Q33" t="n">
        <v>2.77</v>
      </c>
      <c r="R33" t="n">
        <v>1.93</v>
      </c>
      <c r="S33" t="n">
        <v>0.296</v>
      </c>
      <c r="AA33" t="n">
        <v>74.40000000000001</v>
      </c>
      <c r="AD33" t="n">
        <v>4.46</v>
      </c>
      <c r="AE33" t="n">
        <v>0.14</v>
      </c>
      <c r="AF33" t="n">
        <v>26.5</v>
      </c>
      <c r="AG33" t="n">
        <v>108</v>
      </c>
      <c r="AH33" t="n">
        <v>82.3</v>
      </c>
      <c r="AI33" t="n">
        <v>0.462</v>
      </c>
      <c r="AJ33" t="n">
        <v>1.35</v>
      </c>
      <c r="AK33" t="n">
        <v>0.214</v>
      </c>
      <c r="AL33" t="n">
        <v>0.981</v>
      </c>
      <c r="AN33" t="n">
        <v>6.6</v>
      </c>
      <c r="AO33" t="n">
        <v>64.2</v>
      </c>
      <c r="AR33" t="n">
        <v>0.065</v>
      </c>
      <c r="AS33" t="n">
        <v>0.08</v>
      </c>
      <c r="AT33" t="n">
        <v>1.43</v>
      </c>
      <c r="AU33" t="n">
        <v>0.0579</v>
      </c>
      <c r="CR33" t="n">
        <v>0</v>
      </c>
    </row>
    <row r="34">
      <c r="A34" t="inlineStr">
        <is>
          <t>Total</t>
        </is>
      </c>
      <c r="B34" t="inlineStr">
        <is>
          <t>Formulado</t>
        </is>
      </c>
      <c r="C34" t="inlineStr">
        <is>
          <t>Formulado</t>
        </is>
      </c>
      <c r="D34" t="inlineStr">
        <is>
          <t>Formulado</t>
        </is>
      </c>
      <c r="E34" s="11">
        <f>SUBTOTAL(9,E3:E33)</f>
        <v/>
      </c>
      <c r="F34" s="12" t="inlineStr">
        <is>
          <t>100%</t>
        </is>
      </c>
      <c r="G34" s="13">
        <f>SUMPRODUCT($F$3:$F$33,$G$3:$G$33)</f>
        <v/>
      </c>
      <c r="H34" s="13">
        <f>SUMPRODUCT($F$3:$F$33,$H$3:$H$33)</f>
        <v/>
      </c>
      <c r="I34" s="13">
        <f>SUMPRODUCT($F$3:$F$33,$I$3:$I$33)</f>
        <v/>
      </c>
      <c r="J34" s="13">
        <f>SUMPRODUCT($F$3:$F$33,$J$3:$J$33)</f>
        <v/>
      </c>
      <c r="K34" s="13">
        <f>SUMPRODUCT($F$3:$F$33,$K$3:$K$33)</f>
        <v/>
      </c>
      <c r="L34" s="13">
        <f>SUMPRODUCT($F$3:$F$33,$L$3:$L$33)</f>
        <v/>
      </c>
      <c r="M34" s="13">
        <f>SUMPRODUCT($F$3:$F$33,$M$3:$M$33)</f>
        <v/>
      </c>
      <c r="N34" s="13">
        <f>SUMPRODUCT($F$3:$F$33,$N$3:$N$33)</f>
        <v/>
      </c>
      <c r="O34" s="13">
        <f>SUMPRODUCT($F$3:$F$33,$O$3:$O$33)</f>
        <v/>
      </c>
      <c r="P34" s="13">
        <f>SUMPRODUCT($F$3:$F$33,$P$3:$P$33)</f>
        <v/>
      </c>
      <c r="Q34" s="13">
        <f>SUMPRODUCT($F$3:$F$33,$Q$3:$Q$33)</f>
        <v/>
      </c>
      <c r="R34" s="13">
        <f>SUMPRODUCT($F$3:$F$33,$R$3:$R$33)</f>
        <v/>
      </c>
      <c r="S34" s="13">
        <f>SUMPRODUCT($F$3:$F$33,$S$3:$S$33)</f>
        <v/>
      </c>
      <c r="T34" s="13">
        <f>SUMPRODUCT($F$3:$F$33,$T$3:$T$33)</f>
        <v/>
      </c>
      <c r="U34" s="13">
        <f>SUMPRODUCT($F$3:$F$33,$U$3:$U$33)</f>
        <v/>
      </c>
      <c r="V34" s="13">
        <f>SUMPRODUCT($F$3:$F$33,$V$3:$V$33)</f>
        <v/>
      </c>
      <c r="W34" s="13">
        <f>SUMPRODUCT($F$3:$F$33,$W$3:$W$33)</f>
        <v/>
      </c>
      <c r="X34" s="13">
        <f>SUMPRODUCT($F$3:$F$33,$X$3:$X$33)</f>
        <v/>
      </c>
      <c r="Y34" s="13">
        <f>SUMPRODUCT($F$3:$F$33,$Y$3:$Y$33)</f>
        <v/>
      </c>
      <c r="Z34" s="13">
        <f>SUMPRODUCT($F$3:$F$33,$Z$3:$Z$33)</f>
        <v/>
      </c>
      <c r="AA34" s="13">
        <f>SUMPRODUCT($F$3:$F$33,$AA$3:$AA$33)</f>
        <v/>
      </c>
      <c r="AB34" s="13">
        <f>SUMPRODUCT($F$3:$F$33,$AB$3:$AB$33)</f>
        <v/>
      </c>
      <c r="AC34" s="13">
        <f>SUMPRODUCT($F$3:$F$33,$AC$3:$AC$33)</f>
        <v/>
      </c>
      <c r="AD34" s="13">
        <f>SUMPRODUCT($F$3:$F$33,$AD$3:$AD$33)</f>
        <v/>
      </c>
      <c r="AE34" s="13">
        <f>SUMPRODUCT($F$3:$F$33,$AE$3:$AE$33)</f>
        <v/>
      </c>
      <c r="AF34" s="13">
        <f>SUMPRODUCT($F$3:$F$33,$AF$3:$AF$33)</f>
        <v/>
      </c>
      <c r="AG34" s="13">
        <f>SUMPRODUCT($F$3:$F$33,$AG$3:$AG$33)</f>
        <v/>
      </c>
      <c r="AH34" s="13">
        <f>SUMPRODUCT($F$3:$F$33,$AH$3:$AH$33)</f>
        <v/>
      </c>
      <c r="AI34" s="13">
        <f>SUMPRODUCT($F$3:$F$33,$AI$3:$AI$33)</f>
        <v/>
      </c>
      <c r="AJ34" s="13">
        <f>SUMPRODUCT($F$3:$F$33,$AJ$3:$AJ$33)</f>
        <v/>
      </c>
      <c r="AK34" s="13">
        <f>SUMPRODUCT($F$3:$F$33,$AK$3:$AK$33)</f>
        <v/>
      </c>
      <c r="AL34" s="13">
        <f>SUMPRODUCT($F$3:$F$33,$AL$3:$AL$33)</f>
        <v/>
      </c>
      <c r="AM34" s="13">
        <f>SUMPRODUCT($F$3:$F$33,$AM$3:$AM$33)</f>
        <v/>
      </c>
      <c r="AN34" s="13">
        <f>SUMPRODUCT($F$3:$F$33,$AN$3:$AN$33)</f>
        <v/>
      </c>
      <c r="AO34" s="13">
        <f>SUMPRODUCT($F$3:$F$33,$AO$3:$AO$33)</f>
        <v/>
      </c>
      <c r="AP34" s="13">
        <f>SUMPRODUCT($F$3:$F$33,$AP$3:$AP$33)</f>
        <v/>
      </c>
      <c r="AQ34" s="13">
        <f>SUMPRODUCT($F$3:$F$33,$AQ$3:$AQ$33)</f>
        <v/>
      </c>
      <c r="AR34" s="13">
        <f>SUMPRODUCT($F$3:$F$33,$AR$3:$AR$33)</f>
        <v/>
      </c>
      <c r="AS34" s="13">
        <f>SUMPRODUCT($F$3:$F$33,$AS$3:$AS$33)</f>
        <v/>
      </c>
      <c r="AT34" s="13">
        <f>SUMPRODUCT($F$3:$F$33,$AT$3:$AT$33)</f>
        <v/>
      </c>
      <c r="AU34" s="13">
        <f>SUMPRODUCT($F$3:$F$33,$AU$3:$AU$33)</f>
        <v/>
      </c>
      <c r="AV34" s="13">
        <f>SUMPRODUCT($F$3:$F$33,$AV$3:$AV$33)</f>
        <v/>
      </c>
      <c r="AW34" s="13">
        <f>SUMPRODUCT($F$3:$F$33,$AW$3:$AW$33)</f>
        <v/>
      </c>
      <c r="AX34" s="13">
        <f>SUMPRODUCT($F$3:$F$33,$AX$3:$AX$33)</f>
        <v/>
      </c>
      <c r="AY34" s="13">
        <f>SUMPRODUCT($F$3:$F$33,$AY$3:$AY$33)</f>
        <v/>
      </c>
      <c r="AZ34" s="13">
        <f>SUMPRODUCT($F$3:$F$33,$AZ$3:$AZ$33)</f>
        <v/>
      </c>
      <c r="BA34" s="13">
        <f>SUMPRODUCT($F$3:$F$33,$BA$3:$BA$33)</f>
        <v/>
      </c>
      <c r="BB34" s="13">
        <f>SUMPRODUCT($F$3:$F$33,$BB$3:$BB$33)</f>
        <v/>
      </c>
      <c r="BC34" s="13">
        <f>SUMPRODUCT($F$3:$F$33,$BC$3:$BC$33)</f>
        <v/>
      </c>
      <c r="BD34" s="13">
        <f>SUMPRODUCT($F$3:$F$33,$BD$3:$BD$33)</f>
        <v/>
      </c>
      <c r="BE34" s="13">
        <f>SUMPRODUCT($F$3:$F$33,$BE$3:$BE$33)</f>
        <v/>
      </c>
      <c r="BF34" s="13">
        <f>SUMPRODUCT($F$3:$F$33,$BF$3:$BF$33)</f>
        <v/>
      </c>
      <c r="BG34" s="13">
        <f>SUMPRODUCT($F$3:$F$33,$BG$3:$BG$33)</f>
        <v/>
      </c>
      <c r="BH34" s="13">
        <f>SUMPRODUCT($F$3:$F$33,$BH$3:$BH$33)</f>
        <v/>
      </c>
      <c r="BI34" s="13">
        <f>SUMPRODUCT($F$3:$F$33,$BI$3:$BI$33)</f>
        <v/>
      </c>
      <c r="BJ34" s="13">
        <f>SUMPRODUCT($F$3:$F$33,$BJ$3:$BJ$33)</f>
        <v/>
      </c>
      <c r="BK34" s="13">
        <f>SUMPRODUCT($F$3:$F$33,$BK$3:$BK$33)</f>
        <v/>
      </c>
      <c r="BL34" s="13">
        <f>SUMPRODUCT($F$3:$F$33,$BL$3:$BL$33)</f>
        <v/>
      </c>
      <c r="BM34" s="13">
        <f>SUMPRODUCT($F$3:$F$33,$BM$3:$BM$33)</f>
        <v/>
      </c>
      <c r="BN34" s="13">
        <f>SUMPRODUCT($F$3:$F$33,$BN$3:$BN$33)</f>
        <v/>
      </c>
      <c r="BO34" s="13">
        <f>SUMPRODUCT($F$3:$F$33,$BO$3:$BO$33)</f>
        <v/>
      </c>
      <c r="BP34" s="13">
        <f>SUMPRODUCT($F$3:$F$33,$BP$3:$BP$33)</f>
        <v/>
      </c>
      <c r="BQ34" s="13">
        <f>SUMPRODUCT($F$3:$F$33,$BQ$3:$BQ$33)</f>
        <v/>
      </c>
      <c r="BR34" s="13">
        <f>SUMPRODUCT($F$3:$F$33,$BR$3:$BR$33)</f>
        <v/>
      </c>
      <c r="BS34" s="13">
        <f>SUMPRODUCT($F$3:$F$33,$BS$3:$BS$33)</f>
        <v/>
      </c>
      <c r="BT34" s="13">
        <f>SUMPRODUCT($F$3:$F$33,$BT$3:$BT$33)</f>
        <v/>
      </c>
      <c r="BU34" s="13">
        <f>SUMPRODUCT($F$3:$F$33,$BU$3:$BU$33)</f>
        <v/>
      </c>
      <c r="BV34" s="13">
        <f>SUMPRODUCT($F$3:$F$33,$BV$3:$BV$33)</f>
        <v/>
      </c>
      <c r="BW34" s="13">
        <f>SUMPRODUCT($F$3:$F$33,$BW$3:$BW$33)</f>
        <v/>
      </c>
      <c r="BX34" s="13">
        <f>SUMPRODUCT($F$3:$F$33,$BX$3:$BX$33)</f>
        <v/>
      </c>
      <c r="BY34" s="13">
        <f>SUMPRODUCT($F$3:$F$33,$BY$3:$BY$33)</f>
        <v/>
      </c>
      <c r="BZ34" s="13">
        <f>SUMPRODUCT($F$3:$F$33,$BZ$3:$BZ$33)</f>
        <v/>
      </c>
      <c r="CA34" s="13">
        <f>SUMPRODUCT($F$3:$F$33,$CA$3:$CA$33)</f>
        <v/>
      </c>
      <c r="CB34" s="13">
        <f>SUMPRODUCT($F$3:$F$33,$CB$3:$CB$33)</f>
        <v/>
      </c>
      <c r="CC34" s="13">
        <f>SUMPRODUCT($F$3:$F$33,$CC$3:$CC$33)</f>
        <v/>
      </c>
      <c r="CD34" s="13">
        <f>SUMPRODUCT($F$3:$F$33,$CD$3:$CD$33)</f>
        <v/>
      </c>
      <c r="CE34" s="13">
        <f>SUMPRODUCT($F$3:$F$33,$CE$3:$CE$33)</f>
        <v/>
      </c>
      <c r="CF34" s="13">
        <f>SUMPRODUCT($F$3:$F$33,$CF$3:$CF$33)</f>
        <v/>
      </c>
      <c r="CG34" s="13">
        <f>SUMPRODUCT($F$3:$F$33,$CG$3:$CG$33)</f>
        <v/>
      </c>
      <c r="CH34" s="13">
        <f>SUMPRODUCT($F$3:$F$33,$CH$3:$CH$33)</f>
        <v/>
      </c>
      <c r="CI34" s="13">
        <f>SUMPRODUCT($F$3:$F$33,$CI$3:$CI$33)</f>
        <v/>
      </c>
      <c r="CJ34" s="13">
        <f>SUMPRODUCT($F$3:$F$33,$CJ$3:$CJ$33)</f>
        <v/>
      </c>
      <c r="CK34" s="13">
        <f>SUMPRODUCT($F$3:$F$33,$CK$3:$CK$33)</f>
        <v/>
      </c>
      <c r="CL34" s="13">
        <f>SUMPRODUCT($F$3:$F$33,$CL$3:$CL$33)</f>
        <v/>
      </c>
      <c r="CM34" s="13">
        <f>SUMPRODUCT($F$3:$F$33,$CM$3:$CM$33)</f>
        <v/>
      </c>
      <c r="CN34" s="13">
        <f>SUMPRODUCT($F$3:$F$33,$CN$3:$CN$33)</f>
        <v/>
      </c>
      <c r="CO34" s="13">
        <f>SUMPRODUCT($F$3:$F$33,$CO$3:$CO$33)</f>
        <v/>
      </c>
      <c r="CP34" s="13">
        <f>SUMPRODUCT($F$3:$F$33,$CP$3:$CP$33)</f>
        <v/>
      </c>
      <c r="CQ34" s="13">
        <f>SUMPRODUCT($F$3:$F$33,$CQ$3:$CQ$33)</f>
        <v/>
      </c>
      <c r="CR34" s="13">
        <f>SUMPRODUCT($F$3:$F$33,$CR$3:$CR$33)</f>
        <v/>
      </c>
      <c r="CS34" s="13">
        <f>SUMPRODUCT($F$3:$F$33,$CS$3:$CS$33)</f>
        <v/>
      </c>
      <c r="CT34" s="13">
        <f>SUMPRODUCT($F$3:$F$33,$CT$3:$CT$33)</f>
        <v/>
      </c>
      <c r="CU34" s="13">
        <f>SUMPRODUCT($F$3:$F$33,$CU$3:$CU$33)</f>
        <v/>
      </c>
      <c r="CV34" s="13">
        <f>SUMPRODUCT($F$3:$F$33,$CV$3:$CV$33)</f>
        <v/>
      </c>
      <c r="CW34" s="13">
        <f>SUMPRODUCT($F$3:$F$33,$CW$3:$CW$33)</f>
        <v/>
      </c>
      <c r="CX34" s="13">
        <f>SUMPRODUCT($F$3:$F$33,$CX$3:$CX$33)</f>
        <v/>
      </c>
      <c r="CY34" s="13">
        <f>SUMPRODUCT($F$3:$F$33,$CY$3:$CY$33)</f>
        <v/>
      </c>
      <c r="CZ34" s="13">
        <f>SUMPRODUCT($F$3:$F$33,$CZ$3:$CZ$33)</f>
        <v/>
      </c>
      <c r="DA34" s="13">
        <f>SUMPRODUCT($F$3:$F$33,$DA$3:$DA$33)</f>
        <v/>
      </c>
      <c r="DB34" s="13">
        <f>SUMPRODUCT($F$3:$F$33,$DB$3:$DB$33)</f>
        <v/>
      </c>
      <c r="DC34" s="13">
        <f>SUMPRODUCT($F$3:$F$33,$DC$3:$DC$33)</f>
        <v/>
      </c>
      <c r="DD34" s="13">
        <f>SUMPRODUCT($F$3:$F$33,$DD$3:$DD$33)</f>
        <v/>
      </c>
      <c r="DE34" s="13">
        <f>SUMPRODUCT($F$3:$F$33,$DE$3:$DE$33)</f>
        <v/>
      </c>
      <c r="DF34" s="13">
        <f>SUMPRODUCT($F$3:$F$33,$DF$3:$DF$33)</f>
        <v/>
      </c>
      <c r="DG34" s="13">
        <f>SUMPRODUCT($F$3:$F$33,$DG$3:$DG$33)</f>
        <v/>
      </c>
      <c r="DH34" s="13">
        <f>SUMPRODUCT($F$3:$F$33,$DH$3:$DH$33)</f>
        <v/>
      </c>
      <c r="DI34" s="13">
        <f>SUMPRODUCT($F$3:$F$33,$DI$3:$DI$33)</f>
        <v/>
      </c>
      <c r="DJ34" s="13">
        <f>SUMPRODUCT($F$3:$F$33,$DJ$3:$DJ$33)</f>
        <v/>
      </c>
      <c r="DK34" s="13">
        <f>SUMPRODUCT($F$3:$F$33,$DK$3:$DK$33)</f>
        <v/>
      </c>
      <c r="DL34" s="13">
        <f>SUMPRODUCT($F$3:$F$33,$DL$3:$DL$33)</f>
        <v/>
      </c>
      <c r="DM34" s="13">
        <f>SUMPRODUCT($F$3:$F$33,$DM$3:$DM$33)</f>
        <v/>
      </c>
      <c r="DN34" s="13">
        <f>SUMPRODUCT($F$3:$F$33,$DN$3:$DN$33)</f>
        <v/>
      </c>
      <c r="DO34" s="13">
        <f>SUMPRODUCT($F$3:$F$33,$DO$3:$DO$33)</f>
        <v/>
      </c>
      <c r="DP34" s="13">
        <f>SUMPRODUCT($F$3:$F$33,$DP$3:$DP$33)</f>
        <v/>
      </c>
      <c r="DQ34" s="13">
        <f>SUMPRODUCT($F$3:$F$33,$DQ$3:$DQ$33)</f>
        <v/>
      </c>
      <c r="DR34" s="13">
        <f>SUMPRODUCT($F$3:$F$33,$DR$3:$DR$33)</f>
        <v/>
      </c>
      <c r="DS34" s="13">
        <f>SUMPRODUCT($F$3:$F$33,$DS$3:$DS$33)</f>
        <v/>
      </c>
      <c r="DT34" s="13">
        <f>SUMPRODUCT($F$3:$F$33,$DT$3:$DT$33)</f>
        <v/>
      </c>
      <c r="DU34" s="13">
        <f>SUMPRODUCT($F$3:$F$33,$DU$3:$DU$33)</f>
        <v/>
      </c>
      <c r="DV34" s="13">
        <f>SUMPRODUCT($F$3:$F$33,$DV$3:$DV$33)</f>
        <v/>
      </c>
      <c r="DW34" s="13">
        <f>SUMPRODUCT($F$3:$F$33,$DW$3:$DW$33)</f>
        <v/>
      </c>
      <c r="DX34" s="13">
        <f>SUMPRODUCT($F$3:$F$33,$DX$3:$DX$33)</f>
        <v/>
      </c>
      <c r="DY34" s="13">
        <f>SUMPRODUCT($F$3:$F$33,$DY$3:$DY$33)</f>
        <v/>
      </c>
      <c r="DZ34" s="13">
        <f>SUMPRODUCT($F$3:$F$33,$DZ$3:$DZ$33)</f>
        <v/>
      </c>
      <c r="EA34" s="13">
        <f>SUMPRODUCT($F$3:$F$33,$EA$3:$EA$33)</f>
        <v/>
      </c>
      <c r="EB34" s="13">
        <f>SUMPRODUCT($F$3:$F$33,$EB$3:$EB$33)</f>
        <v/>
      </c>
      <c r="EC34" s="13">
        <f>SUMPRODUCT($F$3:$F$33,$EC$3:$EC$33)</f>
        <v/>
      </c>
      <c r="ED34" s="13">
        <f>SUMPRODUCT($F$3:$F$33,$ED$3:$ED$33)</f>
        <v/>
      </c>
      <c r="EE34" s="13">
        <f>SUMPRODUCT($F$3:$F$33,$EE$3:$EE$33)</f>
        <v/>
      </c>
      <c r="EF34" s="13">
        <f>SUMPRODUCT($F$3:$F$33,$EF$3:$EF$33)</f>
        <v/>
      </c>
      <c r="EG34" s="13">
        <f>SUMPRODUCT($F$3:$F$33,$EG$3:$EG$33)</f>
        <v/>
      </c>
      <c r="EH34" s="13">
        <f>SUMPRODUCT($F$3:$F$33,$EH$3:$EH$33)</f>
        <v/>
      </c>
      <c r="EI34" s="13">
        <f>SUMPRODUCT($F$3:$F$33,$EI$3:$EI$33)</f>
        <v/>
      </c>
      <c r="EJ34" s="13">
        <f>SUMPRODUCT($F$3:$F$33,$EJ$3:$EJ$33)</f>
        <v/>
      </c>
      <c r="EK34" s="13">
        <f>SUMPRODUCT($F$3:$F$33,$EK$3:$EK$33)</f>
        <v/>
      </c>
      <c r="EL34" s="13">
        <f>SUMPRODUCT($F$3:$F$33,$EL$3:$EL$33)</f>
        <v/>
      </c>
      <c r="EM34" s="13">
        <f>SUMPRODUCT($F$3:$F$33,$EM$3:$EM$33)</f>
        <v/>
      </c>
      <c r="EN34" s="13">
        <f>SUMPRODUCT($F$3:$F$33,$EN$3:$EN$33)</f>
        <v/>
      </c>
      <c r="EO34" s="13">
        <f>SUMPRODUCT($F$3:$F$33,$EO$3:$EO$33)</f>
        <v/>
      </c>
      <c r="EP34" s="13">
        <f>SUMPRODUCT($F$3:$F$33,$EP$3:$EP$33)</f>
        <v/>
      </c>
      <c r="EQ34" s="13">
        <f>SUMPRODUCT($F$3:$F$33,$EQ$3:$EQ$33)</f>
        <v/>
      </c>
      <c r="ER34" s="13">
        <f>SUMPRODUCT($F$3:$F$33,$ER$3:$ER$33)</f>
        <v/>
      </c>
      <c r="ES34" s="13">
        <f>SUMPRODUCT($F$3:$F$33,$ES$3:$ES$33)</f>
        <v/>
      </c>
      <c r="ET34" s="13">
        <f>SUMPRODUCT($F$3:$F$33,$ET$3:$ET$33)</f>
        <v/>
      </c>
      <c r="EU34" s="13">
        <f>SUMPRODUCT($F$3:$F$33,$EU$3:$EU$33)</f>
        <v/>
      </c>
      <c r="EV34" s="13">
        <f>SUMPRODUCT($F$3:$F$33,$EV$3:$EV$33)</f>
        <v/>
      </c>
      <c r="EW34" s="13">
        <f>SUMPRODUCT($F$3:$F$33,$EW$3:$EW$33)</f>
        <v/>
      </c>
      <c r="EX34" s="13">
        <f>SUMPRODUCT($F$3:$F$33,$EX$3:$EX$33)</f>
        <v/>
      </c>
      <c r="EY34" s="13">
        <f>SUMPRODUCT($F$3:$F$33,$EY$3:$EY$33)</f>
        <v/>
      </c>
      <c r="EZ34" s="13">
        <f>SUMPRODUCT($F$3:$F$33,$EZ$3:$EZ$33)</f>
        <v/>
      </c>
      <c r="FA34" s="13">
        <f>SUMPRODUCT($F$3:$F$33,$FA$3:$FA$33)</f>
        <v/>
      </c>
      <c r="FB34" s="13">
        <f>SUMPRODUCT($F$3:$F$33,$FB$3:$FB$33)</f>
        <v/>
      </c>
      <c r="FC34" s="13">
        <f>SUMPRODUCT($F$3:$F$33,$FC$3:$FC$33)</f>
        <v/>
      </c>
      <c r="FD34" s="13">
        <f>SUMPRODUCT($F$3:$F$33,$FD$3:$FD$33)</f>
        <v/>
      </c>
      <c r="FE34" s="13">
        <f>SUMPRODUCT($F$3:$F$33,$FE$3:$FE$33)</f>
        <v/>
      </c>
      <c r="FF34" s="13">
        <f>SUMPRODUCT($F$3:$F$33,$FF$3:$FF$33)</f>
        <v/>
      </c>
      <c r="FG34" s="13">
        <f>SUMPRODUCT($F$3:$F$33,$FG$3:$FG$33)</f>
        <v/>
      </c>
      <c r="FH34" s="13">
        <f>SUMPRODUCT($F$3:$F$33,$FH$3:$FH$33)</f>
        <v/>
      </c>
      <c r="FI34" s="13">
        <f>SUMPRODUCT($F$3:$F$33,$FI$3:$FI$33)</f>
        <v/>
      </c>
      <c r="FJ34" s="13">
        <f>SUMPRODUCT($F$3:$F$33,$FJ$3:$FJ$33)</f>
        <v/>
      </c>
      <c r="FK34" s="13">
        <f>SUMPRODUCT($F$3:$F$33,$FK$3:$FK$33)</f>
        <v/>
      </c>
      <c r="FL34" s="13">
        <f>SUMPRODUCT($F$3:$F$33,$FL$3:$FL$33)</f>
        <v/>
      </c>
      <c r="FM34" s="13">
        <f>SUMPRODUCT($F$3:$F$33,$FM$3:$FM$33)</f>
        <v/>
      </c>
      <c r="FN34" s="13">
        <f>SUMPRODUCT($F$3:$F$33,$FN$3:$FN$33)</f>
        <v/>
      </c>
      <c r="FO34" s="13">
        <f>SUMPRODUCT($F$3:$F$33,$FO$3:$FO$33)</f>
        <v/>
      </c>
      <c r="FP34" s="13">
        <f>SUMPRODUCT($F$3:$F$33,$FP$3:$FP$33)</f>
        <v/>
      </c>
      <c r="FQ34" s="13">
        <f>SUMPRODUCT($F$3:$F$33,$FQ$3:$FQ$33)</f>
        <v/>
      </c>
      <c r="FR34" s="13">
        <f>SUMPRODUCT($F$3:$F$33,$FR$3:$FR$33)</f>
        <v/>
      </c>
      <c r="FS34" s="13">
        <f>SUMPRODUCT($F$3:$F$33,$FS$3:$FS$33)</f>
        <v/>
      </c>
      <c r="FT34" s="13">
        <f>SUMPRODUCT($F$3:$F$33,$FT$3:$FT$33)</f>
        <v/>
      </c>
      <c r="FU34" s="13">
        <f>SUMPRODUCT($F$3:$F$33,$FU$3:$FU$33)</f>
        <v/>
      </c>
      <c r="FV34" s="13">
        <f>SUMPRODUCT($F$3:$F$33,$FV$3:$FV$33)</f>
        <v/>
      </c>
      <c r="FW34" s="13">
        <f>SUMPRODUCT($F$3:$F$33,$FW$3:$FW$33)</f>
        <v/>
      </c>
      <c r="FX34" s="13">
        <f>SUMPRODUCT($F$3:$F$33,$FX$3:$FX$33)</f>
        <v/>
      </c>
      <c r="FY34" s="13">
        <f>SUMPRODUCT($F$3:$F$33,$FY$3:$FY$33)</f>
        <v/>
      </c>
      <c r="FZ34" s="13">
        <f>SUMPRODUCT($F$3:$F$33,$FZ$3:$FZ$33)</f>
        <v/>
      </c>
      <c r="GA34" s="13">
        <f>SUMPRODUCT($F$3:$F$33,$GA$3:$GA$33)</f>
        <v/>
      </c>
      <c r="GB34" s="13">
        <f>SUMPRODUCT($F$3:$F$33,$GB$3:$GB$33)</f>
        <v/>
      </c>
      <c r="GC34" s="13">
        <f>SUMPRODUCT($F$3:$F$33,$GC$3:$GC$33)</f>
        <v/>
      </c>
      <c r="GD34" s="13">
        <f>SUMPRODUCT($F$3:$F$33,$GD$3:$GD$33)</f>
        <v/>
      </c>
      <c r="GE34" s="13">
        <f>SUMPRODUCT($F$3:$F$33,$GE$3:$GE$33)</f>
        <v/>
      </c>
      <c r="GF34" s="13">
        <f>SUMPRODUCT($F$3:$F$33,$GF$3:$GF$33)</f>
        <v/>
      </c>
      <c r="GG34" s="13">
        <f>SUMPRODUCT($F$3:$F$33,$GG$3:$GG$33)</f>
        <v/>
      </c>
      <c r="GH34" s="13">
        <f>SUMPRODUCT($F$3:$F$33,$GH$3:$GH$33)</f>
        <v/>
      </c>
      <c r="GI34" s="13">
        <f>SUMPRODUCT($F$3:$F$33,$GI$3:$GI$33)</f>
        <v/>
      </c>
      <c r="GJ34" s="13">
        <f>SUMPRODUCT($F$3:$F$33,$GJ$3:$GJ$33)</f>
        <v/>
      </c>
      <c r="GK34" s="13">
        <f>SUMPRODUCT($F$3:$F$33,$GK$3:$GK$33)</f>
        <v/>
      </c>
      <c r="GL34" s="13">
        <f>SUMPRODUCT($F$3:$F$33,$GL$3:$GL$33)</f>
        <v/>
      </c>
      <c r="GM34" s="13">
        <f>SUMPRODUCT($F$3:$F$33,$GM$3:$GM$33)</f>
        <v/>
      </c>
      <c r="GN34" s="13">
        <f>SUMPRODUCT($F$3:$F$33,$GN$3:$GN$33)</f>
        <v/>
      </c>
      <c r="GO34" s="13">
        <f>SUMPRODUCT($F$3:$F$33,$GO$3:$GO$33)</f>
        <v/>
      </c>
      <c r="GP34" s="13">
        <f>SUMPRODUCT($F$3:$F$33,$GP$3:$GP$33)</f>
        <v/>
      </c>
      <c r="GQ34" s="13">
        <f>SUMPRODUCT($F$3:$F$33,$GQ$3:$GQ$33)</f>
        <v/>
      </c>
      <c r="GR34" s="13">
        <f>SUMPRODUCT($F$3:$F$33,$GR$3:$GR$33)</f>
        <v/>
      </c>
      <c r="GS34" s="13">
        <f>SUMPRODUCT($F$3:$F$33,$GS$3:$GS$33)</f>
        <v/>
      </c>
      <c r="GT34" s="13">
        <f>SUMPRODUCT($F$3:$F$33,$GT$3:$GT$33)</f>
        <v/>
      </c>
      <c r="GU34" s="13">
        <f>SUMPRODUCT($F$3:$F$33,$GU$3:$GU$33)</f>
        <v/>
      </c>
      <c r="GV34" s="13">
        <f>SUMPRODUCT($F$3:$F$33,$GV$3:$GV$33)</f>
        <v/>
      </c>
      <c r="GW34" s="13">
        <f>SUMPRODUCT($F$3:$F$33,$GW$3:$GW$33)</f>
        <v/>
      </c>
      <c r="GX34" s="13">
        <f>SUMPRODUCT($F$3:$F$33,$GX$3:$GX$33)</f>
        <v/>
      </c>
      <c r="GY34" s="13">
        <f>SUMPRODUCT($F$3:$F$33,$GY$3:$GY$33)</f>
        <v/>
      </c>
      <c r="GZ34" s="13">
        <f>SUMPRODUCT($F$3:$F$33,$GZ$3:$GZ$33)</f>
        <v/>
      </c>
      <c r="HA34" s="13">
        <f>SUMPRODUCT($F$3:$F$33,$HA$3:$HA$33)</f>
        <v/>
      </c>
      <c r="HB34" s="13">
        <f>SUMPRODUCT($F$3:$F$33,$HB$3:$HB$33)</f>
        <v/>
      </c>
      <c r="HC34" s="13">
        <f>SUMPRODUCT($F$3:$F$33,$HC$3:$HC$33)</f>
        <v/>
      </c>
      <c r="HD34" s="13">
        <f>SUMPRODUCT($F$3:$F$33,$HD$3:$HD$33)</f>
        <v/>
      </c>
      <c r="HE34" s="13">
        <f>SUMPRODUCT($F$3:$F$33,$HE$3:$HE$33)</f>
        <v/>
      </c>
      <c r="HF34" s="13">
        <f>SUMPRODUCT($F$3:$F$33,$HF$3:$HF$33)</f>
        <v/>
      </c>
      <c r="HG34" s="13">
        <f>SUMPRODUCT($F$3:$F$33,$HG$3:$HG$33)</f>
        <v/>
      </c>
      <c r="HH34" s="13">
        <f>SUMPRODUCT($F$3:$F$33,$HH$3:$HH$33)</f>
        <v/>
      </c>
      <c r="HI34" s="13">
        <f>SUMPRODUCT($F$3:$F$33,$HI$3:$HI$33)</f>
        <v/>
      </c>
      <c r="HJ34" s="13">
        <f>SUMPRODUCT($F$3:$F$33,$HJ$3:$HJ$33)</f>
        <v/>
      </c>
      <c r="HK34" s="13">
        <f>SUMPRODUCT($F$3:$F$33,$HK$3:$HK$33)</f>
        <v/>
      </c>
      <c r="HL34" s="13">
        <f>SUMPRODUCT($F$3:$F$33,$HL$3:$HL$33)</f>
        <v/>
      </c>
    </row>
  </sheetData>
  <mergeCells count="12">
    <mergeCell ref="AD1:AP1"/>
    <mergeCell ref="FX1:GP1"/>
    <mergeCell ref="GQ1:GY1"/>
    <mergeCell ref="HD1:HF1"/>
    <mergeCell ref="G1:O1"/>
    <mergeCell ref="CU1:FW1"/>
    <mergeCell ref="A1:F1"/>
    <mergeCell ref="P1:AC1"/>
    <mergeCell ref="HG1:HK1"/>
    <mergeCell ref="HL1"/>
    <mergeCell ref="AQ1:CT1"/>
    <mergeCell ref="GZ1:H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Ingredientes!G34</f>
        <v/>
      </c>
      <c r="C2" t="inlineStr">
        <is>
          <t>g</t>
        </is>
      </c>
    </row>
    <row r="3">
      <c r="A3" t="inlineStr">
        <is>
          <t>Energy</t>
        </is>
      </c>
      <c r="B3">
        <f>Ingredientes!H34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Ingredientes!I34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Ingredientes!J34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Ingredientes!K34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Ingredientes!L34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Ingredientes!M34</f>
        <v/>
      </c>
      <c r="C8" t="inlineStr">
        <is>
          <t>g</t>
        </is>
      </c>
    </row>
    <row r="9">
      <c r="A9" t="inlineStr">
        <is>
          <t>Ash</t>
        </is>
      </c>
      <c r="B9">
        <f>Ingredientes!N34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Ingredientes!O34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Ingredientes!P34</f>
        <v/>
      </c>
      <c r="C11" t="inlineStr">
        <is>
          <t>g</t>
        </is>
      </c>
    </row>
    <row r="12">
      <c r="A12" t="inlineStr">
        <is>
          <t>Total dietary fiber (AOAC 2011.25)</t>
        </is>
      </c>
      <c r="B12">
        <f>Ingredientes!Q34</f>
        <v/>
      </c>
      <c r="C12" t="inlineStr">
        <is>
          <t>g</t>
        </is>
      </c>
    </row>
    <row r="13">
      <c r="A13" t="inlineStr">
        <is>
          <t>High Molecular Weight Dietary Fiber (HMWDF)</t>
        </is>
      </c>
      <c r="B13">
        <f>Ingredientes!R34</f>
        <v/>
      </c>
      <c r="C13" t="inlineStr">
        <is>
          <t>g</t>
        </is>
      </c>
    </row>
    <row r="14">
      <c r="A14" t="inlineStr">
        <is>
          <t>Low Molecular Weight Dietary Fiber (LMWDF)</t>
        </is>
      </c>
      <c r="B14">
        <f>Ingredientes!S34</f>
        <v/>
      </c>
      <c r="C14" t="inlineStr">
        <is>
          <t>g</t>
        </is>
      </c>
    </row>
    <row r="15">
      <c r="A15" t="inlineStr">
        <is>
          <t>Sugars, Total</t>
        </is>
      </c>
      <c r="B15">
        <f>Ingredientes!T34</f>
        <v/>
      </c>
      <c r="C15" t="inlineStr">
        <is>
          <t>g</t>
        </is>
      </c>
    </row>
    <row r="16">
      <c r="A16" t="inlineStr">
        <is>
          <t>Sucrose</t>
        </is>
      </c>
      <c r="B16">
        <f>Ingredientes!U34</f>
        <v/>
      </c>
      <c r="C16" t="inlineStr">
        <is>
          <t>g</t>
        </is>
      </c>
    </row>
    <row r="17">
      <c r="A17" t="inlineStr">
        <is>
          <t>Glucose</t>
        </is>
      </c>
      <c r="B17">
        <f>Ingredientes!V34</f>
        <v/>
      </c>
      <c r="C17" t="inlineStr">
        <is>
          <t>g</t>
        </is>
      </c>
    </row>
    <row r="18">
      <c r="A18" t="inlineStr">
        <is>
          <t>Fructose</t>
        </is>
      </c>
      <c r="B18">
        <f>Ingredientes!W34</f>
        <v/>
      </c>
      <c r="C18" t="inlineStr">
        <is>
          <t>g</t>
        </is>
      </c>
    </row>
    <row r="19">
      <c r="A19" t="inlineStr">
        <is>
          <t>Lactose</t>
        </is>
      </c>
      <c r="B19">
        <f>Ingredientes!X34</f>
        <v/>
      </c>
      <c r="C19" t="inlineStr">
        <is>
          <t>g</t>
        </is>
      </c>
    </row>
    <row r="20">
      <c r="A20" t="inlineStr">
        <is>
          <t>Maltose</t>
        </is>
      </c>
      <c r="B20">
        <f>Ingredientes!Y34</f>
        <v/>
      </c>
      <c r="C20" t="inlineStr">
        <is>
          <t>g</t>
        </is>
      </c>
    </row>
    <row r="21">
      <c r="A21" t="inlineStr">
        <is>
          <t>Galactose</t>
        </is>
      </c>
      <c r="B21">
        <f>Ingredientes!Z34</f>
        <v/>
      </c>
      <c r="C21" t="inlineStr">
        <is>
          <t>g</t>
        </is>
      </c>
    </row>
    <row r="22">
      <c r="A22" t="inlineStr">
        <is>
          <t>Starch</t>
        </is>
      </c>
      <c r="B22">
        <f>Ingredientes!AA34</f>
        <v/>
      </c>
      <c r="C22" t="inlineStr">
        <is>
          <t>g</t>
        </is>
      </c>
    </row>
    <row r="23">
      <c r="A23" t="inlineStr">
        <is>
          <t>Resistant starch</t>
        </is>
      </c>
      <c r="B23">
        <f>Ingredientes!AB34</f>
        <v/>
      </c>
      <c r="C23" t="inlineStr">
        <is>
          <t>g</t>
        </is>
      </c>
    </row>
    <row r="24">
      <c r="A24" t="inlineStr">
        <is>
          <t>Sugars, added</t>
        </is>
      </c>
      <c r="B24">
        <f>Ingredientes!AC34</f>
        <v/>
      </c>
      <c r="C24" t="inlineStr">
        <is>
          <t>g</t>
        </is>
      </c>
    </row>
    <row r="25">
      <c r="A25" t="inlineStr">
        <is>
          <t>Calcium, Ca</t>
        </is>
      </c>
      <c r="B25">
        <f>Ingredientes!AD34</f>
        <v/>
      </c>
      <c r="C25" t="inlineStr">
        <is>
          <t>mg</t>
        </is>
      </c>
    </row>
    <row r="26">
      <c r="A26" t="inlineStr">
        <is>
          <t>Iron, Fe</t>
        </is>
      </c>
      <c r="B26">
        <f>Ingredientes!AE34</f>
        <v/>
      </c>
      <c r="C26" t="inlineStr">
        <is>
          <t>mg</t>
        </is>
      </c>
    </row>
    <row r="27">
      <c r="A27" t="inlineStr">
        <is>
          <t>Magnesium, Mg</t>
        </is>
      </c>
      <c r="B27">
        <f>Ingredientes!AF34</f>
        <v/>
      </c>
      <c r="C27" t="inlineStr">
        <is>
          <t>mg</t>
        </is>
      </c>
    </row>
    <row r="28">
      <c r="A28" t="inlineStr">
        <is>
          <t>Phosphorus, P</t>
        </is>
      </c>
      <c r="B28">
        <f>Ingredientes!AG34</f>
        <v/>
      </c>
      <c r="C28" t="inlineStr">
        <is>
          <t>mg</t>
        </is>
      </c>
    </row>
    <row r="29">
      <c r="A29" t="inlineStr">
        <is>
          <t>Potassium, K</t>
        </is>
      </c>
      <c r="B29">
        <f>Ingredientes!AH34</f>
        <v/>
      </c>
      <c r="C29" t="inlineStr">
        <is>
          <t>mg</t>
        </is>
      </c>
    </row>
    <row r="30">
      <c r="A30" t="inlineStr">
        <is>
          <t>Sodium, Na</t>
        </is>
      </c>
      <c r="B30">
        <f>Ingredientes!AI34</f>
        <v/>
      </c>
      <c r="C30" t="inlineStr">
        <is>
          <t>mg</t>
        </is>
      </c>
    </row>
    <row r="31">
      <c r="A31" t="inlineStr">
        <is>
          <t>Zinc, Zn</t>
        </is>
      </c>
      <c r="B31">
        <f>Ingredientes!AJ34</f>
        <v/>
      </c>
      <c r="C31" t="inlineStr">
        <is>
          <t>mg</t>
        </is>
      </c>
    </row>
    <row r="32">
      <c r="A32" t="inlineStr">
        <is>
          <t>Copper, Cu</t>
        </is>
      </c>
      <c r="B32">
        <f>Ingredientes!AK34</f>
        <v/>
      </c>
      <c r="C32" t="inlineStr">
        <is>
          <t>mg</t>
        </is>
      </c>
    </row>
    <row r="33">
      <c r="A33" t="inlineStr">
        <is>
          <t>Manganese, Mn</t>
        </is>
      </c>
      <c r="B33">
        <f>Ingredientes!AL34</f>
        <v/>
      </c>
      <c r="C33" t="inlineStr">
        <is>
          <t>mg</t>
        </is>
      </c>
    </row>
    <row r="34">
      <c r="A34" t="inlineStr">
        <is>
          <t>Iodine, I</t>
        </is>
      </c>
      <c r="B34">
        <f>Ingredientes!AM34</f>
        <v/>
      </c>
      <c r="C34" t="inlineStr">
        <is>
          <t>µg</t>
        </is>
      </c>
    </row>
    <row r="35">
      <c r="A35" t="inlineStr">
        <is>
          <t>Selenium, Se</t>
        </is>
      </c>
      <c r="B35">
        <f>Ingredientes!AN34</f>
        <v/>
      </c>
      <c r="C35" t="inlineStr">
        <is>
          <t>µg</t>
        </is>
      </c>
    </row>
    <row r="36">
      <c r="A36" t="inlineStr">
        <is>
          <t>Molybdenum, Mo</t>
        </is>
      </c>
      <c r="B36">
        <f>Ingredientes!AO34</f>
        <v/>
      </c>
      <c r="C36" t="inlineStr">
        <is>
          <t>µg</t>
        </is>
      </c>
    </row>
    <row r="37">
      <c r="A37" t="inlineStr">
        <is>
          <t>Fluoride, F</t>
        </is>
      </c>
      <c r="B37">
        <f>Ingredientes!AP34</f>
        <v/>
      </c>
      <c r="C37" t="inlineStr">
        <is>
          <t>µg</t>
        </is>
      </c>
    </row>
    <row r="38">
      <c r="A38" t="inlineStr">
        <is>
          <t>Folate, food</t>
        </is>
      </c>
      <c r="B38">
        <f>Ingredientes!AQ34</f>
        <v/>
      </c>
      <c r="C38" t="inlineStr">
        <is>
          <t>µg</t>
        </is>
      </c>
    </row>
    <row r="39">
      <c r="A39" t="inlineStr">
        <is>
          <t>Thiamin</t>
        </is>
      </c>
      <c r="B39">
        <f>Ingredientes!AR34</f>
        <v/>
      </c>
      <c r="C39" t="inlineStr">
        <is>
          <t>mg</t>
        </is>
      </c>
    </row>
    <row r="40">
      <c r="A40" t="inlineStr">
        <is>
          <t>Riboflavin</t>
        </is>
      </c>
      <c r="B40">
        <f>Ingredientes!AS34</f>
        <v/>
      </c>
      <c r="C40" t="inlineStr">
        <is>
          <t>mg</t>
        </is>
      </c>
    </row>
    <row r="41">
      <c r="A41" t="inlineStr">
        <is>
          <t>Niacin</t>
        </is>
      </c>
      <c r="B41">
        <f>Ingredientes!AT34</f>
        <v/>
      </c>
      <c r="C41" t="inlineStr">
        <is>
          <t>mg</t>
        </is>
      </c>
    </row>
    <row r="42">
      <c r="A42" t="inlineStr">
        <is>
          <t>Vitamin B-6</t>
        </is>
      </c>
      <c r="B42">
        <f>Ingredientes!AU34</f>
        <v/>
      </c>
      <c r="C42" t="inlineStr">
        <is>
          <t>mg</t>
        </is>
      </c>
    </row>
    <row r="43">
      <c r="A43" t="inlineStr">
        <is>
          <t>Folate, total</t>
        </is>
      </c>
      <c r="B43">
        <f>Ingredientes!AV34</f>
        <v/>
      </c>
      <c r="C43" t="inlineStr">
        <is>
          <t>µg</t>
        </is>
      </c>
    </row>
    <row r="44">
      <c r="A44" t="inlineStr">
        <is>
          <t>Folic acid</t>
        </is>
      </c>
      <c r="B44">
        <f>Ingredientes!AW34</f>
        <v/>
      </c>
      <c r="C44" t="inlineStr">
        <is>
          <t>µg</t>
        </is>
      </c>
    </row>
    <row r="45">
      <c r="A45" t="inlineStr">
        <is>
          <t>Folate, DFE</t>
        </is>
      </c>
      <c r="B45">
        <f>Ingredientes!AX34</f>
        <v/>
      </c>
      <c r="C45" t="inlineStr">
        <is>
          <t>µg</t>
        </is>
      </c>
    </row>
    <row r="46">
      <c r="A46" t="inlineStr">
        <is>
          <t>Choline, total</t>
        </is>
      </c>
      <c r="B46">
        <f>Ingredientes!AY34</f>
        <v/>
      </c>
      <c r="C46" t="inlineStr">
        <is>
          <t>mg</t>
        </is>
      </c>
    </row>
    <row r="47">
      <c r="A47" t="inlineStr">
        <is>
          <t>Choline, free</t>
        </is>
      </c>
      <c r="B47">
        <f>Ingredientes!AZ34</f>
        <v/>
      </c>
      <c r="C47" t="inlineStr">
        <is>
          <t>mg</t>
        </is>
      </c>
    </row>
    <row r="48">
      <c r="A48" t="inlineStr">
        <is>
          <t>Choline, from phosphocholine</t>
        </is>
      </c>
      <c r="B48">
        <f>Ingredientes!BA34</f>
        <v/>
      </c>
      <c r="C48" t="inlineStr">
        <is>
          <t>mg</t>
        </is>
      </c>
    </row>
    <row r="49">
      <c r="A49" t="inlineStr">
        <is>
          <t>Choline, from phosphatidyl choline</t>
        </is>
      </c>
      <c r="B49">
        <f>Ingredientes!BB34</f>
        <v/>
      </c>
      <c r="C49" t="inlineStr">
        <is>
          <t>mg</t>
        </is>
      </c>
    </row>
    <row r="50">
      <c r="A50" t="inlineStr">
        <is>
          <t>Choline, from glycerophosphocholine</t>
        </is>
      </c>
      <c r="B50">
        <f>Ingredientes!BC34</f>
        <v/>
      </c>
      <c r="C50" t="inlineStr">
        <is>
          <t>mg</t>
        </is>
      </c>
    </row>
    <row r="51">
      <c r="A51" t="inlineStr">
        <is>
          <t>Choline, from sphingomyelin</t>
        </is>
      </c>
      <c r="B51">
        <f>Ingredientes!BD34</f>
        <v/>
      </c>
      <c r="C51" t="inlineStr">
        <is>
          <t>mg</t>
        </is>
      </c>
    </row>
    <row r="52">
      <c r="A52" t="inlineStr">
        <is>
          <t>Betaine</t>
        </is>
      </c>
      <c r="B52">
        <f>Ingredientes!BE34</f>
        <v/>
      </c>
      <c r="C52" t="inlineStr">
        <is>
          <t>mg</t>
        </is>
      </c>
    </row>
    <row r="53">
      <c r="A53" t="inlineStr">
        <is>
          <t>Vitamin B-12</t>
        </is>
      </c>
      <c r="B53">
        <f>Ingredientes!BF34</f>
        <v/>
      </c>
      <c r="C53" t="inlineStr">
        <is>
          <t>µg</t>
        </is>
      </c>
    </row>
    <row r="54">
      <c r="A54" t="inlineStr">
        <is>
          <t>Vitamin B-12, added</t>
        </is>
      </c>
      <c r="B54">
        <f>Ingredientes!BG34</f>
        <v/>
      </c>
      <c r="C54" t="inlineStr">
        <is>
          <t>µg</t>
        </is>
      </c>
    </row>
    <row r="55">
      <c r="A55" t="inlineStr">
        <is>
          <t>Vitamin A, RAE</t>
        </is>
      </c>
      <c r="B55">
        <f>Ingredientes!BH34</f>
        <v/>
      </c>
      <c r="C55" t="inlineStr">
        <is>
          <t>µg</t>
        </is>
      </c>
    </row>
    <row r="56">
      <c r="A56" t="inlineStr">
        <is>
          <t>Retinol</t>
        </is>
      </c>
      <c r="B56">
        <f>Ingredientes!BI34</f>
        <v/>
      </c>
      <c r="C56" t="inlineStr">
        <is>
          <t>µg</t>
        </is>
      </c>
    </row>
    <row r="57">
      <c r="A57" t="inlineStr">
        <is>
          <t>Carotene, beta</t>
        </is>
      </c>
      <c r="B57">
        <f>Ingredientes!BJ34</f>
        <v/>
      </c>
      <c r="C57" t="inlineStr">
        <is>
          <t>µg</t>
        </is>
      </c>
    </row>
    <row r="58">
      <c r="A58" t="inlineStr">
        <is>
          <t>cis-beta-Carotene</t>
        </is>
      </c>
      <c r="B58">
        <f>Ingredientes!BK34</f>
        <v/>
      </c>
      <c r="C58" t="inlineStr">
        <is>
          <t>µg</t>
        </is>
      </c>
    </row>
    <row r="59">
      <c r="A59" t="inlineStr">
        <is>
          <t>trans-beta-Carotene</t>
        </is>
      </c>
      <c r="B59">
        <f>Ingredientes!BL34</f>
        <v/>
      </c>
      <c r="C59" t="inlineStr">
        <is>
          <t>µg</t>
        </is>
      </c>
    </row>
    <row r="60">
      <c r="A60" t="inlineStr">
        <is>
          <t>Carotene, alpha</t>
        </is>
      </c>
      <c r="B60">
        <f>Ingredientes!BM34</f>
        <v/>
      </c>
      <c r="C60" t="inlineStr">
        <is>
          <t>µg</t>
        </is>
      </c>
    </row>
    <row r="61">
      <c r="A61" t="inlineStr">
        <is>
          <t>Carotene, gamma</t>
        </is>
      </c>
      <c r="B61">
        <f>Ingredientes!BN34</f>
        <v/>
      </c>
      <c r="C61" t="inlineStr">
        <is>
          <t>µg</t>
        </is>
      </c>
    </row>
    <row r="62">
      <c r="A62" t="inlineStr">
        <is>
          <t>Cryptoxanthin, beta</t>
        </is>
      </c>
      <c r="B62">
        <f>Ingredientes!BO34</f>
        <v/>
      </c>
      <c r="C62" t="inlineStr">
        <is>
          <t>µg</t>
        </is>
      </c>
    </row>
    <row r="63">
      <c r="A63" t="inlineStr">
        <is>
          <t>Cryptoxanthin, alpha</t>
        </is>
      </c>
      <c r="B63">
        <f>Ingredientes!BP34</f>
        <v/>
      </c>
      <c r="C63" t="inlineStr">
        <is>
          <t>µg</t>
        </is>
      </c>
    </row>
    <row r="64">
      <c r="A64" t="inlineStr">
        <is>
          <t>Vitamin A, IU</t>
        </is>
      </c>
      <c r="B64">
        <f>Ingredientes!BQ34</f>
        <v/>
      </c>
      <c r="C64" t="inlineStr">
        <is>
          <t>iu</t>
        </is>
      </c>
    </row>
    <row r="65">
      <c r="A65" t="inlineStr">
        <is>
          <t>Lycopene</t>
        </is>
      </c>
      <c r="B65">
        <f>Ingredientes!BR34</f>
        <v/>
      </c>
      <c r="C65" t="inlineStr">
        <is>
          <t>µg</t>
        </is>
      </c>
    </row>
    <row r="66">
      <c r="A66" t="inlineStr">
        <is>
          <t>cis-Lycopene</t>
        </is>
      </c>
      <c r="B66">
        <f>Ingredientes!BS34</f>
        <v/>
      </c>
      <c r="C66" t="inlineStr">
        <is>
          <t>µg</t>
        </is>
      </c>
    </row>
    <row r="67">
      <c r="A67" t="inlineStr">
        <is>
          <t>trans-Lycopene</t>
        </is>
      </c>
      <c r="B67">
        <f>Ingredientes!BT34</f>
        <v/>
      </c>
      <c r="C67" t="inlineStr">
        <is>
          <t>µg</t>
        </is>
      </c>
    </row>
    <row r="68">
      <c r="A68" t="inlineStr">
        <is>
          <t>Lutein + zeaxanthin</t>
        </is>
      </c>
      <c r="B68">
        <f>Ingredientes!BU34</f>
        <v/>
      </c>
      <c r="C68" t="inlineStr">
        <is>
          <t>µg</t>
        </is>
      </c>
    </row>
    <row r="69">
      <c r="A69" t="inlineStr">
        <is>
          <t>cis-Lutein/Zeaxanthin</t>
        </is>
      </c>
      <c r="B69">
        <f>Ingredientes!BV34</f>
        <v/>
      </c>
      <c r="C69" t="inlineStr">
        <is>
          <t>µg</t>
        </is>
      </c>
    </row>
    <row r="70">
      <c r="A70" t="inlineStr">
        <is>
          <t>Lutein</t>
        </is>
      </c>
      <c r="B70">
        <f>Ingredientes!BW34</f>
        <v/>
      </c>
      <c r="C70" t="inlineStr">
        <is>
          <t>µg</t>
        </is>
      </c>
    </row>
    <row r="71">
      <c r="A71" t="inlineStr">
        <is>
          <t>Zeaxanthin</t>
        </is>
      </c>
      <c r="B71">
        <f>Ingredientes!BX34</f>
        <v/>
      </c>
      <c r="C71" t="inlineStr">
        <is>
          <t>µg</t>
        </is>
      </c>
    </row>
    <row r="72">
      <c r="A72" t="inlineStr">
        <is>
          <t>Vitamin D (D2 + D3), International Units</t>
        </is>
      </c>
      <c r="B72">
        <f>Ingredientes!BY34</f>
        <v/>
      </c>
      <c r="C72" t="inlineStr">
        <is>
          <t>iu</t>
        </is>
      </c>
    </row>
    <row r="73">
      <c r="A73" t="inlineStr">
        <is>
          <t>Vitamin D (D2 + D3)</t>
        </is>
      </c>
      <c r="B73">
        <f>Ingredientes!BZ34</f>
        <v/>
      </c>
      <c r="C73" t="inlineStr">
        <is>
          <t>µg</t>
        </is>
      </c>
    </row>
    <row r="74">
      <c r="A74" t="inlineStr">
        <is>
          <t>Vitamin D2 (ergocalciferol)</t>
        </is>
      </c>
      <c r="B74">
        <f>Ingredientes!CA34</f>
        <v/>
      </c>
      <c r="C74" t="inlineStr">
        <is>
          <t>µg</t>
        </is>
      </c>
    </row>
    <row r="75">
      <c r="A75" t="inlineStr">
        <is>
          <t>Vitamin D3 (cholecalciferol)</t>
        </is>
      </c>
      <c r="B75">
        <f>Ingredientes!CB34</f>
        <v/>
      </c>
      <c r="C75" t="inlineStr">
        <is>
          <t>µg</t>
        </is>
      </c>
    </row>
    <row r="76">
      <c r="A76" t="inlineStr">
        <is>
          <t>25-hydroxycholecalciferol</t>
        </is>
      </c>
      <c r="B76">
        <f>Ingredientes!CC34</f>
        <v/>
      </c>
      <c r="C76" t="inlineStr">
        <is>
          <t>µg</t>
        </is>
      </c>
    </row>
    <row r="77">
      <c r="A77" t="inlineStr">
        <is>
          <t>Vitamin K (phylloquinone)</t>
        </is>
      </c>
      <c r="B77">
        <f>Ingredientes!CD34</f>
        <v/>
      </c>
      <c r="C77" t="inlineStr">
        <is>
          <t>µg</t>
        </is>
      </c>
    </row>
    <row r="78">
      <c r="A78" t="inlineStr">
        <is>
          <t>Vitamin K (Dihydrophylloquinone)</t>
        </is>
      </c>
      <c r="B78">
        <f>Ingredientes!CE34</f>
        <v/>
      </c>
      <c r="C78" t="inlineStr">
        <is>
          <t>µg</t>
        </is>
      </c>
    </row>
    <row r="79">
      <c r="A79" t="inlineStr">
        <is>
          <t>Vitamin K (Menaquinone-4)</t>
        </is>
      </c>
      <c r="B79">
        <f>Ingredientes!CF34</f>
        <v/>
      </c>
      <c r="C79" t="inlineStr">
        <is>
          <t>µg</t>
        </is>
      </c>
    </row>
    <row r="80">
      <c r="A80" t="inlineStr">
        <is>
          <t>Vitamin E (alpha-tocopherol)</t>
        </is>
      </c>
      <c r="B80">
        <f>Ingredientes!CG34</f>
        <v/>
      </c>
      <c r="C80" t="inlineStr">
        <is>
          <t>mg</t>
        </is>
      </c>
    </row>
    <row r="81">
      <c r="A81" t="inlineStr">
        <is>
          <t>Vitamin E, added</t>
        </is>
      </c>
      <c r="B81">
        <f>Ingredientes!CH34</f>
        <v/>
      </c>
      <c r="C81" t="inlineStr">
        <is>
          <t>mg</t>
        </is>
      </c>
    </row>
    <row r="82">
      <c r="A82" t="inlineStr">
        <is>
          <t>Tocopherol, beta</t>
        </is>
      </c>
      <c r="B82">
        <f>Ingredientes!CI34</f>
        <v/>
      </c>
      <c r="C82" t="inlineStr">
        <is>
          <t>mg</t>
        </is>
      </c>
    </row>
    <row r="83">
      <c r="A83" t="inlineStr">
        <is>
          <t>Tocopherol, gamma</t>
        </is>
      </c>
      <c r="B83">
        <f>Ingredientes!CJ34</f>
        <v/>
      </c>
      <c r="C83" t="inlineStr">
        <is>
          <t>mg</t>
        </is>
      </c>
    </row>
    <row r="84">
      <c r="A84" t="inlineStr">
        <is>
          <t>Tocopherol, delta</t>
        </is>
      </c>
      <c r="B84">
        <f>Ingredientes!CK34</f>
        <v/>
      </c>
      <c r="C84" t="inlineStr">
        <is>
          <t>mg</t>
        </is>
      </c>
    </row>
    <row r="85">
      <c r="A85" t="inlineStr">
        <is>
          <t>Tocotrienol, alpha</t>
        </is>
      </c>
      <c r="B85">
        <f>Ingredientes!CL34</f>
        <v/>
      </c>
      <c r="C85" t="inlineStr">
        <is>
          <t>mg</t>
        </is>
      </c>
    </row>
    <row r="86">
      <c r="A86" t="inlineStr">
        <is>
          <t>Tocotrienol, beta</t>
        </is>
      </c>
      <c r="B86">
        <f>Ingredientes!CM34</f>
        <v/>
      </c>
      <c r="C86" t="inlineStr">
        <is>
          <t>mg</t>
        </is>
      </c>
    </row>
    <row r="87">
      <c r="A87" t="inlineStr">
        <is>
          <t>Tocotrienol, gamma</t>
        </is>
      </c>
      <c r="B87">
        <f>Ingredientes!CN34</f>
        <v/>
      </c>
      <c r="C87" t="inlineStr">
        <is>
          <t>mg</t>
        </is>
      </c>
    </row>
    <row r="88">
      <c r="A88" t="inlineStr">
        <is>
          <t>Tocotrienol, delta</t>
        </is>
      </c>
      <c r="B88">
        <f>Ingredientes!CO34</f>
        <v/>
      </c>
      <c r="C88" t="inlineStr">
        <is>
          <t>mg</t>
        </is>
      </c>
    </row>
    <row r="89">
      <c r="A89" t="inlineStr">
        <is>
          <t>Vitamin C, total ascorbic acid</t>
        </is>
      </c>
      <c r="B89">
        <f>Ingredientes!CP34</f>
        <v/>
      </c>
      <c r="C89" t="inlineStr">
        <is>
          <t>mg</t>
        </is>
      </c>
    </row>
    <row r="90">
      <c r="A90" t="inlineStr">
        <is>
          <t>Pantothenic acid</t>
        </is>
      </c>
      <c r="B90">
        <f>Ingredientes!CQ34</f>
        <v/>
      </c>
      <c r="C90" t="inlineStr">
        <is>
          <t>mg</t>
        </is>
      </c>
    </row>
    <row r="91">
      <c r="A91" t="inlineStr">
        <is>
          <t>Biotin</t>
        </is>
      </c>
      <c r="B91">
        <f>Ingredientes!CR34</f>
        <v/>
      </c>
      <c r="C91" t="inlineStr">
        <is>
          <t>µg</t>
        </is>
      </c>
    </row>
    <row r="92">
      <c r="A92" t="inlineStr">
        <is>
          <t>Caffeine</t>
        </is>
      </c>
      <c r="B92">
        <f>Ingredientes!CS34</f>
        <v/>
      </c>
      <c r="C92" t="inlineStr">
        <is>
          <t>mg</t>
        </is>
      </c>
    </row>
    <row r="93">
      <c r="A93" t="inlineStr">
        <is>
          <t>Theobromine</t>
        </is>
      </c>
      <c r="B93">
        <f>Ingredientes!CT34</f>
        <v/>
      </c>
      <c r="C93" t="inlineStr">
        <is>
          <t>mg</t>
        </is>
      </c>
    </row>
    <row r="94">
      <c r="A94" t="inlineStr">
        <is>
          <t>Fatty acids, total saturated</t>
        </is>
      </c>
      <c r="B94">
        <f>Ingredientes!CU34</f>
        <v/>
      </c>
      <c r="C94" t="inlineStr">
        <is>
          <t>g</t>
        </is>
      </c>
    </row>
    <row r="95">
      <c r="A95" t="inlineStr">
        <is>
          <t>SFA 4:0</t>
        </is>
      </c>
      <c r="B95">
        <f>Ingredientes!CV34</f>
        <v/>
      </c>
      <c r="C95" t="inlineStr">
        <is>
          <t>g</t>
        </is>
      </c>
    </row>
    <row r="96">
      <c r="A96" t="inlineStr">
        <is>
          <t>SFA 5:0</t>
        </is>
      </c>
      <c r="B96">
        <f>Ingredientes!CW34</f>
        <v/>
      </c>
      <c r="C96" t="inlineStr">
        <is>
          <t>g</t>
        </is>
      </c>
    </row>
    <row r="97">
      <c r="A97" t="inlineStr">
        <is>
          <t>SFA 6:0</t>
        </is>
      </c>
      <c r="B97">
        <f>Ingredientes!CX34</f>
        <v/>
      </c>
      <c r="C97" t="inlineStr">
        <is>
          <t>g</t>
        </is>
      </c>
    </row>
    <row r="98">
      <c r="A98" t="inlineStr">
        <is>
          <t>SFA 7:0</t>
        </is>
      </c>
      <c r="B98">
        <f>Ingredientes!CY34</f>
        <v/>
      </c>
      <c r="C98" t="inlineStr">
        <is>
          <t>g</t>
        </is>
      </c>
    </row>
    <row r="99">
      <c r="A99" t="inlineStr">
        <is>
          <t>SFA 8:0</t>
        </is>
      </c>
      <c r="B99">
        <f>Ingredientes!CZ34</f>
        <v/>
      </c>
      <c r="C99" t="inlineStr">
        <is>
          <t>g</t>
        </is>
      </c>
    </row>
    <row r="100">
      <c r="A100" t="inlineStr">
        <is>
          <t>SFA 9:0</t>
        </is>
      </c>
      <c r="B100">
        <f>Ingredientes!DA34</f>
        <v/>
      </c>
      <c r="C100" t="inlineStr">
        <is>
          <t>g</t>
        </is>
      </c>
    </row>
    <row r="101">
      <c r="A101" t="inlineStr">
        <is>
          <t>SFA 10:0</t>
        </is>
      </c>
      <c r="B101">
        <f>Ingredientes!DB34</f>
        <v/>
      </c>
      <c r="C101" t="inlineStr">
        <is>
          <t>g</t>
        </is>
      </c>
    </row>
    <row r="102">
      <c r="A102" t="inlineStr">
        <is>
          <t>SFA 11:0</t>
        </is>
      </c>
      <c r="B102">
        <f>Ingredientes!DC34</f>
        <v/>
      </c>
      <c r="C102" t="inlineStr">
        <is>
          <t>g</t>
        </is>
      </c>
    </row>
    <row r="103">
      <c r="A103" t="inlineStr">
        <is>
          <t>SFA 12:0</t>
        </is>
      </c>
      <c r="B103">
        <f>Ingredientes!DD34</f>
        <v/>
      </c>
      <c r="C103" t="inlineStr">
        <is>
          <t>g</t>
        </is>
      </c>
    </row>
    <row r="104">
      <c r="A104" t="inlineStr">
        <is>
          <t>SFA 13:0</t>
        </is>
      </c>
      <c r="B104">
        <f>Ingredientes!DE34</f>
        <v/>
      </c>
      <c r="C104" t="inlineStr">
        <is>
          <t>g</t>
        </is>
      </c>
    </row>
    <row r="105">
      <c r="A105" t="inlineStr">
        <is>
          <t>SFA 14:0</t>
        </is>
      </c>
      <c r="B105">
        <f>Ingredientes!DF34</f>
        <v/>
      </c>
      <c r="C105" t="inlineStr">
        <is>
          <t>g</t>
        </is>
      </c>
    </row>
    <row r="106">
      <c r="A106" t="inlineStr">
        <is>
          <t>SFA 15:0</t>
        </is>
      </c>
      <c r="B106">
        <f>Ingredientes!DG34</f>
        <v/>
      </c>
      <c r="C106" t="inlineStr">
        <is>
          <t>g</t>
        </is>
      </c>
    </row>
    <row r="107">
      <c r="A107" t="inlineStr">
        <is>
          <t>SFA 16:0</t>
        </is>
      </c>
      <c r="B107">
        <f>Ingredientes!DH34</f>
        <v/>
      </c>
      <c r="C107" t="inlineStr">
        <is>
          <t>g</t>
        </is>
      </c>
    </row>
    <row r="108">
      <c r="A108" t="inlineStr">
        <is>
          <t>SFA 17:0</t>
        </is>
      </c>
      <c r="B108">
        <f>Ingredientes!DI34</f>
        <v/>
      </c>
      <c r="C108" t="inlineStr">
        <is>
          <t>g</t>
        </is>
      </c>
    </row>
    <row r="109">
      <c r="A109" t="inlineStr">
        <is>
          <t>SFA 18:0</t>
        </is>
      </c>
      <c r="B109">
        <f>Ingredientes!DJ34</f>
        <v/>
      </c>
      <c r="C109" t="inlineStr">
        <is>
          <t>g</t>
        </is>
      </c>
    </row>
    <row r="110">
      <c r="A110" t="inlineStr">
        <is>
          <t>SFA 20:0</t>
        </is>
      </c>
      <c r="B110">
        <f>Ingredientes!DK34</f>
        <v/>
      </c>
      <c r="C110" t="inlineStr">
        <is>
          <t>g</t>
        </is>
      </c>
    </row>
    <row r="111">
      <c r="A111" t="inlineStr">
        <is>
          <t>SFA 21:0</t>
        </is>
      </c>
      <c r="B111">
        <f>Ingredientes!DL34</f>
        <v/>
      </c>
      <c r="C111" t="inlineStr">
        <is>
          <t>g</t>
        </is>
      </c>
    </row>
    <row r="112">
      <c r="A112" t="inlineStr">
        <is>
          <t>SFA 22:0</t>
        </is>
      </c>
      <c r="B112">
        <f>Ingredientes!DM34</f>
        <v/>
      </c>
      <c r="C112" t="inlineStr">
        <is>
          <t>g</t>
        </is>
      </c>
    </row>
    <row r="113">
      <c r="A113" t="inlineStr">
        <is>
          <t>SFA 23:0</t>
        </is>
      </c>
      <c r="B113">
        <f>Ingredientes!DN34</f>
        <v/>
      </c>
      <c r="C113" t="inlineStr">
        <is>
          <t>g</t>
        </is>
      </c>
    </row>
    <row r="114">
      <c r="A114" t="inlineStr">
        <is>
          <t>SFA 24:0</t>
        </is>
      </c>
      <c r="B114">
        <f>Ingredientes!DO34</f>
        <v/>
      </c>
      <c r="C114" t="inlineStr">
        <is>
          <t>g</t>
        </is>
      </c>
    </row>
    <row r="115">
      <c r="A115" t="inlineStr">
        <is>
          <t>Fatty acids, total monounsaturated</t>
        </is>
      </c>
      <c r="B115">
        <f>Ingredientes!DP34</f>
        <v/>
      </c>
      <c r="C115" t="inlineStr">
        <is>
          <t>g</t>
        </is>
      </c>
    </row>
    <row r="116">
      <c r="A116" t="inlineStr">
        <is>
          <t>MUFA 12:1</t>
        </is>
      </c>
      <c r="B116">
        <f>Ingredientes!DQ34</f>
        <v/>
      </c>
      <c r="C116" t="inlineStr">
        <is>
          <t>g</t>
        </is>
      </c>
    </row>
    <row r="117">
      <c r="A117" t="inlineStr">
        <is>
          <t>MUFA 14:1</t>
        </is>
      </c>
      <c r="B117">
        <f>Ingredientes!DR34</f>
        <v/>
      </c>
      <c r="C117" t="inlineStr">
        <is>
          <t>g</t>
        </is>
      </c>
    </row>
    <row r="118">
      <c r="A118" t="inlineStr">
        <is>
          <t>MUFA 14:1 c</t>
        </is>
      </c>
      <c r="B118">
        <f>Ingredientes!DS34</f>
        <v/>
      </c>
      <c r="C118" t="inlineStr">
        <is>
          <t>g</t>
        </is>
      </c>
    </row>
    <row r="119">
      <c r="A119" t="inlineStr">
        <is>
          <t>MUFA 15:1</t>
        </is>
      </c>
      <c r="B119">
        <f>Ingredientes!DT34</f>
        <v/>
      </c>
      <c r="C119" t="inlineStr">
        <is>
          <t>g</t>
        </is>
      </c>
    </row>
    <row r="120">
      <c r="A120" t="inlineStr">
        <is>
          <t>MUFA 16:1</t>
        </is>
      </c>
      <c r="B120">
        <f>Ingredientes!DU34</f>
        <v/>
      </c>
      <c r="C120" t="inlineStr">
        <is>
          <t>g</t>
        </is>
      </c>
    </row>
    <row r="121">
      <c r="A121" t="inlineStr">
        <is>
          <t>MUFA 16:1 c</t>
        </is>
      </c>
      <c r="B121">
        <f>Ingredientes!DV34</f>
        <v/>
      </c>
      <c r="C121" t="inlineStr">
        <is>
          <t>g</t>
        </is>
      </c>
    </row>
    <row r="122">
      <c r="A122" t="inlineStr">
        <is>
          <t>MUFA 17:1</t>
        </is>
      </c>
      <c r="B122">
        <f>Ingredientes!DW34</f>
        <v/>
      </c>
      <c r="C122" t="inlineStr">
        <is>
          <t>g</t>
        </is>
      </c>
    </row>
    <row r="123">
      <c r="A123" t="inlineStr">
        <is>
          <t>MUFA 17:1 c</t>
        </is>
      </c>
      <c r="B123">
        <f>Ingredientes!DX34</f>
        <v/>
      </c>
      <c r="C123" t="inlineStr">
        <is>
          <t>g</t>
        </is>
      </c>
    </row>
    <row r="124">
      <c r="A124" t="inlineStr">
        <is>
          <t>MUFA 18:1</t>
        </is>
      </c>
      <c r="B124">
        <f>Ingredientes!DY34</f>
        <v/>
      </c>
      <c r="C124" t="inlineStr">
        <is>
          <t>g</t>
        </is>
      </c>
    </row>
    <row r="125">
      <c r="A125" t="inlineStr">
        <is>
          <t>MUFA 18:1 c</t>
        </is>
      </c>
      <c r="B125">
        <f>Ingredientes!DZ34</f>
        <v/>
      </c>
      <c r="C125" t="inlineStr">
        <is>
          <t>g</t>
        </is>
      </c>
    </row>
    <row r="126">
      <c r="A126" t="inlineStr">
        <is>
          <t>MUFA 20:1</t>
        </is>
      </c>
      <c r="B126">
        <f>Ingredientes!EA34</f>
        <v/>
      </c>
      <c r="C126" t="inlineStr">
        <is>
          <t>g</t>
        </is>
      </c>
    </row>
    <row r="127">
      <c r="A127" t="inlineStr">
        <is>
          <t>MUFA 20:1 c</t>
        </is>
      </c>
      <c r="B127">
        <f>Ingredientes!EB34</f>
        <v/>
      </c>
      <c r="C127" t="inlineStr">
        <is>
          <t>g</t>
        </is>
      </c>
    </row>
    <row r="128">
      <c r="A128" t="inlineStr">
        <is>
          <t>MUFA 22:1</t>
        </is>
      </c>
      <c r="B128">
        <f>Ingredientes!EC34</f>
        <v/>
      </c>
      <c r="C128" t="inlineStr">
        <is>
          <t>g</t>
        </is>
      </c>
    </row>
    <row r="129">
      <c r="A129" t="inlineStr">
        <is>
          <t>MUFA 22:1 c</t>
        </is>
      </c>
      <c r="B129">
        <f>Ingredientes!ED34</f>
        <v/>
      </c>
      <c r="C129" t="inlineStr">
        <is>
          <t>g</t>
        </is>
      </c>
    </row>
    <row r="130">
      <c r="A130" t="inlineStr">
        <is>
          <t>MUFA 22:1 n-9</t>
        </is>
      </c>
      <c r="B130">
        <f>Ingredientes!EE34</f>
        <v/>
      </c>
      <c r="C130" t="inlineStr">
        <is>
          <t>g</t>
        </is>
      </c>
    </row>
    <row r="131">
      <c r="A131" t="inlineStr">
        <is>
          <t>MUFA 22:1 n-11</t>
        </is>
      </c>
      <c r="B131">
        <f>Ingredientes!EF34</f>
        <v/>
      </c>
      <c r="C131" t="inlineStr">
        <is>
          <t>g</t>
        </is>
      </c>
    </row>
    <row r="132">
      <c r="A132" t="inlineStr">
        <is>
          <t>MUFA 24:1 c</t>
        </is>
      </c>
      <c r="B132">
        <f>Ingredientes!EG34</f>
        <v/>
      </c>
      <c r="C132" t="inlineStr">
        <is>
          <t>g</t>
        </is>
      </c>
    </row>
    <row r="133">
      <c r="A133" t="inlineStr">
        <is>
          <t>Fatty acids, total polyunsaturated</t>
        </is>
      </c>
      <c r="B133">
        <f>Ingredientes!EH34</f>
        <v/>
      </c>
      <c r="C133" t="inlineStr">
        <is>
          <t>g</t>
        </is>
      </c>
    </row>
    <row r="134">
      <c r="A134" t="inlineStr">
        <is>
          <t>PUFA 18:2</t>
        </is>
      </c>
      <c r="B134">
        <f>Ingredientes!EI34</f>
        <v/>
      </c>
      <c r="C134" t="inlineStr">
        <is>
          <t>g</t>
        </is>
      </c>
    </row>
    <row r="135">
      <c r="A135" t="inlineStr">
        <is>
          <t>PUFA 18:2 c</t>
        </is>
      </c>
      <c r="B135">
        <f>Ingredientes!EJ34</f>
        <v/>
      </c>
      <c r="C135" t="inlineStr">
        <is>
          <t>g</t>
        </is>
      </c>
    </row>
    <row r="136">
      <c r="A136" t="inlineStr">
        <is>
          <t>PUFA 18:2 n-6 c,c</t>
        </is>
      </c>
      <c r="B136">
        <f>Ingredientes!EK34</f>
        <v/>
      </c>
      <c r="C136" t="inlineStr">
        <is>
          <t>g</t>
        </is>
      </c>
    </row>
    <row r="137">
      <c r="A137" t="inlineStr">
        <is>
          <t>PUFA 18:2 CLAs</t>
        </is>
      </c>
      <c r="B137">
        <f>Ingredientes!EL34</f>
        <v/>
      </c>
      <c r="C137" t="inlineStr">
        <is>
          <t>g</t>
        </is>
      </c>
    </row>
    <row r="138">
      <c r="A138" t="inlineStr">
        <is>
          <t>PUFA 18:3</t>
        </is>
      </c>
      <c r="B138">
        <f>Ingredientes!EM34</f>
        <v/>
      </c>
      <c r="C138" t="inlineStr">
        <is>
          <t>g</t>
        </is>
      </c>
    </row>
    <row r="139">
      <c r="A139" t="inlineStr">
        <is>
          <t>PUFA 18:3 c</t>
        </is>
      </c>
      <c r="B139">
        <f>Ingredientes!EN34</f>
        <v/>
      </c>
      <c r="C139" t="inlineStr">
        <is>
          <t>g</t>
        </is>
      </c>
    </row>
    <row r="140">
      <c r="A140" t="inlineStr">
        <is>
          <t>PUFA 18:3 n-3 c,c,c (ALA)</t>
        </is>
      </c>
      <c r="B140">
        <f>Ingredientes!EO34</f>
        <v/>
      </c>
      <c r="C140" t="inlineStr">
        <is>
          <t>g</t>
        </is>
      </c>
    </row>
    <row r="141">
      <c r="A141" t="inlineStr">
        <is>
          <t>PUFA 18:3 n-6 c,c,c</t>
        </is>
      </c>
      <c r="B141">
        <f>Ingredientes!EP34</f>
        <v/>
      </c>
      <c r="C141" t="inlineStr">
        <is>
          <t>g</t>
        </is>
      </c>
    </row>
    <row r="142">
      <c r="A142" t="inlineStr">
        <is>
          <t>PUFA 18:4</t>
        </is>
      </c>
      <c r="B142">
        <f>Ingredientes!EQ34</f>
        <v/>
      </c>
      <c r="C142" t="inlineStr">
        <is>
          <t>g</t>
        </is>
      </c>
    </row>
    <row r="143">
      <c r="A143" t="inlineStr">
        <is>
          <t>PUFA 20:2 c</t>
        </is>
      </c>
      <c r="B143">
        <f>Ingredientes!ER34</f>
        <v/>
      </c>
      <c r="C143" t="inlineStr">
        <is>
          <t>g</t>
        </is>
      </c>
    </row>
    <row r="144">
      <c r="A144" t="inlineStr">
        <is>
          <t>PUFA 20:2 n-6 c,c</t>
        </is>
      </c>
      <c r="B144">
        <f>Ingredientes!ES34</f>
        <v/>
      </c>
      <c r="C144" t="inlineStr">
        <is>
          <t>g</t>
        </is>
      </c>
    </row>
    <row r="145">
      <c r="A145" t="inlineStr">
        <is>
          <t>PUFA 20:3</t>
        </is>
      </c>
      <c r="B145">
        <f>Ingredientes!ET34</f>
        <v/>
      </c>
      <c r="C145" t="inlineStr">
        <is>
          <t>g</t>
        </is>
      </c>
    </row>
    <row r="146">
      <c r="A146" t="inlineStr">
        <is>
          <t>PUFA 20:3 c</t>
        </is>
      </c>
      <c r="B146">
        <f>Ingredientes!EU34</f>
        <v/>
      </c>
      <c r="C146" t="inlineStr">
        <is>
          <t>g</t>
        </is>
      </c>
    </row>
    <row r="147">
      <c r="A147" t="inlineStr">
        <is>
          <t>PUFA 20:3 n-3</t>
        </is>
      </c>
      <c r="B147">
        <f>Ingredientes!EV34</f>
        <v/>
      </c>
      <c r="C147" t="inlineStr">
        <is>
          <t>g</t>
        </is>
      </c>
    </row>
    <row r="148">
      <c r="A148" t="inlineStr">
        <is>
          <t>PUFA 20:3 n-6</t>
        </is>
      </c>
      <c r="B148">
        <f>Ingredientes!EW34</f>
        <v/>
      </c>
      <c r="C148" t="inlineStr">
        <is>
          <t>g</t>
        </is>
      </c>
    </row>
    <row r="149">
      <c r="A149" t="inlineStr">
        <is>
          <t>PUFA 20:3 n-9</t>
        </is>
      </c>
      <c r="B149">
        <f>Ingredientes!EX34</f>
        <v/>
      </c>
      <c r="C149" t="inlineStr">
        <is>
          <t>g</t>
        </is>
      </c>
    </row>
    <row r="150">
      <c r="A150" t="inlineStr">
        <is>
          <t>PUFA 20:4</t>
        </is>
      </c>
      <c r="B150">
        <f>Ingredientes!EY34</f>
        <v/>
      </c>
      <c r="C150" t="inlineStr">
        <is>
          <t>g</t>
        </is>
      </c>
    </row>
    <row r="151">
      <c r="A151" t="inlineStr">
        <is>
          <t>PUFA 20:4c</t>
        </is>
      </c>
      <c r="B151">
        <f>Ingredientes!EZ34</f>
        <v/>
      </c>
      <c r="C151" t="inlineStr">
        <is>
          <t>g</t>
        </is>
      </c>
    </row>
    <row r="152">
      <c r="A152" t="inlineStr">
        <is>
          <t>PUFA 20:5c</t>
        </is>
      </c>
      <c r="B152">
        <f>Ingredientes!FA34</f>
        <v/>
      </c>
      <c r="C152" t="inlineStr">
        <is>
          <t>g</t>
        </is>
      </c>
    </row>
    <row r="153">
      <c r="A153" t="inlineStr">
        <is>
          <t>PUFA 20:5 n-3 (EPA)</t>
        </is>
      </c>
      <c r="B153">
        <f>Ingredientes!FB34</f>
        <v/>
      </c>
      <c r="C153" t="inlineStr">
        <is>
          <t>g</t>
        </is>
      </c>
    </row>
    <row r="154">
      <c r="A154" t="inlineStr">
        <is>
          <t>PUFA 22:2</t>
        </is>
      </c>
      <c r="B154">
        <f>Ingredientes!FC34</f>
        <v/>
      </c>
      <c r="C154" t="inlineStr">
        <is>
          <t>g</t>
        </is>
      </c>
    </row>
    <row r="155">
      <c r="A155" t="inlineStr">
        <is>
          <t>PUFA 22:3</t>
        </is>
      </c>
      <c r="B155">
        <f>Ingredientes!FD34</f>
        <v/>
      </c>
      <c r="C155" t="inlineStr">
        <is>
          <t>g</t>
        </is>
      </c>
    </row>
    <row r="156">
      <c r="A156" t="inlineStr">
        <is>
          <t>PUFA 22:4</t>
        </is>
      </c>
      <c r="B156">
        <f>Ingredientes!FE34</f>
        <v/>
      </c>
      <c r="C156" t="inlineStr">
        <is>
          <t>g</t>
        </is>
      </c>
    </row>
    <row r="157">
      <c r="A157" t="inlineStr">
        <is>
          <t>PUFA 22:5 c</t>
        </is>
      </c>
      <c r="B157">
        <f>Ingredientes!FF34</f>
        <v/>
      </c>
      <c r="C157" t="inlineStr">
        <is>
          <t>g</t>
        </is>
      </c>
    </row>
    <row r="158">
      <c r="A158" t="inlineStr">
        <is>
          <t>PUFA 22:5 n-3 (DPA)</t>
        </is>
      </c>
      <c r="B158">
        <f>Ingredientes!FG34</f>
        <v/>
      </c>
      <c r="C158" t="inlineStr">
        <is>
          <t>g</t>
        </is>
      </c>
    </row>
    <row r="159">
      <c r="A159" t="inlineStr">
        <is>
          <t>PUFA 22:6 c</t>
        </is>
      </c>
      <c r="B159">
        <f>Ingredientes!FH34</f>
        <v/>
      </c>
      <c r="C159" t="inlineStr">
        <is>
          <t>g</t>
        </is>
      </c>
    </row>
    <row r="160">
      <c r="A160" t="inlineStr">
        <is>
          <t>PUFA 22:6 n-3 (DHA)</t>
        </is>
      </c>
      <c r="B160">
        <f>Ingredientes!FI34</f>
        <v/>
      </c>
      <c r="C160" t="inlineStr">
        <is>
          <t>g</t>
        </is>
      </c>
    </row>
    <row r="161">
      <c r="A161" t="inlineStr">
        <is>
          <t>Fatty acids, total trans</t>
        </is>
      </c>
      <c r="B161">
        <f>Ingredientes!FJ34</f>
        <v/>
      </c>
      <c r="C161" t="inlineStr">
        <is>
          <t>g</t>
        </is>
      </c>
    </row>
    <row r="162">
      <c r="A162" t="inlineStr">
        <is>
          <t>Fatty acids, total trans-monoenoic</t>
        </is>
      </c>
      <c r="B162">
        <f>Ingredientes!FK34</f>
        <v/>
      </c>
      <c r="C162" t="inlineStr">
        <is>
          <t>g</t>
        </is>
      </c>
    </row>
    <row r="163">
      <c r="A163" t="inlineStr">
        <is>
          <t>Fatty acids, total trans-dienoic</t>
        </is>
      </c>
      <c r="B163">
        <f>Ingredientes!FL34</f>
        <v/>
      </c>
      <c r="C163" t="inlineStr">
        <is>
          <t>g</t>
        </is>
      </c>
    </row>
    <row r="164">
      <c r="A164" t="inlineStr">
        <is>
          <t>Fatty acids, total trans-polyenoic</t>
        </is>
      </c>
      <c r="B164">
        <f>Ingredientes!FM34</f>
        <v/>
      </c>
      <c r="C164" t="inlineStr">
        <is>
          <t>g</t>
        </is>
      </c>
    </row>
    <row r="165">
      <c r="A165" t="inlineStr">
        <is>
          <t>TFA 14:1 t</t>
        </is>
      </c>
      <c r="B165">
        <f>Ingredientes!FN34</f>
        <v/>
      </c>
      <c r="C165" t="inlineStr">
        <is>
          <t>g</t>
        </is>
      </c>
    </row>
    <row r="166">
      <c r="A166" t="inlineStr">
        <is>
          <t>TFA 16:1 t</t>
        </is>
      </c>
      <c r="B166">
        <f>Ingredientes!FO34</f>
        <v/>
      </c>
      <c r="C166" t="inlineStr">
        <is>
          <t>g</t>
        </is>
      </c>
    </row>
    <row r="167">
      <c r="A167" t="inlineStr">
        <is>
          <t>TFA 18:1 t</t>
        </is>
      </c>
      <c r="B167">
        <f>Ingredientes!FP34</f>
        <v/>
      </c>
      <c r="C167" t="inlineStr">
        <is>
          <t>g</t>
        </is>
      </c>
    </row>
    <row r="168">
      <c r="A168" t="inlineStr">
        <is>
          <t>TFA 18:2 t</t>
        </is>
      </c>
      <c r="B168">
        <f>Ingredientes!FQ34</f>
        <v/>
      </c>
      <c r="C168" t="inlineStr">
        <is>
          <t>g</t>
        </is>
      </c>
    </row>
    <row r="169">
      <c r="A169" t="inlineStr">
        <is>
          <t>TFA 18:2 t,t</t>
        </is>
      </c>
      <c r="B169">
        <f>Ingredientes!FR34</f>
        <v/>
      </c>
      <c r="C169" t="inlineStr">
        <is>
          <t>g</t>
        </is>
      </c>
    </row>
    <row r="170">
      <c r="A170" t="inlineStr">
        <is>
          <t>TFA 18:2 t not further defined</t>
        </is>
      </c>
      <c r="B170">
        <f>Ingredientes!FS34</f>
        <v/>
      </c>
      <c r="C170" t="inlineStr">
        <is>
          <t>g</t>
        </is>
      </c>
    </row>
    <row r="171">
      <c r="A171" t="inlineStr">
        <is>
          <t>TFA 18:3 t</t>
        </is>
      </c>
      <c r="B171">
        <f>Ingredientes!FT34</f>
        <v/>
      </c>
      <c r="C171" t="inlineStr">
        <is>
          <t>g</t>
        </is>
      </c>
    </row>
    <row r="172">
      <c r="A172" t="inlineStr">
        <is>
          <t>TFA 20:1 t</t>
        </is>
      </c>
      <c r="B172">
        <f>Ingredientes!FU34</f>
        <v/>
      </c>
      <c r="C172" t="inlineStr">
        <is>
          <t>g</t>
        </is>
      </c>
    </row>
    <row r="173">
      <c r="A173" t="inlineStr">
        <is>
          <t>TFA 22:1 t</t>
        </is>
      </c>
      <c r="B173">
        <f>Ingredientes!FV34</f>
        <v/>
      </c>
      <c r="C173" t="inlineStr">
        <is>
          <t>g</t>
        </is>
      </c>
    </row>
    <row r="174">
      <c r="A174" t="inlineStr">
        <is>
          <t>Cholesterol</t>
        </is>
      </c>
      <c r="B174">
        <f>Ingredientes!FW34</f>
        <v/>
      </c>
      <c r="C174" t="inlineStr">
        <is>
          <t>mg</t>
        </is>
      </c>
    </row>
    <row r="175">
      <c r="A175" t="inlineStr">
        <is>
          <t>Tryptophan</t>
        </is>
      </c>
      <c r="B175">
        <f>Ingredientes!FX34</f>
        <v/>
      </c>
      <c r="C175" t="inlineStr">
        <is>
          <t>g</t>
        </is>
      </c>
    </row>
    <row r="176">
      <c r="A176" t="inlineStr">
        <is>
          <t>Threonine</t>
        </is>
      </c>
      <c r="B176">
        <f>Ingredientes!FY34</f>
        <v/>
      </c>
      <c r="C176" t="inlineStr">
        <is>
          <t>g</t>
        </is>
      </c>
    </row>
    <row r="177">
      <c r="A177" t="inlineStr">
        <is>
          <t>Isoleucine</t>
        </is>
      </c>
      <c r="B177">
        <f>Ingredientes!FZ34</f>
        <v/>
      </c>
      <c r="C177" t="inlineStr">
        <is>
          <t>g</t>
        </is>
      </c>
    </row>
    <row r="178">
      <c r="A178" t="inlineStr">
        <is>
          <t>Leucine</t>
        </is>
      </c>
      <c r="B178">
        <f>Ingredientes!GA34</f>
        <v/>
      </c>
      <c r="C178" t="inlineStr">
        <is>
          <t>g</t>
        </is>
      </c>
    </row>
    <row r="179">
      <c r="A179" t="inlineStr">
        <is>
          <t>Lysine</t>
        </is>
      </c>
      <c r="B179">
        <f>Ingredientes!GB34</f>
        <v/>
      </c>
      <c r="C179" t="inlineStr">
        <is>
          <t>g</t>
        </is>
      </c>
    </row>
    <row r="180">
      <c r="A180" t="inlineStr">
        <is>
          <t>Methionine</t>
        </is>
      </c>
      <c r="B180">
        <f>Ingredientes!GC34</f>
        <v/>
      </c>
      <c r="C180" t="inlineStr">
        <is>
          <t>g</t>
        </is>
      </c>
    </row>
    <row r="181">
      <c r="A181" t="inlineStr">
        <is>
          <t>Phenylalanine</t>
        </is>
      </c>
      <c r="B181">
        <f>Ingredientes!GD34</f>
        <v/>
      </c>
      <c r="C181" t="inlineStr">
        <is>
          <t>g</t>
        </is>
      </c>
    </row>
    <row r="182">
      <c r="A182" t="inlineStr">
        <is>
          <t>Tyrosine</t>
        </is>
      </c>
      <c r="B182">
        <f>Ingredientes!GE34</f>
        <v/>
      </c>
      <c r="C182" t="inlineStr">
        <is>
          <t>g</t>
        </is>
      </c>
    </row>
    <row r="183">
      <c r="A183" t="inlineStr">
        <is>
          <t>Valine</t>
        </is>
      </c>
      <c r="B183">
        <f>Ingredientes!GF34</f>
        <v/>
      </c>
      <c r="C183" t="inlineStr">
        <is>
          <t>g</t>
        </is>
      </c>
    </row>
    <row r="184">
      <c r="A184" t="inlineStr">
        <is>
          <t>Arginine</t>
        </is>
      </c>
      <c r="B184">
        <f>Ingredientes!GG34</f>
        <v/>
      </c>
      <c r="C184" t="inlineStr">
        <is>
          <t>g</t>
        </is>
      </c>
    </row>
    <row r="185">
      <c r="A185" t="inlineStr">
        <is>
          <t>Histidine</t>
        </is>
      </c>
      <c r="B185">
        <f>Ingredientes!GH34</f>
        <v/>
      </c>
      <c r="C185" t="inlineStr">
        <is>
          <t>g</t>
        </is>
      </c>
    </row>
    <row r="186">
      <c r="A186" t="inlineStr">
        <is>
          <t>Alanine</t>
        </is>
      </c>
      <c r="B186">
        <f>Ingredientes!GI34</f>
        <v/>
      </c>
      <c r="C186" t="inlineStr">
        <is>
          <t>g</t>
        </is>
      </c>
    </row>
    <row r="187">
      <c r="A187" t="inlineStr">
        <is>
          <t>Aspartic acid</t>
        </is>
      </c>
      <c r="B187">
        <f>Ingredientes!GJ34</f>
        <v/>
      </c>
      <c r="C187" t="inlineStr">
        <is>
          <t>g</t>
        </is>
      </c>
    </row>
    <row r="188">
      <c r="A188" t="inlineStr">
        <is>
          <t>Glutamic acid</t>
        </is>
      </c>
      <c r="B188">
        <f>Ingredientes!GK34</f>
        <v/>
      </c>
      <c r="C188" t="inlineStr">
        <is>
          <t>g</t>
        </is>
      </c>
    </row>
    <row r="189">
      <c r="A189" t="inlineStr">
        <is>
          <t>Glycine</t>
        </is>
      </c>
      <c r="B189">
        <f>Ingredientes!GL34</f>
        <v/>
      </c>
      <c r="C189" t="inlineStr">
        <is>
          <t>g</t>
        </is>
      </c>
    </row>
    <row r="190">
      <c r="A190" t="inlineStr">
        <is>
          <t>Proline</t>
        </is>
      </c>
      <c r="B190">
        <f>Ingredientes!GM34</f>
        <v/>
      </c>
      <c r="C190" t="inlineStr">
        <is>
          <t>g</t>
        </is>
      </c>
    </row>
    <row r="191">
      <c r="A191" t="inlineStr">
        <is>
          <t>Serine</t>
        </is>
      </c>
      <c r="B191">
        <f>Ingredientes!GN34</f>
        <v/>
      </c>
      <c r="C191" t="inlineStr">
        <is>
          <t>g</t>
        </is>
      </c>
    </row>
    <row r="192">
      <c r="A192" t="inlineStr">
        <is>
          <t>Hydroxyproline</t>
        </is>
      </c>
      <c r="B192">
        <f>Ingredientes!GO34</f>
        <v/>
      </c>
      <c r="C192" t="inlineStr">
        <is>
          <t>g</t>
        </is>
      </c>
    </row>
    <row r="193">
      <c r="A193" t="inlineStr">
        <is>
          <t>Cysteine</t>
        </is>
      </c>
      <c r="B193">
        <f>Ingredientes!GP34</f>
        <v/>
      </c>
      <c r="C193" t="inlineStr">
        <is>
          <t>g</t>
        </is>
      </c>
    </row>
    <row r="194">
      <c r="A194" t="inlineStr">
        <is>
          <t>Phytosterols</t>
        </is>
      </c>
      <c r="B194">
        <f>Ingredientes!GQ34</f>
        <v/>
      </c>
      <c r="C194" t="inlineStr">
        <is>
          <t>mg</t>
        </is>
      </c>
    </row>
    <row r="195">
      <c r="A195" t="inlineStr">
        <is>
          <t>Beta-sitosterol</t>
        </is>
      </c>
      <c r="B195">
        <f>Ingredientes!GR34</f>
        <v/>
      </c>
      <c r="C195" t="inlineStr">
        <is>
          <t>mg</t>
        </is>
      </c>
    </row>
    <row r="196">
      <c r="A196" t="inlineStr">
        <is>
          <t>Brassicasterol</t>
        </is>
      </c>
      <c r="B196">
        <f>Ingredientes!GS34</f>
        <v/>
      </c>
      <c r="C196" t="inlineStr">
        <is>
          <t>mg</t>
        </is>
      </c>
    </row>
    <row r="197">
      <c r="A197" t="inlineStr">
        <is>
          <t>Campesterol</t>
        </is>
      </c>
      <c r="B197">
        <f>Ingredientes!GT34</f>
        <v/>
      </c>
      <c r="C197" t="inlineStr">
        <is>
          <t>mg</t>
        </is>
      </c>
    </row>
    <row r="198">
      <c r="A198" t="inlineStr">
        <is>
          <t>Campestanol</t>
        </is>
      </c>
      <c r="B198">
        <f>Ingredientes!GU34</f>
        <v/>
      </c>
      <c r="C198" t="inlineStr">
        <is>
          <t>mg</t>
        </is>
      </c>
    </row>
    <row r="199">
      <c r="A199" t="inlineStr">
        <is>
          <t>Delta-5-avenasterol</t>
        </is>
      </c>
      <c r="B199">
        <f>Ingredientes!GV34</f>
        <v/>
      </c>
      <c r="C199" t="inlineStr">
        <is>
          <t>mg</t>
        </is>
      </c>
    </row>
    <row r="200">
      <c r="A200" t="inlineStr">
        <is>
          <t>Phytosterols, other</t>
        </is>
      </c>
      <c r="B200">
        <f>Ingredientes!GW34</f>
        <v/>
      </c>
      <c r="C200" t="inlineStr">
        <is>
          <t>mg</t>
        </is>
      </c>
    </row>
    <row r="201">
      <c r="A201" t="inlineStr">
        <is>
          <t>Stigmasterol</t>
        </is>
      </c>
      <c r="B201">
        <f>Ingredientes!GX34</f>
        <v/>
      </c>
      <c r="C201" t="inlineStr">
        <is>
          <t>mg</t>
        </is>
      </c>
    </row>
    <row r="202">
      <c r="A202" t="inlineStr">
        <is>
          <t>Beta-sitostanol</t>
        </is>
      </c>
      <c r="B202">
        <f>Ingredientes!GY34</f>
        <v/>
      </c>
      <c r="C202" t="inlineStr">
        <is>
          <t>mg</t>
        </is>
      </c>
    </row>
    <row r="203">
      <c r="A203" t="inlineStr">
        <is>
          <t>Citric acid</t>
        </is>
      </c>
      <c r="B203">
        <f>Ingredientes!GZ34</f>
        <v/>
      </c>
      <c r="C203" t="inlineStr">
        <is>
          <t>mg</t>
        </is>
      </c>
    </row>
    <row r="204">
      <c r="A204" t="inlineStr">
        <is>
          <t>Malic acid</t>
        </is>
      </c>
      <c r="B204">
        <f>Ingredientes!HA34</f>
        <v/>
      </c>
      <c r="C204" t="inlineStr">
        <is>
          <t>mg</t>
        </is>
      </c>
    </row>
    <row r="205">
      <c r="A205" t="inlineStr">
        <is>
          <t>Oxalic acid</t>
        </is>
      </c>
      <c r="B205">
        <f>Ingredientes!HB34</f>
        <v/>
      </c>
      <c r="C205" t="inlineStr">
        <is>
          <t>mg</t>
        </is>
      </c>
    </row>
    <row r="206">
      <c r="A206" t="inlineStr">
        <is>
          <t>Quinic acid</t>
        </is>
      </c>
      <c r="B206">
        <f>Ingredientes!HC34</f>
        <v/>
      </c>
      <c r="C206" t="inlineStr">
        <is>
          <t>mg</t>
        </is>
      </c>
    </row>
    <row r="207">
      <c r="A207" t="inlineStr">
        <is>
          <t>Verbascose</t>
        </is>
      </c>
      <c r="B207">
        <f>Ingredientes!HD34</f>
        <v/>
      </c>
      <c r="C207" t="inlineStr">
        <is>
          <t>g</t>
        </is>
      </c>
    </row>
    <row r="208">
      <c r="A208" t="inlineStr">
        <is>
          <t>Raffinose</t>
        </is>
      </c>
      <c r="B208">
        <f>Ingredientes!HE34</f>
        <v/>
      </c>
      <c r="C208" t="inlineStr">
        <is>
          <t>g</t>
        </is>
      </c>
    </row>
    <row r="209">
      <c r="A209" t="inlineStr">
        <is>
          <t>Stachyose</t>
        </is>
      </c>
      <c r="B209">
        <f>Ingredientes!HF34</f>
        <v/>
      </c>
      <c r="C209" t="inlineStr">
        <is>
          <t>g</t>
        </is>
      </c>
    </row>
    <row r="210">
      <c r="A210" t="inlineStr">
        <is>
          <t>Daidzin</t>
        </is>
      </c>
      <c r="B210">
        <f>Ingredientes!HG34</f>
        <v/>
      </c>
      <c r="C210" t="inlineStr">
        <is>
          <t>mg</t>
        </is>
      </c>
    </row>
    <row r="211">
      <c r="A211" t="inlineStr">
        <is>
          <t>Genistin</t>
        </is>
      </c>
      <c r="B211">
        <f>Ingredientes!HH34</f>
        <v/>
      </c>
      <c r="C211" t="inlineStr">
        <is>
          <t>mg</t>
        </is>
      </c>
    </row>
    <row r="212">
      <c r="A212" t="inlineStr">
        <is>
          <t>Glycitin</t>
        </is>
      </c>
      <c r="B212">
        <f>Ingredientes!HI34</f>
        <v/>
      </c>
      <c r="C212" t="inlineStr">
        <is>
          <t>mg</t>
        </is>
      </c>
    </row>
    <row r="213">
      <c r="A213" t="inlineStr">
        <is>
          <t>Daidzein</t>
        </is>
      </c>
      <c r="B213">
        <f>Ingredientes!HJ34</f>
        <v/>
      </c>
      <c r="C213" t="inlineStr">
        <is>
          <t>mg</t>
        </is>
      </c>
    </row>
    <row r="214">
      <c r="A214" t="inlineStr">
        <is>
          <t>Genistein</t>
        </is>
      </c>
      <c r="B214">
        <f>Ingredientes!HK34</f>
        <v/>
      </c>
      <c r="C214" t="inlineStr">
        <is>
          <t>mg</t>
        </is>
      </c>
    </row>
    <row r="215">
      <c r="A215" t="inlineStr">
        <is>
          <t>Alcohol, ethyl</t>
        </is>
      </c>
      <c r="B215">
        <f>Ingredientes!HL34</f>
        <v/>
      </c>
      <c r="C21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2025-12-19T18:56:27Z</dcterms:created>
  <dcterms:modified xsi:type="dcterms:W3CDTF">2025-12-19T18:56:27Z</dcterms:modified>
</cp:coreProperties>
</file>