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2" documentId="11_9C3D2CFC05F4D8314FDEF7B4205BDA1636430E38" xr6:coauthVersionLast="47" xr6:coauthVersionMax="47" xr10:uidLastSave="{33E78F19-268E-4A61-A77E-EB517FF48209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9" i="1"/>
  <c r="F8" i="1"/>
  <c r="F7" i="1"/>
  <c r="F6" i="1"/>
  <c r="F5" i="1"/>
  <c r="F4" i="1"/>
  <c r="F3" i="1"/>
  <c r="BY10" i="1" l="1"/>
  <c r="B72" i="2" s="1"/>
  <c r="AJ10" i="1"/>
  <c r="B31" i="2" s="1"/>
  <c r="FA10" i="1"/>
  <c r="B152" i="2" s="1"/>
  <c r="CR10" i="1"/>
  <c r="B91" i="2" s="1"/>
  <c r="AI10" i="1"/>
  <c r="B30" i="2" s="1"/>
  <c r="EZ10" i="1"/>
  <c r="B151" i="2" s="1"/>
  <c r="ED10" i="1"/>
  <c r="B129" i="2" s="1"/>
  <c r="CQ10" i="1"/>
  <c r="B90" i="2" s="1"/>
  <c r="AY10" i="1"/>
  <c r="B46" i="2" s="1"/>
  <c r="L10" i="1"/>
  <c r="B7" i="2" s="1"/>
  <c r="EY10" i="1"/>
  <c r="B150" i="2" s="1"/>
  <c r="DG10" i="1"/>
  <c r="B106" i="2" s="1"/>
  <c r="BT10" i="1"/>
  <c r="B67" i="2" s="1"/>
  <c r="AB10" i="1"/>
  <c r="B23" i="2" s="1"/>
  <c r="FO10" i="1"/>
  <c r="B166" i="2" s="1"/>
  <c r="EB10" i="1"/>
  <c r="B127" i="2" s="1"/>
  <c r="DF10" i="1"/>
  <c r="B105" i="2" s="1"/>
  <c r="AW10" i="1"/>
  <c r="B44" i="2" s="1"/>
  <c r="FN10" i="1"/>
  <c r="B165" i="2" s="1"/>
  <c r="DE10" i="1"/>
  <c r="B104" i="2" s="1"/>
  <c r="AV10" i="1"/>
  <c r="B43" i="2" s="1"/>
  <c r="FM10" i="1"/>
  <c r="B164" i="2" s="1"/>
  <c r="DD10" i="1"/>
  <c r="B103" i="2" s="1"/>
  <c r="AU10" i="1"/>
  <c r="B42" i="2" s="1"/>
  <c r="DT10" i="1"/>
  <c r="B119" i="2" s="1"/>
  <c r="BK10" i="1"/>
  <c r="B58" i="2" s="1"/>
  <c r="X10" i="1"/>
  <c r="B19" i="2" s="1"/>
  <c r="FK10" i="1"/>
  <c r="B162" i="2" s="1"/>
  <c r="CW10" i="1"/>
  <c r="B96" i="2" s="1"/>
  <c r="AN10" i="1"/>
  <c r="B35" i="2" s="1"/>
  <c r="EN10" i="1"/>
  <c r="B139" i="2" s="1"/>
  <c r="CE10" i="1"/>
  <c r="B78" i="2" s="1"/>
  <c r="Q10" i="1"/>
  <c r="B12" i="2" s="1"/>
  <c r="N10" i="1"/>
  <c r="B9" i="2" s="1"/>
  <c r="EE10" i="1"/>
  <c r="B130" i="2" s="1"/>
  <c r="DI10" i="1"/>
  <c r="B108" i="2" s="1"/>
  <c r="BV10" i="1"/>
  <c r="B69" i="2" s="1"/>
  <c r="AZ10" i="1"/>
  <c r="B47" i="2" s="1"/>
  <c r="M10" i="1"/>
  <c r="B8" i="2" s="1"/>
  <c r="FQ10" i="1"/>
  <c r="B168" i="2" s="1"/>
  <c r="DH10" i="1"/>
  <c r="B107" i="2" s="1"/>
  <c r="BU10" i="1"/>
  <c r="B68" i="2" s="1"/>
  <c r="AC10" i="1"/>
  <c r="B24" i="2" s="1"/>
  <c r="FP10" i="1"/>
  <c r="B167" i="2" s="1"/>
  <c r="EC10" i="1"/>
  <c r="B128" i="2" s="1"/>
  <c r="CK10" i="1"/>
  <c r="B84" i="2" s="1"/>
  <c r="AX10" i="1"/>
  <c r="B45" i="2" s="1"/>
  <c r="K10" i="1"/>
  <c r="B6" i="2" s="1"/>
  <c r="ES10" i="1"/>
  <c r="B144" i="2" s="1"/>
  <c r="CJ10" i="1"/>
  <c r="B83" i="2" s="1"/>
  <c r="AA10" i="1"/>
  <c r="B22" i="2" s="1"/>
  <c r="EA10" i="1"/>
  <c r="B126" i="2" s="1"/>
  <c r="BM10" i="1"/>
  <c r="B60" i="2" s="1"/>
  <c r="DU10" i="1"/>
  <c r="B120" i="2" s="1"/>
  <c r="BL10" i="1"/>
  <c r="B59" i="2" s="1"/>
  <c r="EP10" i="1"/>
  <c r="B141" i="2" s="1"/>
  <c r="DC10" i="1"/>
  <c r="B102" i="2" s="1"/>
  <c r="AO10" i="1"/>
  <c r="B36" i="2" s="1"/>
  <c r="DS10" i="1"/>
  <c r="B118" i="2" s="1"/>
  <c r="BJ10" i="1"/>
  <c r="B57" i="2" s="1"/>
  <c r="DR10" i="1"/>
  <c r="B117" i="2" s="1"/>
  <c r="BI10" i="1"/>
  <c r="B56" i="2" s="1"/>
  <c r="BS10" i="1"/>
  <c r="B66" i="2" s="1"/>
  <c r="ER10" i="1"/>
  <c r="B143" i="2" s="1"/>
  <c r="CI10" i="1"/>
  <c r="B82" i="2" s="1"/>
  <c r="Z10" i="1"/>
  <c r="B21" i="2" s="1"/>
  <c r="EQ10" i="1"/>
  <c r="B142" i="2" s="1"/>
  <c r="CH10" i="1"/>
  <c r="B81" i="2" s="1"/>
  <c r="Y10" i="1"/>
  <c r="B20" i="2" s="1"/>
  <c r="FL10" i="1"/>
  <c r="B163" i="2" s="1"/>
  <c r="CG10" i="1"/>
  <c r="B80" i="2" s="1"/>
  <c r="EO10" i="1"/>
  <c r="B140" i="2" s="1"/>
  <c r="CF10" i="1"/>
  <c r="B79" i="2" s="1"/>
  <c r="W10" i="1"/>
  <c r="B18" i="2" s="1"/>
  <c r="FE10" i="1"/>
  <c r="B156" i="2" s="1"/>
  <c r="CV10" i="1"/>
  <c r="B95" i="2" s="1"/>
  <c r="AM10" i="1"/>
  <c r="B34" i="2" s="1"/>
  <c r="BA10" i="1"/>
  <c r="B48" i="2" s="1"/>
  <c r="BW10" i="1"/>
  <c r="B70" i="2" s="1"/>
  <c r="CS10" i="1"/>
  <c r="B92" i="2" s="1"/>
  <c r="DO10" i="1"/>
  <c r="B114" i="2" s="1"/>
  <c r="EF10" i="1"/>
  <c r="B131" i="2" s="1"/>
  <c r="FB10" i="1"/>
  <c r="B153" i="2" s="1"/>
  <c r="FJ10" i="1"/>
  <c r="B161" i="2" s="1"/>
  <c r="EX10" i="1"/>
  <c r="B149" i="2" s="1"/>
  <c r="EL10" i="1"/>
  <c r="B137" i="2" s="1"/>
  <c r="DZ10" i="1"/>
  <c r="B125" i="2" s="1"/>
  <c r="DN10" i="1"/>
  <c r="B113" i="2" s="1"/>
  <c r="DB10" i="1"/>
  <c r="B101" i="2" s="1"/>
  <c r="CP10" i="1"/>
  <c r="B89" i="2" s="1"/>
  <c r="CD10" i="1"/>
  <c r="B77" i="2" s="1"/>
  <c r="BR10" i="1"/>
  <c r="B65" i="2" s="1"/>
  <c r="BF10" i="1"/>
  <c r="B53" i="2" s="1"/>
  <c r="AT10" i="1"/>
  <c r="B41" i="2" s="1"/>
  <c r="AH10" i="1"/>
  <c r="B29" i="2" s="1"/>
  <c r="V10" i="1"/>
  <c r="B17" i="2" s="1"/>
  <c r="J10" i="1"/>
  <c r="B5" i="2" s="1"/>
  <c r="FT10" i="1"/>
  <c r="B171" i="2" s="1"/>
  <c r="EV10" i="1"/>
  <c r="B147" i="2" s="1"/>
  <c r="DX10" i="1"/>
  <c r="B123" i="2" s="1"/>
  <c r="CZ10" i="1"/>
  <c r="B99" i="2" s="1"/>
  <c r="CB10" i="1"/>
  <c r="B75" i="2" s="1"/>
  <c r="BD10" i="1"/>
  <c r="B51" i="2" s="1"/>
  <c r="AR10" i="1"/>
  <c r="B39" i="2" s="1"/>
  <c r="T10" i="1"/>
  <c r="B15" i="2" s="1"/>
  <c r="H10" i="1"/>
  <c r="B3" i="2" s="1"/>
  <c r="FS10" i="1"/>
  <c r="B170" i="2" s="1"/>
  <c r="EI10" i="1"/>
  <c r="B134" i="2" s="1"/>
  <c r="DK10" i="1"/>
  <c r="B110" i="2" s="1"/>
  <c r="CM10" i="1"/>
  <c r="B86" i="2" s="1"/>
  <c r="CA10" i="1"/>
  <c r="B74" i="2" s="1"/>
  <c r="BC10" i="1"/>
  <c r="B50" i="2" s="1"/>
  <c r="AE10" i="1"/>
  <c r="B26" i="2" s="1"/>
  <c r="G10" i="1"/>
  <c r="B2" i="2" s="1"/>
  <c r="FR10" i="1"/>
  <c r="B169" i="2" s="1"/>
  <c r="ET10" i="1"/>
  <c r="B145" i="2" s="1"/>
  <c r="DV10" i="1"/>
  <c r="B121" i="2" s="1"/>
  <c r="CX10" i="1"/>
  <c r="B97" i="2" s="1"/>
  <c r="CL10" i="1"/>
  <c r="B85" i="2" s="1"/>
  <c r="BN10" i="1"/>
  <c r="B61" i="2" s="1"/>
  <c r="AP10" i="1"/>
  <c r="B37" i="2" s="1"/>
  <c r="R10" i="1"/>
  <c r="B13" i="2" s="1"/>
  <c r="FI10" i="1"/>
  <c r="B160" i="2" s="1"/>
  <c r="EW10" i="1"/>
  <c r="B148" i="2" s="1"/>
  <c r="EK10" i="1"/>
  <c r="B136" i="2" s="1"/>
  <c r="DY10" i="1"/>
  <c r="B124" i="2" s="1"/>
  <c r="DM10" i="1"/>
  <c r="B112" i="2" s="1"/>
  <c r="DA10" i="1"/>
  <c r="B100" i="2" s="1"/>
  <c r="CO10" i="1"/>
  <c r="B88" i="2" s="1"/>
  <c r="CC10" i="1"/>
  <c r="B76" i="2" s="1"/>
  <c r="BQ10" i="1"/>
  <c r="B64" i="2" s="1"/>
  <c r="BE10" i="1"/>
  <c r="B52" i="2" s="1"/>
  <c r="AS10" i="1"/>
  <c r="B40" i="2" s="1"/>
  <c r="AG10" i="1"/>
  <c r="B28" i="2" s="1"/>
  <c r="U10" i="1"/>
  <c r="B16" i="2" s="1"/>
  <c r="I10" i="1"/>
  <c r="B4" i="2" s="1"/>
  <c r="FH10" i="1"/>
  <c r="B159" i="2" s="1"/>
  <c r="EJ10" i="1"/>
  <c r="B135" i="2" s="1"/>
  <c r="DL10" i="1"/>
  <c r="B111" i="2" s="1"/>
  <c r="CN10" i="1"/>
  <c r="B87" i="2" s="1"/>
  <c r="BP10" i="1"/>
  <c r="B63" i="2" s="1"/>
  <c r="AF10" i="1"/>
  <c r="B27" i="2" s="1"/>
  <c r="FG10" i="1"/>
  <c r="B158" i="2" s="1"/>
  <c r="EU10" i="1"/>
  <c r="B146" i="2" s="1"/>
  <c r="DW10" i="1"/>
  <c r="B122" i="2" s="1"/>
  <c r="CY10" i="1"/>
  <c r="B98" i="2" s="1"/>
  <c r="BO10" i="1"/>
  <c r="B62" i="2" s="1"/>
  <c r="AQ10" i="1"/>
  <c r="B38" i="2" s="1"/>
  <c r="S10" i="1"/>
  <c r="B14" i="2" s="1"/>
  <c r="FF10" i="1"/>
  <c r="B157" i="2" s="1"/>
  <c r="EH10" i="1"/>
  <c r="B133" i="2" s="1"/>
  <c r="DJ10" i="1"/>
  <c r="B109" i="2" s="1"/>
  <c r="BZ10" i="1"/>
  <c r="B73" i="2" s="1"/>
  <c r="BB10" i="1"/>
  <c r="B49" i="2" s="1"/>
  <c r="AD10" i="1"/>
  <c r="B25" i="2" s="1"/>
  <c r="O10" i="1"/>
  <c r="B10" i="2" s="1"/>
  <c r="AK10" i="1"/>
  <c r="B32" i="2" s="1"/>
  <c r="BG10" i="1"/>
  <c r="B54" i="2" s="1"/>
  <c r="BX10" i="1"/>
  <c r="B71" i="2" s="1"/>
  <c r="CT10" i="1"/>
  <c r="B93" i="2" s="1"/>
  <c r="DP10" i="1"/>
  <c r="B115" i="2" s="1"/>
  <c r="EG10" i="1"/>
  <c r="B132" i="2" s="1"/>
  <c r="FC10" i="1"/>
  <c r="B154" i="2" s="1"/>
  <c r="P10" i="1"/>
  <c r="B11" i="2" s="1"/>
  <c r="AL10" i="1"/>
  <c r="B33" i="2" s="1"/>
  <c r="BH10" i="1"/>
  <c r="B55" i="2" s="1"/>
  <c r="CU10" i="1"/>
  <c r="B94" i="2" s="1"/>
  <c r="DQ10" i="1"/>
  <c r="B116" i="2" s="1"/>
  <c r="EM10" i="1"/>
  <c r="B138" i="2" s="1"/>
  <c r="FD10" i="1"/>
  <c r="B155" i="2" s="1"/>
</calcChain>
</file>

<file path=xl/sharedStrings.xml><?xml version="1.0" encoding="utf-8"?>
<sst xmlns="http://schemas.openxmlformats.org/spreadsheetml/2006/main" count="546" uniqueCount="372">
  <si>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</si>
  <si>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</si>
  <si>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</si>
  <si>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</si>
  <si>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</si>
  <si>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</si>
  <si>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</si>
  <si>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Phytosterols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</si>
  <si>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</si>
  <si>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</si>
  <si>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</si>
  <si>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</si>
  <si>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</si>
  <si>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</si>
  <si>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</si>
  <si>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(kcal)</t>
  </si>
  <si>
    <t>Energy (kJ)</t>
  </si>
  <si>
    <t>Nitrogen (g)</t>
  </si>
  <si>
    <t>Protein (g)</t>
  </si>
  <si>
    <t>Total lipid (fat) (g)</t>
  </si>
  <si>
    <t>Total fat (NLEA) (g)</t>
  </si>
  <si>
    <t>Ash (g)</t>
  </si>
  <si>
    <t>Energy (Atwater General Factors) (kcal)</t>
  </si>
  <si>
    <t>Energy (Atwater Specific Factors) (kcal)</t>
  </si>
  <si>
    <t>Carbohydrate, by difference (g)</t>
  </si>
  <si>
    <t>Carbohydrate, by summation (g)</t>
  </si>
  <si>
    <t>Fiber, total dietary (g)</t>
  </si>
  <si>
    <t>Sugars, Total (g)</t>
  </si>
  <si>
    <t>Sucrose (g)</t>
  </si>
  <si>
    <t>Glucose (g)</t>
  </si>
  <si>
    <t>Fructose (g)</t>
  </si>
  <si>
    <t>Lactose (g)</t>
  </si>
  <si>
    <t>Maltose (g)</t>
  </si>
  <si>
    <t>Starch (g)</t>
  </si>
  <si>
    <t>Total Sugars (g)</t>
  </si>
  <si>
    <t>Galactose (g)</t>
  </si>
  <si>
    <t>Resistant starch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</si>
  <si>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</si>
  <si>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</si>
  <si>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</si>
  <si>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</si>
  <si>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</si>
  <si>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</si>
  <si>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</si>
  <si>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</si>
  <si>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</si>
  <si>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</si>
  <si>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</si>
  <si>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Fluoride, F (µg)</t>
  </si>
  <si>
    <t>Thiamin (mg)</t>
  </si>
  <si>
    <t>Riboflavin (mg)</t>
  </si>
  <si>
    <t>Niacin (mg)</t>
  </si>
  <si>
    <t>Vitamin B-6 (mg)</t>
  </si>
  <si>
    <t>Folate, total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</si>
  <si>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</si>
  <si>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</si>
  <si>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</si>
  <si>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</si>
  <si>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</si>
  <si>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</si>
  <si>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</si>
  <si>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</si>
  <si>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</si>
  <si>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</si>
  <si>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</si>
  <si>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</si>
  <si>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</si>
  <si>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</si>
  <si>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Cryptoxanthin, beta (µg)</t>
  </si>
  <si>
    <t>Cryptoxanthin, alpha (µg)</t>
  </si>
  <si>
    <t>Lycopene (µg)</t>
  </si>
  <si>
    <t>cis-Lycopene (µg)</t>
  </si>
  <si>
    <t>trans-Lycopene (µg)</t>
  </si>
  <si>
    <t>cis-Lutein/Zeaxanthin (µg)</t>
  </si>
  <si>
    <t>Lutein (µg)</t>
  </si>
  <si>
    <t>Zeaxanthin (µg)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</si>
  <si>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</si>
  <si>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</si>
  <si>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</si>
  <si>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</si>
  <si>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</si>
  <si>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C, total ascorbic acid (mg)</t>
  </si>
  <si>
    <t>Pantothenic acid (mg)</t>
  </si>
  <si>
    <t>Folic acid (µg)</t>
  </si>
  <si>
    <t>Folate, food (µg)</t>
  </si>
  <si>
    <t>Folate, DFE (µg)</t>
  </si>
  <si>
    <t>Vitamin B-12, added (µg)</t>
  </si>
  <si>
    <t>Vitamin A, IU (IU)</t>
  </si>
  <si>
    <t>Lutein + zeaxanthin (µg)</t>
  </si>
  <si>
    <t>Vitamin E (alpha-tocopherol) (mg)</t>
  </si>
  <si>
    <t>Vitamin E, added (mg)</t>
  </si>
  <si>
    <t>Vitamin K (phylloquinone) (µg)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</si>
  <si>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</si>
  <si>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</si>
  <si>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</si>
  <si>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</si>
  <si>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</si>
  <si>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</si>
  <si>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</si>
  <si>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K (Dihydrophylloquinone) (µg)</t>
  </si>
  <si>
    <t>Vitamin K (Menaquinone-4) (µg)</t>
  </si>
  <si>
    <t>Fatty acids, total saturated (g)</t>
  </si>
  <si>
    <t>SFA 14:0 (g)</t>
  </si>
  <si>
    <t>SFA 16:0 (g)</t>
  </si>
  <si>
    <t>SFA 18:0 (g)</t>
  </si>
  <si>
    <t>Fatty acids, total monounsaturated (g)</t>
  </si>
  <si>
    <t>MUFA 16:1 c (g)</t>
  </si>
  <si>
    <t>MUFA 18:1 c (g)</t>
  </si>
  <si>
    <t>Fatty acids, total polyunsaturated (g)</t>
  </si>
  <si>
    <t>PUFA 18:2 c (g)</t>
  </si>
  <si>
    <t>PUFA 18:2 n-6 c,c (g)</t>
  </si>
  <si>
    <t>PUFA 18:3 c (g)</t>
  </si>
  <si>
    <t>PUFA 18:3 n-6 c,c,c (g)</t>
  </si>
  <si>
    <t>PUFA 20:3 c (g)</t>
  </si>
  <si>
    <t>PUFA 20:3 n-6 (g)</t>
  </si>
  <si>
    <t>Cholesterol (mg)</t>
  </si>
  <si>
    <t>SFA 4:0 (g)</t>
  </si>
  <si>
    <t>SFA 6:0 (g)</t>
  </si>
  <si>
    <t>SFA 8:0 (g)</t>
  </si>
  <si>
    <t>SFA 10:0 (g)</t>
  </si>
  <si>
    <t>SFA 12:0 (g)</t>
  </si>
  <si>
    <t>MUFA 16:1 (g)</t>
  </si>
  <si>
    <t>MUFA 18:1 (g)</t>
  </si>
  <si>
    <t>MUFA 20:1 (g)</t>
  </si>
  <si>
    <t>MUFA 22:1 (g)</t>
  </si>
  <si>
    <t>PUFA 18:2 (g)</t>
  </si>
  <si>
    <t>PUFA 18:3 (g)</t>
  </si>
  <si>
    <t>PUFA 18:4 (g)</t>
  </si>
  <si>
    <t>PUFA 20:4 (g)</t>
  </si>
  <si>
    <t>PUFA 20:5 n-3 (EPA) (g)</t>
  </si>
  <si>
    <t>PUFA 22:5 n-3 (DPA) (g)</t>
  </si>
  <si>
    <t>PUFA 22:6 n-3 (DHA) (g)</t>
  </si>
  <si>
    <t>Fatty acids, total trans (g)</t>
  </si>
  <si>
    <t>SFA 13:0 (g)</t>
  </si>
  <si>
    <t>SFA 15:0 (g)</t>
  </si>
  <si>
    <t>SFA 17:0 (g)</t>
  </si>
  <si>
    <t>SFA 20:0 (g)</t>
  </si>
  <si>
    <t>SFA 22:0 (g)</t>
  </si>
  <si>
    <t>SFA 24:0 (g)</t>
  </si>
  <si>
    <t>MUFA 14:1 (g)</t>
  </si>
  <si>
    <t>MUFA 15:1 (g)</t>
  </si>
  <si>
    <t>MUFA 17:1 (g)</t>
  </si>
  <si>
    <t>MUFA 24:1 c (g)</t>
  </si>
  <si>
    <t>PUFA 18:3 n-3 c,c,c (ALA) (g)</t>
  </si>
  <si>
    <t>PUFA 20:2 n-6 c,c (g)</t>
  </si>
  <si>
    <t>PUFA 20:3 (g)</t>
  </si>
  <si>
    <t>Fatty acids, total trans-monoenoic (g)</t>
  </si>
  <si>
    <t>TFA 18:1 t (g)</t>
  </si>
  <si>
    <t>Phytosterols (mg)</t>
  </si>
  <si>
    <t>TFA 18:2 t,t (g)</t>
  </si>
  <si>
    <t>Fatty acids, total trans-polyenoic (g)</t>
  </si>
  <si>
    <t>SFA 21:0 (g)</t>
  </si>
  <si>
    <t>MUFA 20:1 c (g)</t>
  </si>
  <si>
    <t>Tryptophan (g)</t>
  </si>
  <si>
    <t>Threonine (g)</t>
  </si>
  <si>
    <t>Isoleucine (g)</t>
  </si>
  <si>
    <t>Leucine (g)</t>
  </si>
  <si>
    <t>Lysine (g)</t>
  </si>
  <si>
    <t>Methionine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</si>
  <si>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</si>
  <si>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</si>
  <si>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</si>
  <si>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</si>
  <si>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</si>
  <si>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</si>
  <si>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</si>
  <si>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</si>
  <si>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</si>
  <si>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</si>
  <si>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</si>
  <si>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</si>
  <si>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</si>
  <si>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</si>
  <si>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</si>
  <si>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</si>
  <si>
    <t>Cystine (g)</t>
  </si>
  <si>
    <t>Stigmasterol (mg)</t>
  </si>
  <si>
    <t>Campesterol (mg)</t>
  </si>
  <si>
    <t>Beta-sitosterol (mg)</t>
  </si>
  <si>
    <t>Brassicasterol (mg)</t>
  </si>
  <si>
    <t>Campestanol (mg)</t>
  </si>
  <si>
    <t>Beta-sitostanol (mg)</t>
  </si>
  <si>
    <t>Delta-5-avenasterol (mg)</t>
  </si>
  <si>
    <t>Phytosterols, other (mg)</t>
  </si>
  <si>
    <t>Eggs, Grade A, Large, egg whole</t>
  </si>
  <si>
    <t>Foundation</t>
  </si>
  <si>
    <t>Water, bottled, generic</t>
  </si>
  <si>
    <t>SR Legacy</t>
  </si>
  <si>
    <t>Spices, cinnamon, ground</t>
  </si>
  <si>
    <t>Oil, canola</t>
  </si>
  <si>
    <t>Oil, soybean</t>
  </si>
  <si>
    <t>Salt, table</t>
  </si>
  <si>
    <t>Lentils, dry</t>
  </si>
  <si>
    <t>Total</t>
  </si>
  <si>
    <t>Formulado</t>
  </si>
  <si>
    <t>100%</t>
  </si>
  <si>
    <t>Nutriente</t>
  </si>
  <si>
    <t>Unidad</t>
  </si>
  <si>
    <t>Water</t>
  </si>
  <si>
    <t>g</t>
  </si>
  <si>
    <t>Energy</t>
  </si>
  <si>
    <t>kcal</t>
  </si>
  <si>
    <t>kJ</t>
  </si>
  <si>
    <t>Nitrogen</t>
  </si>
  <si>
    <t>Protein</t>
  </si>
  <si>
    <t>Total lipid (fat)</t>
  </si>
  <si>
    <t>Total fat (NLEA)</t>
  </si>
  <si>
    <t>Ash</t>
  </si>
  <si>
    <t>Energy (Atwater General Factors)</t>
  </si>
  <si>
    <t>Energy (Atwater Specific Factors)</t>
  </si>
  <si>
    <t>Carbohydrate, by difference</t>
  </si>
  <si>
    <t>Carbohydrate, by summation</t>
  </si>
  <si>
    <t>Fiber, total dietary</t>
  </si>
  <si>
    <t>Sugars, Total</t>
  </si>
  <si>
    <t>Sucrose</t>
  </si>
  <si>
    <t>Glucose</t>
  </si>
  <si>
    <t>Fructose</t>
  </si>
  <si>
    <t>Lactose</t>
  </si>
  <si>
    <t>Maltose</t>
  </si>
  <si>
    <t>Starch</t>
  </si>
  <si>
    <t>Total Sugars</t>
  </si>
  <si>
    <t>Galactose</t>
  </si>
  <si>
    <t>Resistant starch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</si>
  <si>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</si>
  <si>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</si>
  <si>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</si>
  <si>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</si>
  <si>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</si>
  <si>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</si>
  <si>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</si>
  <si>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</si>
  <si>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</si>
  <si>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</si>
  <si>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</si>
  <si>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</si>
  <si>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</si>
  <si>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</si>
  <si>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Thiamin</t>
  </si>
  <si>
    <t>Riboflavin</t>
  </si>
  <si>
    <t>Niacin</t>
  </si>
  <si>
    <t>Vitamin B-6</t>
  </si>
  <si>
    <t>Folate, total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</si>
  <si>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</si>
  <si>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</si>
  <si>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</si>
  <si>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</si>
  <si>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</si>
  <si>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</si>
  <si>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</si>
  <si>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</si>
  <si>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A, RAE</t>
  </si>
  <si>
    <t>Retinol</t>
  </si>
  <si>
    <t>Carotene, beta</t>
  </si>
  <si>
    <t>cis-beta-Carotene</t>
  </si>
  <si>
    <t>trans-beta-Carotene</t>
  </si>
  <si>
    <t>Carotene, alpha</t>
  </si>
  <si>
    <t>Cryptoxanthin, beta</t>
  </si>
  <si>
    <t>Cryptoxanthin, alpha</t>
  </si>
  <si>
    <t>Lycopene</t>
  </si>
  <si>
    <t>cis-Lycopene</t>
  </si>
  <si>
    <t>trans-Lycopene</t>
  </si>
  <si>
    <t>cis-Lutein/Zeaxanthin</t>
  </si>
  <si>
    <t>Lutein</t>
  </si>
  <si>
    <t>Zeaxanthin</t>
  </si>
  <si>
    <t>Vitamin D (D2 + D3), International Units</t>
  </si>
  <si>
    <t>IU</t>
  </si>
  <si>
    <t>Vitamin D (D2 + D3)</t>
  </si>
  <si>
    <t>Vitamin D2 (ergocalciferol)</t>
  </si>
  <si>
    <t>Vitamin D3 (cholecalciferol)</t>
  </si>
  <si>
    <t>25-hydroxycholecalciferol</t>
  </si>
  <si>
    <t>Vitamin C, total ascorbic acid</t>
  </si>
  <si>
    <t>Pantothenic acid</t>
  </si>
  <si>
    <t>Folic acid</t>
  </si>
  <si>
    <t>Folate, food</t>
  </si>
  <si>
    <t>Folate, DFE</t>
  </si>
  <si>
    <t>Vitamin B-12, added</t>
  </si>
  <si>
    <t>Vitamin A, IU</t>
  </si>
  <si>
    <t>Lutein + zeaxanthin</t>
  </si>
  <si>
    <t>Vitamin E (alpha-tocopherol)</t>
  </si>
  <si>
    <t>Vitamin E, added</t>
  </si>
  <si>
    <t>Vitamin K (phylloquinone)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</si>
  <si>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</si>
  <si>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</si>
  <si>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</si>
  <si>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</si>
  <si>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</si>
  <si>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</si>
  <si>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</si>
  <si>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K (Dihydrophylloquinone)</t>
  </si>
  <si>
    <t>Vitamin K (Menaquinone-4)</t>
  </si>
  <si>
    <t>Fatty acids, total saturated</t>
  </si>
  <si>
    <t>SFA 14:0</t>
  </si>
  <si>
    <t>SFA 16:0</t>
  </si>
  <si>
    <t>SFA 18:0</t>
  </si>
  <si>
    <t>Fatty acids, total monounsaturated</t>
  </si>
  <si>
    <t>MUFA 16:1 c</t>
  </si>
  <si>
    <t>MUFA 18:1 c</t>
  </si>
  <si>
    <t>Fatty acids, total polyunsaturated</t>
  </si>
  <si>
    <t>PUFA 18:2 c</t>
  </si>
  <si>
    <t>PUFA 18:2 n-6 c,c</t>
  </si>
  <si>
    <t>PUFA 18:3 c</t>
  </si>
  <si>
    <t>PUFA 18:3 n-6 c,c,c</t>
  </si>
  <si>
    <t>PUFA 20:3 c</t>
  </si>
  <si>
    <t>PUFA 20:3 n-6</t>
  </si>
  <si>
    <t>Cholesterol</t>
  </si>
  <si>
    <t>SFA 4:0</t>
  </si>
  <si>
    <t>SFA 6:0</t>
  </si>
  <si>
    <t>SFA 8:0</t>
  </si>
  <si>
    <t>SFA 10:0</t>
  </si>
  <si>
    <t>SFA 12:0</t>
  </si>
  <si>
    <t>MUFA 16:1</t>
  </si>
  <si>
    <t>MUFA 18:1</t>
  </si>
  <si>
    <t>MUFA 20:1</t>
  </si>
  <si>
    <t>MUFA 22:1</t>
  </si>
  <si>
    <t>PUFA 18:2</t>
  </si>
  <si>
    <t>PUFA 18:3</t>
  </si>
  <si>
    <t>PUFA 18:4</t>
  </si>
  <si>
    <t>PUFA 20:4</t>
  </si>
  <si>
    <t>PUFA 20:5 n-3 (EPA)</t>
  </si>
  <si>
    <t>PUFA 22:5 n-3 (DPA)</t>
  </si>
  <si>
    <t>PUFA 22:6 n-3 (DHA)</t>
  </si>
  <si>
    <t>Fatty acids, total trans</t>
  </si>
  <si>
    <t>SFA 13:0</t>
  </si>
  <si>
    <t>SFA 15:0</t>
  </si>
  <si>
    <t>SFA 17:0</t>
  </si>
  <si>
    <t>SFA 20:0</t>
  </si>
  <si>
    <t>SFA 22:0</t>
  </si>
  <si>
    <t>SFA 24:0</t>
  </si>
  <si>
    <t>MUFA 14:1</t>
  </si>
  <si>
    <t>MUFA 15:1</t>
  </si>
  <si>
    <t>MUFA 17:1</t>
  </si>
  <si>
    <t>MUFA 24:1 c</t>
  </si>
  <si>
    <t>PUFA 18:3 n-3 c,c,c (ALA)</t>
  </si>
  <si>
    <t>PUFA 20:2 n-6 c,c</t>
  </si>
  <si>
    <t>PUFA 20:3</t>
  </si>
  <si>
    <t>Fatty acids, total trans-monoenoic</t>
  </si>
  <si>
    <t>TFA 18:1 t</t>
  </si>
  <si>
    <t>TFA 18:2 t,t</t>
  </si>
  <si>
    <t>Fatty acids, total trans-polyenoic</t>
  </si>
  <si>
    <t>SFA 21:0</t>
  </si>
  <si>
    <t>MUFA 20:1 c</t>
  </si>
  <si>
    <t>Tryptophan</t>
  </si>
  <si>
    <t>Threonine</t>
  </si>
  <si>
    <t>Isoleucine</t>
  </si>
  <si>
    <t>Leucine</t>
  </si>
  <si>
    <t>Lysine</t>
  </si>
  <si>
    <t>Methionine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</si>
  <si>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</si>
  <si>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</si>
  <si>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</si>
  <si>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</si>
  <si>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</si>
  <si>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</si>
  <si>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</si>
  <si>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</si>
  <si>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</si>
  <si>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</si>
  <si>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</si>
  <si>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</si>
  <si>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</si>
  <si>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</si>
  <si>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</si>
  <si>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</si>
  <si>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Cystine</t>
  </si>
  <si>
    <t>Stigmasterol</t>
  </si>
  <si>
    <t>Campesterol</t>
  </si>
  <si>
    <t>Beta-sitosterol</t>
  </si>
  <si>
    <t>Brassicasterol</t>
  </si>
  <si>
    <t>Campestanol</t>
  </si>
  <si>
    <t>Beta-sitostanol</t>
  </si>
  <si>
    <t>Delta-5-avenasterol</t>
  </si>
  <si>
    <t>Phytosterols,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</si>
</sst>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0"/>
  <sheetViews>
    <sheetView tabSelected="1" workbookViewId="0">
      <pane xSplit="6" ySplit="2" topLeftCell="CA3" activePane="bottomRight" state="frozen"/>
      <selection pane="topRight"/>
      <selection pane="bottomLeft"/>
      <selection pane="bottomRight" activeCell="E4" sqref="E4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176" x14ac:dyDescent="0.3">
      <c r="A1" s="18" t="s">
        <v>0</v>
      </c>
      <c r="B1" s="14"/>
      <c r="C1" s="14"/>
      <c r="D1" s="14"/>
      <c r="E1" s="14"/>
      <c r="F1" s="14"/>
      <c r="G1" s="15" t="s">
        <v>1</v>
      </c>
      <c r="H1" s="14"/>
      <c r="I1" s="14"/>
      <c r="J1" s="14"/>
      <c r="K1" s="14"/>
      <c r="L1" s="14"/>
      <c r="M1" s="14"/>
      <c r="N1" s="14"/>
      <c r="O1" s="14"/>
      <c r="P1" s="14"/>
      <c r="Q1" s="21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7" t="s">
        <v>3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3" t="s">
        <v>4</v>
      </c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6" t="s">
        <v>5</v>
      </c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20" t="s">
        <v>6</v>
      </c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9" t="s">
        <v>7</v>
      </c>
      <c r="FN1" s="14"/>
      <c r="FO1" s="14"/>
      <c r="FP1" s="14"/>
      <c r="FQ1" s="14"/>
      <c r="FR1" s="14"/>
      <c r="FS1" s="14"/>
      <c r="FT1" s="14"/>
    </row>
    <row r="2" spans="1:176" x14ac:dyDescent="0.3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3" t="s">
        <v>37</v>
      </c>
      <c r="AE2" s="3" t="s">
        <v>38</v>
      </c>
      <c r="AF2" s="3" t="s">
        <v>39</v>
      </c>
      <c r="AG2" s="3" t="s">
        <v>40</v>
      </c>
      <c r="AH2" s="3" t="s">
        <v>41</v>
      </c>
      <c r="AI2" s="3" t="s">
        <v>42</v>
      </c>
      <c r="AJ2" s="3" t="s">
        <v>43</v>
      </c>
      <c r="AK2" s="3" t="s">
        <v>44</v>
      </c>
      <c r="AL2" s="3" t="s">
        <v>45</v>
      </c>
      <c r="AM2" s="3" t="s">
        <v>46</v>
      </c>
      <c r="AN2" s="3" t="s">
        <v>47</v>
      </c>
      <c r="AO2" s="3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  <c r="AX2" s="4" t="s">
        <v>57</v>
      </c>
      <c r="AY2" s="4" t="s">
        <v>58</v>
      </c>
      <c r="AZ2" s="4" t="s">
        <v>59</v>
      </c>
      <c r="BA2" s="4" t="s">
        <v>60</v>
      </c>
      <c r="BB2" s="4" t="s">
        <v>61</v>
      </c>
      <c r="BC2" s="4" t="s">
        <v>62</v>
      </c>
      <c r="BD2" s="4" t="s">
        <v>63</v>
      </c>
      <c r="BE2" s="4" t="s">
        <v>64</v>
      </c>
      <c r="BF2" s="4" t="s">
        <v>65</v>
      </c>
      <c r="BG2" s="4" t="s">
        <v>66</v>
      </c>
      <c r="BH2" s="4" t="s">
        <v>67</v>
      </c>
      <c r="BI2" s="4" t="s">
        <v>68</v>
      </c>
      <c r="BJ2" s="4" t="s">
        <v>69</v>
      </c>
      <c r="BK2" s="4" t="s">
        <v>70</v>
      </c>
      <c r="BL2" s="4" t="s">
        <v>71</v>
      </c>
      <c r="BM2" s="4" t="s">
        <v>72</v>
      </c>
      <c r="BN2" s="4" t="s">
        <v>73</v>
      </c>
      <c r="BO2" s="4" t="s">
        <v>74</v>
      </c>
      <c r="BP2" s="4" t="s">
        <v>75</v>
      </c>
      <c r="BQ2" s="4" t="s">
        <v>76</v>
      </c>
      <c r="BR2" s="4" t="s">
        <v>77</v>
      </c>
      <c r="BS2" s="4" t="s">
        <v>78</v>
      </c>
      <c r="BT2" s="4" t="s">
        <v>79</v>
      </c>
      <c r="BU2" s="4" t="s">
        <v>80</v>
      </c>
      <c r="BV2" s="4" t="s">
        <v>81</v>
      </c>
      <c r="BW2" s="4" t="s">
        <v>82</v>
      </c>
      <c r="BX2" s="4" t="s">
        <v>83</v>
      </c>
      <c r="BY2" s="4" t="s">
        <v>84</v>
      </c>
      <c r="BZ2" s="4" t="s">
        <v>85</v>
      </c>
      <c r="CA2" s="4" t="s">
        <v>86</v>
      </c>
      <c r="CB2" s="4" t="s">
        <v>87</v>
      </c>
      <c r="CC2" s="4" t="s">
        <v>88</v>
      </c>
      <c r="CD2" s="4" t="s">
        <v>89</v>
      </c>
      <c r="CE2" s="4" t="s">
        <v>90</v>
      </c>
      <c r="CF2" s="4" t="s">
        <v>91</v>
      </c>
      <c r="CG2" s="4" t="s">
        <v>92</v>
      </c>
      <c r="CH2" s="4" t="s">
        <v>93</v>
      </c>
      <c r="CI2" s="4" t="s">
        <v>94</v>
      </c>
      <c r="CJ2" s="4" t="s">
        <v>95</v>
      </c>
      <c r="CK2" s="4" t="s">
        <v>96</v>
      </c>
      <c r="CL2" s="4" t="s">
        <v>97</v>
      </c>
      <c r="CM2" s="4" t="s">
        <v>98</v>
      </c>
      <c r="CN2" s="4" t="s">
        <v>99</v>
      </c>
      <c r="CO2" s="4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5" t="s">
        <v>116</v>
      </c>
      <c r="DF2" s="5" t="s">
        <v>117</v>
      </c>
      <c r="DG2" s="5" t="s">
        <v>118</v>
      </c>
      <c r="DH2" s="5" t="s">
        <v>119</v>
      </c>
      <c r="DI2" s="5" t="s">
        <v>120</v>
      </c>
      <c r="DJ2" s="5" t="s">
        <v>121</v>
      </c>
      <c r="DK2" s="5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5" t="s">
        <v>129</v>
      </c>
      <c r="DS2" s="5" t="s">
        <v>130</v>
      </c>
      <c r="DT2" s="5" t="s">
        <v>131</v>
      </c>
      <c r="DU2" s="5" t="s">
        <v>132</v>
      </c>
      <c r="DV2" s="5" t="s">
        <v>133</v>
      </c>
      <c r="DW2" s="5" t="s">
        <v>134</v>
      </c>
      <c r="DX2" s="5" t="s">
        <v>135</v>
      </c>
      <c r="DY2" s="5" t="s">
        <v>136</v>
      </c>
      <c r="DZ2" s="5" t="s">
        <v>137</v>
      </c>
      <c r="EA2" s="5" t="s">
        <v>138</v>
      </c>
      <c r="EB2" s="5" t="s">
        <v>139</v>
      </c>
      <c r="EC2" s="5" t="s">
        <v>140</v>
      </c>
      <c r="ED2" s="5" t="s">
        <v>141</v>
      </c>
      <c r="EE2" s="5" t="s">
        <v>142</v>
      </c>
      <c r="EF2" s="5" t="s">
        <v>143</v>
      </c>
      <c r="EG2" s="5" t="s">
        <v>144</v>
      </c>
      <c r="EH2" s="5" t="s">
        <v>145</v>
      </c>
      <c r="EI2" s="5" t="s">
        <v>146</v>
      </c>
      <c r="EJ2" s="5" t="s">
        <v>147</v>
      </c>
      <c r="EK2" s="5" t="s">
        <v>148</v>
      </c>
      <c r="EL2" s="5" t="s">
        <v>149</v>
      </c>
      <c r="EM2" s="5" t="s">
        <v>150</v>
      </c>
      <c r="EN2" s="5" t="s">
        <v>151</v>
      </c>
      <c r="EO2" s="5" t="s">
        <v>152</v>
      </c>
      <c r="EP2" s="6" t="s">
        <v>153</v>
      </c>
      <c r="EQ2" s="6" t="s">
        <v>154</v>
      </c>
      <c r="ER2" s="6" t="s">
        <v>155</v>
      </c>
      <c r="ES2" s="6" t="s">
        <v>156</v>
      </c>
      <c r="ET2" s="6" t="s">
        <v>157</v>
      </c>
      <c r="EU2" s="6" t="s">
        <v>158</v>
      </c>
      <c r="EV2" s="6" t="s">
        <v>159</v>
      </c>
      <c r="EW2" s="6" t="s">
        <v>160</v>
      </c>
      <c r="EX2" s="6" t="s">
        <v>161</v>
      </c>
      <c r="EY2" s="6" t="s">
        <v>162</v>
      </c>
      <c r="EZ2" s="6" t="s">
        <v>163</v>
      </c>
      <c r="FA2" s="6" t="s">
        <v>164</v>
      </c>
      <c r="FB2" s="6" t="s">
        <v>165</v>
      </c>
      <c r="FC2" s="6" t="s">
        <v>166</v>
      </c>
      <c r="FD2" s="6" t="s">
        <v>167</v>
      </c>
      <c r="FE2" s="6" t="s">
        <v>168</v>
      </c>
      <c r="FF2" s="6" t="s">
        <v>169</v>
      </c>
      <c r="FG2" s="6" t="s">
        <v>170</v>
      </c>
      <c r="FH2" s="6" t="s">
        <v>171</v>
      </c>
      <c r="FI2" s="6" t="s">
        <v>172</v>
      </c>
      <c r="FJ2" s="6" t="s">
        <v>173</v>
      </c>
      <c r="FK2" s="6" t="s">
        <v>174</v>
      </c>
      <c r="FL2" s="6" t="s">
        <v>175</v>
      </c>
      <c r="FM2" s="7" t="s">
        <v>176</v>
      </c>
      <c r="FN2" s="7" t="s">
        <v>177</v>
      </c>
      <c r="FO2" s="7" t="s">
        <v>178</v>
      </c>
      <c r="FP2" s="7" t="s">
        <v>179</v>
      </c>
      <c r="FQ2" s="7" t="s">
        <v>180</v>
      </c>
      <c r="FR2" s="7" t="s">
        <v>181</v>
      </c>
      <c r="FS2" s="7" t="s">
        <v>182</v>
      </c>
      <c r="FT2" s="7" t="s">
        <v>183</v>
      </c>
    </row>
    <row r="3" spans="1:176" x14ac:dyDescent="0.3">
      <c r="A3">
        <v>748967</v>
      </c>
      <c r="B3" t="s">
        <v>184</v>
      </c>
      <c r="D3" t="s">
        <v>185</v>
      </c>
      <c r="E3" s="8">
        <v>1</v>
      </c>
      <c r="F3" s="9">
        <f t="shared" ref="F3:F9" si="0">E3/SUM($E$3:$E$9)</f>
        <v>4.3846215866090539E-3</v>
      </c>
      <c r="G3">
        <v>75.8</v>
      </c>
      <c r="H3">
        <v>148</v>
      </c>
      <c r="I3">
        <v>617</v>
      </c>
      <c r="J3">
        <v>1.99</v>
      </c>
      <c r="K3">
        <v>12.4</v>
      </c>
      <c r="L3">
        <v>9.9600000000000009</v>
      </c>
      <c r="M3">
        <v>8.65</v>
      </c>
      <c r="N3">
        <v>0.85</v>
      </c>
      <c r="Q3">
        <v>0.96</v>
      </c>
      <c r="R3">
        <v>0.2</v>
      </c>
      <c r="S3">
        <v>0</v>
      </c>
      <c r="T3">
        <v>0.2</v>
      </c>
      <c r="U3">
        <v>0</v>
      </c>
      <c r="V3">
        <v>0.2</v>
      </c>
      <c r="W3">
        <v>0</v>
      </c>
      <c r="X3">
        <v>0</v>
      </c>
      <c r="Y3">
        <v>0</v>
      </c>
      <c r="Z3">
        <v>0</v>
      </c>
      <c r="AD3">
        <v>48</v>
      </c>
      <c r="AE3">
        <v>1.67</v>
      </c>
      <c r="AF3">
        <v>11.4</v>
      </c>
      <c r="AG3">
        <v>184</v>
      </c>
      <c r="AH3">
        <v>132</v>
      </c>
      <c r="AI3">
        <v>129</v>
      </c>
      <c r="AJ3">
        <v>1.24</v>
      </c>
      <c r="AK3">
        <v>0</v>
      </c>
      <c r="AL3">
        <v>0</v>
      </c>
      <c r="AM3">
        <v>49.1</v>
      </c>
      <c r="AN3">
        <v>31.1</v>
      </c>
      <c r="AP3">
        <v>7.6999999999999999E-2</v>
      </c>
      <c r="AQ3">
        <v>0.41899999999999998</v>
      </c>
      <c r="AR3">
        <v>0</v>
      </c>
      <c r="AS3">
        <v>6.3E-2</v>
      </c>
      <c r="AT3">
        <v>71</v>
      </c>
      <c r="AU3">
        <v>335</v>
      </c>
      <c r="AV3">
        <v>0.6</v>
      </c>
      <c r="AW3">
        <v>309</v>
      </c>
      <c r="AX3">
        <v>0.2</v>
      </c>
      <c r="AY3">
        <v>0.2</v>
      </c>
      <c r="AZ3">
        <v>25.1</v>
      </c>
      <c r="BA3">
        <v>0.3</v>
      </c>
      <c r="BB3">
        <v>1.02</v>
      </c>
      <c r="BC3">
        <v>180</v>
      </c>
      <c r="BD3">
        <v>179</v>
      </c>
      <c r="BE3">
        <v>0</v>
      </c>
      <c r="BF3">
        <v>0</v>
      </c>
      <c r="BG3">
        <v>0</v>
      </c>
      <c r="BH3">
        <v>0</v>
      </c>
      <c r="BI3">
        <v>13</v>
      </c>
      <c r="BJ3">
        <v>13</v>
      </c>
      <c r="BK3">
        <v>0</v>
      </c>
      <c r="BL3">
        <v>0</v>
      </c>
      <c r="BM3">
        <v>0</v>
      </c>
      <c r="BN3">
        <v>57</v>
      </c>
      <c r="BO3">
        <v>230</v>
      </c>
      <c r="BP3">
        <v>229</v>
      </c>
      <c r="BQ3">
        <v>98.4</v>
      </c>
      <c r="BR3">
        <v>2.46</v>
      </c>
      <c r="BS3">
        <v>0</v>
      </c>
      <c r="BT3">
        <v>2.46</v>
      </c>
      <c r="BU3">
        <v>0.56000000000000005</v>
      </c>
      <c r="CP3">
        <v>3.2</v>
      </c>
      <c r="CQ3">
        <v>3.2000000000000001E-2</v>
      </c>
      <c r="CR3">
        <v>2.3199999999999998</v>
      </c>
      <c r="CS3">
        <v>0.81299999999999994</v>
      </c>
      <c r="CT3">
        <v>3.63</v>
      </c>
      <c r="CU3">
        <v>0.23799999999999999</v>
      </c>
      <c r="CV3">
        <v>3.35</v>
      </c>
      <c r="CW3">
        <v>1.82</v>
      </c>
      <c r="CX3">
        <v>1.46</v>
      </c>
      <c r="CY3">
        <v>1.46</v>
      </c>
      <c r="CZ3">
        <v>1.0999999999999999E-2</v>
      </c>
      <c r="DA3">
        <v>1.0999999999999999E-2</v>
      </c>
      <c r="DB3">
        <v>0.02</v>
      </c>
      <c r="DC3">
        <v>0.02</v>
      </c>
      <c r="DD3">
        <v>411</v>
      </c>
      <c r="EP3">
        <v>0.16600000000000001</v>
      </c>
      <c r="EQ3">
        <v>0.59399999999999997</v>
      </c>
      <c r="ER3">
        <v>0.61599999999999999</v>
      </c>
      <c r="ES3">
        <v>1.05</v>
      </c>
      <c r="ET3">
        <v>0.83199999999999996</v>
      </c>
      <c r="EU3">
        <v>0.41799999999999998</v>
      </c>
      <c r="EV3">
        <v>0.66</v>
      </c>
      <c r="EW3">
        <v>0.51200000000000001</v>
      </c>
      <c r="EX3">
        <v>0.73399999999999999</v>
      </c>
      <c r="EY3">
        <v>0.78700000000000003</v>
      </c>
      <c r="EZ3">
        <v>0.28299999999999997</v>
      </c>
      <c r="FA3">
        <v>0.66700000000000004</v>
      </c>
      <c r="FB3">
        <v>1.27</v>
      </c>
      <c r="FC3">
        <v>1.63</v>
      </c>
      <c r="FD3">
        <v>0.40799999999999997</v>
      </c>
      <c r="FE3">
        <v>0.56000000000000005</v>
      </c>
      <c r="FF3">
        <v>0.91900000000000004</v>
      </c>
      <c r="FG3">
        <v>0</v>
      </c>
      <c r="FH3">
        <v>0.38500000000000001</v>
      </c>
    </row>
    <row r="4" spans="1:176" x14ac:dyDescent="0.3">
      <c r="A4">
        <v>174158</v>
      </c>
      <c r="B4" t="s">
        <v>186</v>
      </c>
      <c r="D4" t="s">
        <v>187</v>
      </c>
      <c r="E4" s="8">
        <v>116.4730390055723</v>
      </c>
      <c r="F4" s="9">
        <f t="shared" si="0"/>
        <v>0.51069020108179064</v>
      </c>
      <c r="G4">
        <v>99.98</v>
      </c>
      <c r="H4">
        <v>0</v>
      </c>
      <c r="I4">
        <v>0</v>
      </c>
      <c r="K4">
        <v>0</v>
      </c>
      <c r="L4">
        <v>0</v>
      </c>
      <c r="N4">
        <v>7.0000000000000007E-2</v>
      </c>
      <c r="Q4">
        <v>0</v>
      </c>
      <c r="S4">
        <v>0</v>
      </c>
      <c r="AA4">
        <v>0</v>
      </c>
      <c r="AD4">
        <v>10</v>
      </c>
      <c r="AE4">
        <v>0</v>
      </c>
      <c r="AF4">
        <v>2</v>
      </c>
      <c r="AG4">
        <v>0</v>
      </c>
      <c r="AH4">
        <v>0</v>
      </c>
      <c r="AI4">
        <v>2</v>
      </c>
      <c r="AJ4">
        <v>0</v>
      </c>
      <c r="AK4">
        <v>7.0000000000000001E-3</v>
      </c>
      <c r="AN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BB4">
        <v>0</v>
      </c>
      <c r="BC4">
        <v>0</v>
      </c>
      <c r="BD4">
        <v>0</v>
      </c>
      <c r="BE4">
        <v>0</v>
      </c>
      <c r="BH4">
        <v>0</v>
      </c>
      <c r="BI4">
        <v>0</v>
      </c>
      <c r="BK4">
        <v>0</v>
      </c>
      <c r="BQ4">
        <v>0</v>
      </c>
      <c r="BR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P4">
        <v>0</v>
      </c>
      <c r="CQ4">
        <v>0</v>
      </c>
      <c r="CR4">
        <v>0</v>
      </c>
      <c r="CS4">
        <v>0</v>
      </c>
      <c r="CT4">
        <v>0</v>
      </c>
      <c r="CW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FI4">
        <v>0</v>
      </c>
      <c r="FJ4">
        <v>0</v>
      </c>
      <c r="FK4">
        <v>0</v>
      </c>
    </row>
    <row r="5" spans="1:176" x14ac:dyDescent="0.3">
      <c r="A5">
        <v>171320</v>
      </c>
      <c r="B5" t="s">
        <v>188</v>
      </c>
      <c r="D5" t="s">
        <v>187</v>
      </c>
      <c r="E5" s="8">
        <v>39.666666666666693</v>
      </c>
      <c r="F5" s="9">
        <f t="shared" si="0"/>
        <v>0.17392332293549259</v>
      </c>
      <c r="G5">
        <v>10.58</v>
      </c>
      <c r="H5">
        <v>247</v>
      </c>
      <c r="I5">
        <v>1035</v>
      </c>
      <c r="K5">
        <v>3.99</v>
      </c>
      <c r="L5">
        <v>1.24</v>
      </c>
      <c r="N5">
        <v>3.6</v>
      </c>
      <c r="Q5">
        <v>80.59</v>
      </c>
      <c r="S5">
        <v>53.1</v>
      </c>
      <c r="U5">
        <v>0.02</v>
      </c>
      <c r="V5">
        <v>1.04</v>
      </c>
      <c r="W5">
        <v>1.1100000000000001</v>
      </c>
      <c r="X5">
        <v>0</v>
      </c>
      <c r="Y5">
        <v>0</v>
      </c>
      <c r="AA5">
        <v>2.17</v>
      </c>
      <c r="AB5">
        <v>0</v>
      </c>
      <c r="AD5">
        <v>1002</v>
      </c>
      <c r="AE5">
        <v>8.32</v>
      </c>
      <c r="AF5">
        <v>60</v>
      </c>
      <c r="AG5">
        <v>64</v>
      </c>
      <c r="AH5">
        <v>431</v>
      </c>
      <c r="AI5">
        <v>10</v>
      </c>
      <c r="AJ5">
        <v>1.83</v>
      </c>
      <c r="AK5">
        <v>0.33900000000000002</v>
      </c>
      <c r="AL5">
        <v>17.466000000000001</v>
      </c>
      <c r="AN5">
        <v>3.1</v>
      </c>
      <c r="AP5">
        <v>2.1999999999999999E-2</v>
      </c>
      <c r="AQ5">
        <v>4.1000000000000002E-2</v>
      </c>
      <c r="AR5">
        <v>1.3320000000000001</v>
      </c>
      <c r="AS5">
        <v>0.158</v>
      </c>
      <c r="AT5">
        <v>6</v>
      </c>
      <c r="AU5">
        <v>11</v>
      </c>
      <c r="BA5">
        <v>3.9</v>
      </c>
      <c r="BB5">
        <v>0</v>
      </c>
      <c r="BC5">
        <v>15</v>
      </c>
      <c r="BD5">
        <v>0</v>
      </c>
      <c r="BE5">
        <v>112</v>
      </c>
      <c r="BH5">
        <v>1</v>
      </c>
      <c r="BI5">
        <v>129</v>
      </c>
      <c r="BK5">
        <v>15</v>
      </c>
      <c r="BQ5">
        <v>0</v>
      </c>
      <c r="BR5">
        <v>0</v>
      </c>
      <c r="BV5">
        <v>3.8</v>
      </c>
      <c r="BW5">
        <v>0.35799999999999998</v>
      </c>
      <c r="BX5">
        <v>0</v>
      </c>
      <c r="BY5">
        <v>6</v>
      </c>
      <c r="BZ5">
        <v>6</v>
      </c>
      <c r="CA5">
        <v>0</v>
      </c>
      <c r="CB5">
        <v>295</v>
      </c>
      <c r="CC5">
        <v>222</v>
      </c>
      <c r="CD5">
        <v>2.3199999999999998</v>
      </c>
      <c r="CE5">
        <v>0</v>
      </c>
      <c r="CF5">
        <v>31.2</v>
      </c>
      <c r="CG5">
        <v>0</v>
      </c>
      <c r="CH5">
        <v>10.44</v>
      </c>
      <c r="CI5">
        <v>0.26</v>
      </c>
      <c r="CJ5">
        <v>0</v>
      </c>
      <c r="CK5">
        <v>0</v>
      </c>
      <c r="CL5">
        <v>0</v>
      </c>
      <c r="CM5">
        <v>0</v>
      </c>
      <c r="CN5">
        <v>0</v>
      </c>
      <c r="CP5">
        <v>0.34499999999999997</v>
      </c>
      <c r="CQ5">
        <v>8.9999999999999993E-3</v>
      </c>
      <c r="CR5">
        <v>0.104</v>
      </c>
      <c r="CS5">
        <v>8.2000000000000003E-2</v>
      </c>
      <c r="CT5">
        <v>0.246</v>
      </c>
      <c r="CV5">
        <v>0.246</v>
      </c>
      <c r="CW5">
        <v>6.8000000000000005E-2</v>
      </c>
      <c r="DA5">
        <v>0</v>
      </c>
      <c r="DD5">
        <v>0</v>
      </c>
      <c r="DE5">
        <v>0</v>
      </c>
      <c r="DF5">
        <v>0</v>
      </c>
      <c r="DG5">
        <v>0</v>
      </c>
      <c r="DH5">
        <v>3.0000000000000001E-3</v>
      </c>
      <c r="DI5">
        <v>6.0000000000000001E-3</v>
      </c>
      <c r="DJ5">
        <v>1E-3</v>
      </c>
      <c r="DK5">
        <v>0.246</v>
      </c>
      <c r="DL5">
        <v>0</v>
      </c>
      <c r="DM5">
        <v>0</v>
      </c>
      <c r="DN5">
        <v>4.3999999999999997E-2</v>
      </c>
      <c r="DO5">
        <v>1.0999999999999999E-2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0.13600000000000001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1.0999999999999999E-2</v>
      </c>
      <c r="EG5">
        <v>0</v>
      </c>
      <c r="EH5">
        <v>0</v>
      </c>
      <c r="EI5">
        <v>0</v>
      </c>
      <c r="EJ5">
        <v>0</v>
      </c>
      <c r="EK5">
        <v>26</v>
      </c>
      <c r="EP5">
        <v>4.9000000000000002E-2</v>
      </c>
      <c r="EQ5">
        <v>0.13600000000000001</v>
      </c>
      <c r="ER5">
        <v>0.14599999999999999</v>
      </c>
      <c r="ES5">
        <v>0.253</v>
      </c>
      <c r="ET5">
        <v>0.24299999999999999</v>
      </c>
      <c r="EU5">
        <v>7.8E-2</v>
      </c>
      <c r="EV5">
        <v>0.14599999999999999</v>
      </c>
      <c r="EW5">
        <v>0.13600000000000001</v>
      </c>
      <c r="EX5">
        <v>0.224</v>
      </c>
      <c r="EY5">
        <v>0.16600000000000001</v>
      </c>
      <c r="EZ5">
        <v>0.11700000000000001</v>
      </c>
      <c r="FA5">
        <v>0.16600000000000001</v>
      </c>
      <c r="FB5">
        <v>0.438</v>
      </c>
      <c r="FC5">
        <v>0.37</v>
      </c>
      <c r="FD5">
        <v>0.19500000000000001</v>
      </c>
      <c r="FE5">
        <v>0.41899999999999998</v>
      </c>
      <c r="FF5">
        <v>0.19500000000000001</v>
      </c>
      <c r="FG5">
        <v>0</v>
      </c>
      <c r="FI5">
        <v>0</v>
      </c>
      <c r="FJ5">
        <v>0</v>
      </c>
      <c r="FK5">
        <v>0</v>
      </c>
      <c r="FL5">
        <v>5.8000000000000003E-2</v>
      </c>
    </row>
    <row r="6" spans="1:176" x14ac:dyDescent="0.3">
      <c r="A6">
        <v>172336</v>
      </c>
      <c r="B6" t="s">
        <v>189</v>
      </c>
      <c r="D6" t="s">
        <v>187</v>
      </c>
      <c r="E6" s="8">
        <v>30</v>
      </c>
      <c r="F6" s="9">
        <f t="shared" si="0"/>
        <v>0.13153864759827161</v>
      </c>
      <c r="G6">
        <v>0</v>
      </c>
      <c r="H6">
        <v>884</v>
      </c>
      <c r="I6">
        <v>3699</v>
      </c>
      <c r="K6">
        <v>0</v>
      </c>
      <c r="L6">
        <v>100</v>
      </c>
      <c r="N6">
        <v>0</v>
      </c>
      <c r="Q6">
        <v>0</v>
      </c>
      <c r="S6">
        <v>0</v>
      </c>
      <c r="AA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0.2</v>
      </c>
      <c r="BA6">
        <v>0</v>
      </c>
      <c r="BB6">
        <v>0</v>
      </c>
      <c r="BC6">
        <v>0</v>
      </c>
      <c r="BD6">
        <v>0</v>
      </c>
      <c r="BE6">
        <v>0</v>
      </c>
      <c r="BH6">
        <v>0</v>
      </c>
      <c r="BI6">
        <v>0</v>
      </c>
      <c r="BK6">
        <v>0</v>
      </c>
      <c r="BQ6">
        <v>0</v>
      </c>
      <c r="BR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17.46</v>
      </c>
      <c r="CE6">
        <v>0</v>
      </c>
      <c r="CF6">
        <v>71.3</v>
      </c>
      <c r="CG6">
        <v>0.01</v>
      </c>
      <c r="CH6">
        <v>27.34</v>
      </c>
      <c r="CI6">
        <v>0.99</v>
      </c>
      <c r="CJ6">
        <v>0.03</v>
      </c>
      <c r="CK6">
        <v>0</v>
      </c>
      <c r="CL6">
        <v>0</v>
      </c>
      <c r="CM6">
        <v>0.01</v>
      </c>
      <c r="CN6">
        <v>0</v>
      </c>
      <c r="CO6">
        <v>0</v>
      </c>
      <c r="CP6">
        <v>7.3650000000000002</v>
      </c>
      <c r="CQ6">
        <v>0</v>
      </c>
      <c r="CR6">
        <v>4.298</v>
      </c>
      <c r="CS6">
        <v>2.0870000000000002</v>
      </c>
      <c r="CT6">
        <v>63.276000000000003</v>
      </c>
      <c r="CV6">
        <v>61.713999999999999</v>
      </c>
      <c r="CW6">
        <v>28.141999999999999</v>
      </c>
      <c r="CY6">
        <v>18.64</v>
      </c>
      <c r="DA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0.214</v>
      </c>
      <c r="DK6">
        <v>61.744</v>
      </c>
      <c r="DL6">
        <v>1.3169999999999999</v>
      </c>
      <c r="DM6">
        <v>0</v>
      </c>
      <c r="DN6">
        <v>19.004999999999999</v>
      </c>
      <c r="DO6">
        <v>9.1370000000000005</v>
      </c>
      <c r="DP6">
        <v>0</v>
      </c>
      <c r="DQ6">
        <v>0</v>
      </c>
      <c r="DR6">
        <v>0</v>
      </c>
      <c r="DS6">
        <v>0</v>
      </c>
      <c r="DT6">
        <v>0</v>
      </c>
      <c r="DU6">
        <v>0.39500000000000002</v>
      </c>
      <c r="DW6">
        <v>0</v>
      </c>
      <c r="DX6">
        <v>0</v>
      </c>
      <c r="DY6">
        <v>0.65</v>
      </c>
      <c r="DZ6">
        <v>0.33</v>
      </c>
      <c r="EB6">
        <v>0</v>
      </c>
      <c r="EC6">
        <v>0</v>
      </c>
      <c r="ED6">
        <v>0</v>
      </c>
      <c r="EF6">
        <v>9.1370000000000005</v>
      </c>
      <c r="EG6">
        <v>0</v>
      </c>
      <c r="EH6">
        <v>0</v>
      </c>
      <c r="EI6">
        <v>0.03</v>
      </c>
      <c r="EJ6">
        <v>0.03</v>
      </c>
      <c r="EL6">
        <v>0.36499999999999999</v>
      </c>
      <c r="EM6">
        <v>0.36499999999999999</v>
      </c>
      <c r="FI6">
        <v>0</v>
      </c>
      <c r="FJ6">
        <v>0</v>
      </c>
      <c r="FK6">
        <v>0</v>
      </c>
      <c r="FM6">
        <v>3</v>
      </c>
      <c r="FN6">
        <v>241</v>
      </c>
      <c r="FO6">
        <v>413</v>
      </c>
    </row>
    <row r="7" spans="1:176" x14ac:dyDescent="0.3">
      <c r="A7">
        <v>748366</v>
      </c>
      <c r="B7" t="s">
        <v>190</v>
      </c>
      <c r="D7" t="s">
        <v>185</v>
      </c>
      <c r="E7" s="8">
        <v>5</v>
      </c>
      <c r="F7" s="9">
        <f t="shared" si="0"/>
        <v>2.192310793304527E-2</v>
      </c>
      <c r="M7">
        <v>94.6</v>
      </c>
      <c r="CD7">
        <v>12.2</v>
      </c>
      <c r="CG7">
        <v>1.8</v>
      </c>
      <c r="CH7">
        <v>70.400000000000006</v>
      </c>
      <c r="CI7">
        <v>22</v>
      </c>
      <c r="CJ7">
        <v>0</v>
      </c>
      <c r="CK7">
        <v>1.6</v>
      </c>
      <c r="CL7">
        <v>0</v>
      </c>
      <c r="CM7">
        <v>0</v>
      </c>
      <c r="CP7">
        <v>14.9</v>
      </c>
      <c r="CQ7">
        <v>7.4999999999999997E-2</v>
      </c>
      <c r="CR7">
        <v>10.3</v>
      </c>
      <c r="CS7">
        <v>3.71</v>
      </c>
      <c r="CT7">
        <v>22.1</v>
      </c>
      <c r="CU7">
        <v>0.08</v>
      </c>
      <c r="CV7">
        <v>21.4</v>
      </c>
      <c r="CW7">
        <v>57.6</v>
      </c>
      <c r="CX7">
        <v>50.9</v>
      </c>
      <c r="CY7">
        <v>50.9</v>
      </c>
      <c r="CZ7">
        <v>6.62</v>
      </c>
      <c r="DB7">
        <v>0</v>
      </c>
      <c r="DC7">
        <v>0</v>
      </c>
      <c r="DW7">
        <v>1.4E-2</v>
      </c>
      <c r="DX7">
        <v>8.5999999999999993E-2</v>
      </c>
      <c r="DY7">
        <v>0.29399999999999998</v>
      </c>
      <c r="DZ7">
        <v>0.30599999999999999</v>
      </c>
      <c r="EA7">
        <v>0.124</v>
      </c>
      <c r="EF7">
        <v>6.62</v>
      </c>
      <c r="EN7">
        <v>2.5000000000000001E-2</v>
      </c>
      <c r="EO7">
        <v>0.6</v>
      </c>
      <c r="FM7">
        <v>55.4</v>
      </c>
      <c r="FN7">
        <v>58</v>
      </c>
      <c r="FO7">
        <v>153</v>
      </c>
      <c r="FP7">
        <v>0</v>
      </c>
      <c r="FQ7">
        <v>2.15</v>
      </c>
      <c r="FR7">
        <v>5.62</v>
      </c>
      <c r="FS7">
        <v>10.5</v>
      </c>
      <c r="FT7">
        <v>20.8</v>
      </c>
    </row>
    <row r="8" spans="1:176" x14ac:dyDescent="0.3">
      <c r="A8">
        <v>173468</v>
      </c>
      <c r="B8" t="s">
        <v>191</v>
      </c>
      <c r="D8" t="s">
        <v>187</v>
      </c>
      <c r="E8" s="8">
        <v>3.1301471638805571</v>
      </c>
      <c r="F8" s="9">
        <f t="shared" si="0"/>
        <v>1.3724510824013799E-2</v>
      </c>
      <c r="G8">
        <v>0.2</v>
      </c>
      <c r="H8">
        <v>0</v>
      </c>
      <c r="I8">
        <v>0</v>
      </c>
      <c r="K8">
        <v>0</v>
      </c>
      <c r="L8">
        <v>0</v>
      </c>
      <c r="N8">
        <v>99.8</v>
      </c>
      <c r="Q8">
        <v>0</v>
      </c>
      <c r="S8">
        <v>0</v>
      </c>
      <c r="AA8">
        <v>0</v>
      </c>
      <c r="AD8">
        <v>24</v>
      </c>
      <c r="AE8">
        <v>0.33</v>
      </c>
      <c r="AF8">
        <v>1</v>
      </c>
      <c r="AG8">
        <v>0</v>
      </c>
      <c r="AH8">
        <v>8</v>
      </c>
      <c r="AI8">
        <v>38758</v>
      </c>
      <c r="AJ8">
        <v>0.1</v>
      </c>
      <c r="AK8">
        <v>0.03</v>
      </c>
      <c r="AL8">
        <v>0.1</v>
      </c>
      <c r="AN8">
        <v>0.1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BB8">
        <v>0</v>
      </c>
      <c r="BC8">
        <v>0</v>
      </c>
      <c r="BD8">
        <v>0</v>
      </c>
      <c r="BE8">
        <v>0</v>
      </c>
      <c r="BH8">
        <v>0</v>
      </c>
      <c r="BI8">
        <v>0</v>
      </c>
      <c r="BK8">
        <v>0</v>
      </c>
      <c r="BQ8">
        <v>0</v>
      </c>
      <c r="BR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P8">
        <v>0</v>
      </c>
      <c r="CQ8">
        <v>0</v>
      </c>
      <c r="CR8">
        <v>0</v>
      </c>
      <c r="CS8">
        <v>0</v>
      </c>
      <c r="CT8">
        <v>0</v>
      </c>
      <c r="CW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EK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I8">
        <v>0</v>
      </c>
      <c r="FJ8">
        <v>0</v>
      </c>
      <c r="FK8">
        <v>0</v>
      </c>
      <c r="FL8">
        <v>0</v>
      </c>
    </row>
    <row r="9" spans="1:176" x14ac:dyDescent="0.3">
      <c r="A9">
        <v>2644283</v>
      </c>
      <c r="B9" t="s">
        <v>192</v>
      </c>
      <c r="D9" t="s">
        <v>185</v>
      </c>
      <c r="E9" s="8">
        <v>32.800000000000011</v>
      </c>
      <c r="F9" s="9">
        <f t="shared" si="0"/>
        <v>0.14381558804077701</v>
      </c>
      <c r="G9">
        <v>9.4510000000000005</v>
      </c>
      <c r="J9">
        <v>3.7709999999999999</v>
      </c>
      <c r="K9">
        <v>23.568750000000001</v>
      </c>
      <c r="L9">
        <v>1.925</v>
      </c>
      <c r="N9">
        <v>2.8839999999999999</v>
      </c>
      <c r="O9">
        <v>360.28500000000003</v>
      </c>
      <c r="P9">
        <v>350.93279999999999</v>
      </c>
      <c r="Q9">
        <v>62.171250000000001</v>
      </c>
      <c r="Z9">
        <v>37.130000000000003</v>
      </c>
      <c r="AC9">
        <v>16</v>
      </c>
      <c r="AD9">
        <v>61.85</v>
      </c>
      <c r="AE9">
        <v>7.1580000000000004</v>
      </c>
      <c r="AF9">
        <v>106.7</v>
      </c>
      <c r="AG9">
        <v>373.6</v>
      </c>
      <c r="AH9">
        <v>948.9</v>
      </c>
      <c r="AI9">
        <v>0</v>
      </c>
      <c r="AJ9">
        <v>3.863</v>
      </c>
      <c r="AK9">
        <v>0.83760000000000001</v>
      </c>
      <c r="AL9">
        <v>1.569</v>
      </c>
    </row>
    <row r="10" spans="1:176" x14ac:dyDescent="0.3">
      <c r="A10" t="s">
        <v>193</v>
      </c>
      <c r="B10" t="s">
        <v>194</v>
      </c>
      <c r="C10" t="s">
        <v>194</v>
      </c>
      <c r="D10" t="s">
        <v>194</v>
      </c>
      <c r="E10" s="10">
        <f>SUBTOTAL(9,E3:E9)</f>
        <v>228.06985283611957</v>
      </c>
      <c r="F10" s="11" t="s">
        <v>195</v>
      </c>
      <c r="G10" s="12">
        <f>SUMPRODUCT($F$3:$F$9,$G$3:$G$9)</f>
        <v>54.593215401818092</v>
      </c>
      <c r="H10" s="12">
        <f>SUMPRODUCT($F$3:$F$9,$H$3:$H$9)</f>
        <v>159.8881492367569</v>
      </c>
      <c r="I10" s="12">
        <f>SUMPRODUCT($F$3:$F$9,$I$3:$I$9)</f>
        <v>669.27740822317924</v>
      </c>
      <c r="J10" s="12">
        <f>SUMPRODUCT($F$3:$F$9,$J$3:$J$9)</f>
        <v>0.55105397945912205</v>
      </c>
      <c r="K10" s="12">
        <f>SUMPRODUCT($F$3:$F$9,$K$3:$K$9)</f>
        <v>4.1378770068226309</v>
      </c>
      <c r="L10" s="12">
        <f>SUMPRODUCT($F$3:$F$9,$L$3:$L$9)</f>
        <v>13.690045518248294</v>
      </c>
      <c r="M10" s="12">
        <f>SUMPRODUCT($F$3:$F$9,$M$3:$M$9)</f>
        <v>2.1118529871902507</v>
      </c>
      <c r="N10" s="12">
        <f>SUMPRODUCT($F$3:$F$9,$N$3:$N$9)</f>
        <v>2.4500695411382942</v>
      </c>
      <c r="O10" s="12">
        <f>SUMPRODUCT($F$3:$F$9,$O$3:$O$9)</f>
        <v>51.814599137271351</v>
      </c>
      <c r="P10" s="12">
        <f>SUMPRODUCT($F$3:$F$9,$P$3:$P$9)</f>
        <v>50.469606994796393</v>
      </c>
      <c r="Q10" s="12">
        <f>SUMPRODUCT($F$3:$F$9,$Q$3:$Q$9)</f>
        <v>22.961884710074649</v>
      </c>
      <c r="R10" s="12">
        <f>SUMPRODUCT($F$3:$F$9,$R$3:$R$9)</f>
        <v>8.7692431732181082E-4</v>
      </c>
      <c r="S10" s="12">
        <f>SUMPRODUCT($F$3:$F$9,$S$3:$S$9)</f>
        <v>9.2353284478746573</v>
      </c>
      <c r="T10" s="12">
        <f>SUMPRODUCT($F$3:$F$9,$T$3:$T$9)</f>
        <v>8.7692431732181082E-4</v>
      </c>
      <c r="U10" s="12">
        <f>SUMPRODUCT($F$3:$F$9,$U$3:$U$9)</f>
        <v>3.4784664587098517E-3</v>
      </c>
      <c r="V10" s="12">
        <f>SUMPRODUCT($F$3:$F$9,$V$3:$V$9)</f>
        <v>0.18175718017023412</v>
      </c>
      <c r="W10" s="12">
        <f>SUMPRODUCT($F$3:$F$9,$W$3:$W$9)</f>
        <v>0.1930548884583968</v>
      </c>
      <c r="X10" s="12">
        <f>SUMPRODUCT($F$3:$F$9,$X$3:$X$9)</f>
        <v>0</v>
      </c>
      <c r="Y10" s="12">
        <f>SUMPRODUCT($F$3:$F$9,$Y$3:$Y$9)</f>
        <v>0</v>
      </c>
      <c r="Z10" s="12">
        <f>SUMPRODUCT($F$3:$F$9,$Z$3:$Z$9)</f>
        <v>5.3398727839540507</v>
      </c>
      <c r="AA10" s="12">
        <f>SUMPRODUCT($F$3:$F$9,$AA$3:$AA$9)</f>
        <v>0.37741361077001889</v>
      </c>
      <c r="AB10" s="12">
        <f>SUMPRODUCT($F$3:$F$9,$AB$3:$AB$9)</f>
        <v>0</v>
      </c>
      <c r="AC10" s="12">
        <f>SUMPRODUCT($F$3:$F$9,$AC$3:$AC$9)</f>
        <v>2.3010494086524322</v>
      </c>
      <c r="AD10" s="12">
        <f>SUMPRODUCT($F$3:$F$9,$AD$3:$AD$9)</f>
        <v>188.81291580843711</v>
      </c>
      <c r="AE10" s="12">
        <f>SUMPRODUCT($F$3:$F$9,$AE$3:$AE$9)</f>
        <v>2.488325432640742</v>
      </c>
      <c r="AF10" s="12">
        <f>SUMPRODUCT($F$3:$F$9,$AF$3:$AF$9)</f>
        <v>26.865612219155402</v>
      </c>
      <c r="AG10" s="12">
        <f>SUMPRODUCT($F$3:$F$9,$AG$3:$AG$9)</f>
        <v>65.667366731841895</v>
      </c>
      <c r="AH10" s="12">
        <f>SUMPRODUCT($F$3:$F$9,$AH$3:$AH$9)</f>
        <v>212.11612981311509</v>
      </c>
      <c r="AI10" s="12">
        <f>SUMPRODUCT($F$3:$F$9,$AI$3:$AI$9)</f>
        <v>535.26082033331795</v>
      </c>
      <c r="AJ10" s="12">
        <f>SUMPRODUCT($F$3:$F$9,$AJ$3:$AJ$9)</f>
        <v>0.88064867942326974</v>
      </c>
      <c r="AK10" s="12">
        <f>SUMPRODUCT($F$3:$F$9,$AK$3:$AK$9)</f>
        <v>0.18340650975037975</v>
      </c>
      <c r="AL10" s="12">
        <f>SUMPRODUCT($F$3:$F$9,$AL$3:$AL$9)</f>
        <v>3.2647638671096946</v>
      </c>
      <c r="AM10" s="12">
        <f>SUMPRODUCT($F$3:$F$9,$AM$3:$AM$9)</f>
        <v>0.21528491990250456</v>
      </c>
      <c r="AN10" s="12">
        <f>SUMPRODUCT($F$3:$F$9,$AN$3:$AN$9)</f>
        <v>0.67689648352596998</v>
      </c>
      <c r="AO10" s="12">
        <f>SUMPRODUCT($F$3:$F$9,$AO$3:$AO$9)</f>
        <v>2.7449021648027597E-2</v>
      </c>
      <c r="AP10" s="12">
        <f>SUMPRODUCT($F$3:$F$9,$AP$3:$AP$9)</f>
        <v>4.163928966749734E-3</v>
      </c>
      <c r="AQ10" s="12">
        <f>SUMPRODUCT($F$3:$F$9,$AQ$3:$AQ$9)</f>
        <v>8.96801268514439E-3</v>
      </c>
      <c r="AR10" s="12">
        <f>SUMPRODUCT($F$3:$F$9,$AR$3:$AR$9)</f>
        <v>0.23166586615007614</v>
      </c>
      <c r="AS10" s="12">
        <f>SUMPRODUCT($F$3:$F$9,$AS$3:$AS$9)</f>
        <v>2.7756116183764199E-2</v>
      </c>
      <c r="AT10" s="12">
        <f>SUMPRODUCT($F$3:$F$9,$AT$3:$AT$9)</f>
        <v>1.3548480702621983</v>
      </c>
      <c r="AU10" s="12">
        <f>SUMPRODUCT($F$3:$F$9,$AU$3:$AU$9)</f>
        <v>3.4083125133241063</v>
      </c>
      <c r="AV10" s="12">
        <f>SUMPRODUCT($F$3:$F$9,$AV$3:$AV$9)</f>
        <v>2.6307729519654322E-3</v>
      </c>
      <c r="AW10" s="12">
        <f>SUMPRODUCT($F$3:$F$9,$AW$3:$AW$9)</f>
        <v>1.3548480702621977</v>
      </c>
      <c r="AX10" s="12">
        <f>SUMPRODUCT($F$3:$F$9,$AX$3:$AX$9)</f>
        <v>8.7692431732181082E-4</v>
      </c>
      <c r="AY10" s="12">
        <f>SUMPRODUCT($F$3:$F$9,$AY$3:$AY$9)</f>
        <v>8.7692431732181082E-4</v>
      </c>
      <c r="AZ10" s="12">
        <f>SUMPRODUCT($F$3:$F$9,$AZ$3:$AZ$9)</f>
        <v>0.11005400182388726</v>
      </c>
      <c r="BA10" s="12">
        <f>SUMPRODUCT($F$3:$F$9,$BA$3:$BA$9)</f>
        <v>0.67961634592440379</v>
      </c>
      <c r="BB10" s="12">
        <f>SUMPRODUCT($F$3:$F$9,$BB$3:$BB$9)</f>
        <v>4.4723140183412355E-3</v>
      </c>
      <c r="BC10" s="12">
        <f>SUMPRODUCT($F$3:$F$9,$BC$3:$BC$9)</f>
        <v>3.3980817296220187</v>
      </c>
      <c r="BD10" s="12">
        <f>SUMPRODUCT($F$3:$F$9,$BD$3:$BD$9)</f>
        <v>0.78484726400302063</v>
      </c>
      <c r="BE10" s="12">
        <f>SUMPRODUCT($F$3:$F$9,$BE$3:$BE$9)</f>
        <v>19.47941216877517</v>
      </c>
      <c r="BF10" s="12">
        <f>SUMPRODUCT($F$3:$F$9,$BF$3:$BF$9)</f>
        <v>0</v>
      </c>
      <c r="BG10" s="12">
        <f>SUMPRODUCT($F$3:$F$9,$BG$3:$BG$9)</f>
        <v>0</v>
      </c>
      <c r="BH10" s="12">
        <f>SUMPRODUCT($F$3:$F$9,$BH$3:$BH$9)</f>
        <v>0.17392332293549259</v>
      </c>
      <c r="BI10" s="12">
        <f>SUMPRODUCT($F$3:$F$9,$BI$3:$BI$9)</f>
        <v>22.493108739304464</v>
      </c>
      <c r="BJ10" s="12">
        <f>SUMPRODUCT($F$3:$F$9,$BJ$3:$BJ$9)</f>
        <v>5.7000080625917701E-2</v>
      </c>
      <c r="BK10" s="12">
        <f>SUMPRODUCT($F$3:$F$9,$BK$3:$BK$9)</f>
        <v>2.6088498440323891</v>
      </c>
      <c r="BL10" s="12">
        <f>SUMPRODUCT($F$3:$F$9,$BL$3:$BL$9)</f>
        <v>0</v>
      </c>
      <c r="BM10" s="12">
        <f>SUMPRODUCT($F$3:$F$9,$BM$3:$BM$9)</f>
        <v>0</v>
      </c>
      <c r="BN10" s="12">
        <f>SUMPRODUCT($F$3:$F$9,$BN$3:$BN$9)</f>
        <v>0.24992343043671608</v>
      </c>
      <c r="BO10" s="12">
        <f>SUMPRODUCT($F$3:$F$9,$BO$3:$BO$9)</f>
        <v>1.0084629649200825</v>
      </c>
      <c r="BP10" s="12">
        <f>SUMPRODUCT($F$3:$F$9,$BP$3:$BP$9)</f>
        <v>1.0040783433334732</v>
      </c>
      <c r="BQ10" s="12">
        <f>SUMPRODUCT($F$3:$F$9,$BQ$3:$BQ$9)</f>
        <v>0.43144676412233091</v>
      </c>
      <c r="BR10" s="12">
        <f>SUMPRODUCT($F$3:$F$9,$BR$3:$BR$9)</f>
        <v>1.0786169103058272E-2</v>
      </c>
      <c r="BS10" s="12">
        <f>SUMPRODUCT($F$3:$F$9,$BS$3:$BS$9)</f>
        <v>0</v>
      </c>
      <c r="BT10" s="12">
        <f>SUMPRODUCT($F$3:$F$9,$BT$3:$BT$9)</f>
        <v>1.0786169103058272E-2</v>
      </c>
      <c r="BU10" s="12">
        <f>SUMPRODUCT($F$3:$F$9,$BU$3:$BU$9)</f>
        <v>2.4553880885010704E-3</v>
      </c>
      <c r="BV10" s="12">
        <f>SUMPRODUCT($F$3:$F$9,$BV$3:$BV$9)</f>
        <v>0.66090862715487186</v>
      </c>
      <c r="BW10" s="12">
        <f>SUMPRODUCT($F$3:$F$9,$BW$3:$BW$9)</f>
        <v>6.2264549610906342E-2</v>
      </c>
      <c r="BX10" s="12">
        <f>SUMPRODUCT($F$3:$F$9,$BX$3:$BX$9)</f>
        <v>0</v>
      </c>
      <c r="BY10" s="12">
        <f>SUMPRODUCT($F$3:$F$9,$BY$3:$BY$9)</f>
        <v>1.0435399376129555</v>
      </c>
      <c r="BZ10" s="12">
        <f>SUMPRODUCT($F$3:$F$9,$BZ$3:$BZ$9)</f>
        <v>1.0435399376129555</v>
      </c>
      <c r="CA10" s="12">
        <f>SUMPRODUCT($F$3:$F$9,$CA$3:$CA$9)</f>
        <v>0</v>
      </c>
      <c r="CB10" s="12">
        <f>SUMPRODUCT($F$3:$F$9,$CB$3:$CB$9)</f>
        <v>51.307380265970316</v>
      </c>
      <c r="CC10" s="12">
        <f>SUMPRODUCT($F$3:$F$9,$CC$3:$CC$9)</f>
        <v>38.610977691679352</v>
      </c>
      <c r="CD10" s="12">
        <f>SUMPRODUCT($F$3:$F$9,$CD$3:$CD$9)</f>
        <v>2.967628813059318</v>
      </c>
      <c r="CE10" s="12">
        <f>SUMPRODUCT($F$3:$F$9,$CE$3:$CE$9)</f>
        <v>0</v>
      </c>
      <c r="CF10" s="12">
        <f>SUMPRODUCT($F$3:$F$9,$CF$3:$CF$9)</f>
        <v>14.805113249344133</v>
      </c>
      <c r="CG10" s="12">
        <f>SUMPRODUCT($F$3:$F$9,$CG$3:$CG$9)</f>
        <v>4.0776980755464202E-2</v>
      </c>
      <c r="CH10" s="12">
        <f>SUMPRODUCT($F$3:$F$9,$CH$3:$CH$9)</f>
        <v>6.9554129152696751</v>
      </c>
      <c r="CI10" s="12">
        <f>SUMPRODUCT($F$3:$F$9,$CI$3:$CI$9)</f>
        <v>0.6577516996125129</v>
      </c>
      <c r="CJ10" s="12">
        <f>SUMPRODUCT($F$3:$F$9,$CJ$3:$CJ$9)</f>
        <v>3.9461594279481477E-3</v>
      </c>
      <c r="CK10" s="12">
        <f>SUMPRODUCT($F$3:$F$9,$CK$3:$CK$9)</f>
        <v>3.5076972692872431E-2</v>
      </c>
      <c r="CL10" s="12">
        <f>SUMPRODUCT($F$3:$F$9,$CL$3:$CL$9)</f>
        <v>0</v>
      </c>
      <c r="CM10" s="12">
        <f>SUMPRODUCT($F$3:$F$9,$CM$3:$CM$9)</f>
        <v>1.3153864759827161E-3</v>
      </c>
      <c r="CN10" s="12">
        <f>SUMPRODUCT($F$3:$F$9,$CN$3:$CN$9)</f>
        <v>0</v>
      </c>
      <c r="CO10" s="12">
        <f>SUMPRODUCT($F$3:$F$9,$CO$3:$CO$9)</f>
        <v>0</v>
      </c>
      <c r="CP10" s="12">
        <f>SUMPRODUCT($F$3:$F$9,$CP$3:$CP$9)</f>
        <v>1.3694707832535389</v>
      </c>
      <c r="CQ10" s="12">
        <f>SUMPRODUCT($F$3:$F$9,$CQ$3:$CQ$9)</f>
        <v>3.3498508921693182E-3</v>
      </c>
      <c r="CR10" s="12">
        <f>SUMPRODUCT($F$3:$F$9,$CR$3:$CR$9)</f>
        <v>0.81942146675396188</v>
      </c>
      <c r="CS10" s="12">
        <f>SUMPRODUCT($F$3:$F$9,$CS$3:$CS$9)</f>
        <v>0.37368229779981438</v>
      </c>
      <c r="CT10" s="12">
        <f>SUMPRODUCT($F$3:$F$9,$CT$3:$CT$9)</f>
        <v>8.8664414645500589</v>
      </c>
      <c r="CU10" s="12">
        <f>SUMPRODUCT($F$3:$F$9,$CU$3:$CU$9)</f>
        <v>2.7973885722565764E-3</v>
      </c>
      <c r="CV10" s="12">
        <f>SUMPRODUCT($F$3:$F$9,$CV$3:$CV$9)</f>
        <v>8.6444042274041735</v>
      </c>
      <c r="CW10" s="12">
        <f>SUMPRODUCT($F$3:$F$9,$CW$3:$CW$9)</f>
        <v>4.9843384349012094</v>
      </c>
      <c r="CX10" s="12">
        <f>SUMPRODUCT($F$3:$F$9,$CX$3:$CX$9)</f>
        <v>1.1222877413084533</v>
      </c>
      <c r="CY10" s="12">
        <f>SUMPRODUCT($F$3:$F$9,$CY$3:$CY$9)</f>
        <v>3.5741681325402368</v>
      </c>
      <c r="CZ10" s="12">
        <f>SUMPRODUCT($F$3:$F$9,$CZ$3:$CZ$9)</f>
        <v>0.14517920535421239</v>
      </c>
      <c r="DA10" s="12">
        <f>SUMPRODUCT($F$3:$F$9,$DA$3:$DA$9)</f>
        <v>4.8230837452699591E-5</v>
      </c>
      <c r="DB10" s="12">
        <f>SUMPRODUCT($F$3:$F$9,$DB$3:$DB$9)</f>
        <v>8.7692431732181079E-5</v>
      </c>
      <c r="DC10" s="12">
        <f>SUMPRODUCT($F$3:$F$9,$DC$3:$DC$9)</f>
        <v>8.7692431732181079E-5</v>
      </c>
      <c r="DD10" s="12">
        <f>SUMPRODUCT($F$3:$F$9,$DD$3:$DD$9)</f>
        <v>1.8020794720963211</v>
      </c>
      <c r="DE10" s="12">
        <f>SUMPRODUCT($F$3:$F$9,$DE$3:$DE$9)</f>
        <v>0</v>
      </c>
      <c r="DF10" s="12">
        <f>SUMPRODUCT($F$3:$F$9,$DF$3:$DF$9)</f>
        <v>0</v>
      </c>
      <c r="DG10" s="12">
        <f>SUMPRODUCT($F$3:$F$9,$DG$3:$DG$9)</f>
        <v>0</v>
      </c>
      <c r="DH10" s="12">
        <f>SUMPRODUCT($F$3:$F$9,$DH$3:$DH$9)</f>
        <v>5.217699688064778E-4</v>
      </c>
      <c r="DI10" s="12">
        <f>SUMPRODUCT($F$3:$F$9,$DI$3:$DI$9)</f>
        <v>1.0435399376129556E-3</v>
      </c>
      <c r="DJ10" s="12">
        <f>SUMPRODUCT($F$3:$F$9,$DJ$3:$DJ$9)</f>
        <v>2.8323193908965618E-2</v>
      </c>
      <c r="DK10" s="12">
        <f>SUMPRODUCT($F$3:$F$9,$DK$3:$DK$9)</f>
        <v>8.1645073947498137</v>
      </c>
      <c r="DL10" s="12">
        <f>SUMPRODUCT($F$3:$F$9,$DL$3:$DL$9)</f>
        <v>0.17323639888692369</v>
      </c>
      <c r="DM10" s="12">
        <f>SUMPRODUCT($F$3:$F$9,$DM$3:$DM$9)</f>
        <v>0</v>
      </c>
      <c r="DN10" s="12">
        <f>SUMPRODUCT($F$3:$F$9,$DN$3:$DN$9)</f>
        <v>2.5075446238143133</v>
      </c>
      <c r="DO10" s="12">
        <f>SUMPRODUCT($F$3:$F$9,$DO$3:$DO$9)</f>
        <v>1.2037817796576982</v>
      </c>
      <c r="DP10" s="12">
        <f>SUMPRODUCT($F$3:$F$9,$DP$3:$DP$9)</f>
        <v>0</v>
      </c>
      <c r="DQ10" s="12">
        <f>SUMPRODUCT($F$3:$F$9,$DQ$3:$DQ$9)</f>
        <v>0</v>
      </c>
      <c r="DR10" s="12">
        <f>SUMPRODUCT($F$3:$F$9,$DR$3:$DR$9)</f>
        <v>0</v>
      </c>
      <c r="DS10" s="12">
        <f>SUMPRODUCT($F$3:$F$9,$DS$3:$DS$9)</f>
        <v>0</v>
      </c>
      <c r="DT10" s="12">
        <f>SUMPRODUCT($F$3:$F$9,$DT$3:$DT$9)</f>
        <v>0</v>
      </c>
      <c r="DU10" s="12">
        <f>SUMPRODUCT($F$3:$F$9,$DU$3:$DU$9)</f>
        <v>5.1957765801317286E-2</v>
      </c>
      <c r="DV10" s="12">
        <f>SUMPRODUCT($F$3:$F$9,$DV$3:$DV$9)</f>
        <v>0</v>
      </c>
      <c r="DW10" s="12">
        <f>SUMPRODUCT($F$3:$F$9,$DW$3:$DW$9)</f>
        <v>3.069235110626338E-4</v>
      </c>
      <c r="DX10" s="12">
        <f>SUMPRODUCT($F$3:$F$9,$DX$3:$DX$9)</f>
        <v>2.5538959201468887E-2</v>
      </c>
      <c r="DY10" s="12">
        <f>SUMPRODUCT($F$3:$F$9,$DY$3:$DY$9)</f>
        <v>9.1945514671191858E-2</v>
      </c>
      <c r="DZ10" s="12">
        <f>SUMPRODUCT($F$3:$F$9,$DZ$3:$DZ$9)</f>
        <v>5.0116224734941484E-2</v>
      </c>
      <c r="EA10" s="12">
        <f>SUMPRODUCT($F$3:$F$9,$EA$3:$EA$9)</f>
        <v>2.7184653836976134E-3</v>
      </c>
      <c r="EB10" s="12">
        <f>SUMPRODUCT($F$3:$F$9,$EB$3:$EB$9)</f>
        <v>0</v>
      </c>
      <c r="EC10" s="12">
        <f>SUMPRODUCT($F$3:$F$9,$EC$3:$EC$9)</f>
        <v>0</v>
      </c>
      <c r="ED10" s="12">
        <f>SUMPRODUCT($F$3:$F$9,$ED$3:$ED$9)</f>
        <v>0</v>
      </c>
      <c r="EE10" s="12">
        <f>SUMPRODUCT($F$3:$F$9,$EE$3:$EE$9)</f>
        <v>0</v>
      </c>
      <c r="EF10" s="12">
        <f>SUMPRODUCT($F$3:$F$9,$EF$3:$EF$9)</f>
        <v>1.3489127541744579</v>
      </c>
      <c r="EG10" s="12">
        <f>SUMPRODUCT($F$3:$F$9,$EG$3:$EG$9)</f>
        <v>0</v>
      </c>
      <c r="EH10" s="12">
        <f>SUMPRODUCT($F$3:$F$9,$EH$3:$EH$9)</f>
        <v>0</v>
      </c>
      <c r="EI10" s="12">
        <f>SUMPRODUCT($F$3:$F$9,$EI$3:$EI$9)</f>
        <v>3.9461594279481477E-3</v>
      </c>
      <c r="EJ10" s="12">
        <f>SUMPRODUCT($F$3:$F$9,$EJ$3:$EJ$9)</f>
        <v>3.9461594279481477E-3</v>
      </c>
      <c r="EK10" s="12">
        <f>SUMPRODUCT($F$3:$F$9,$EK$3:$EK$9)</f>
        <v>4.5220063963228077</v>
      </c>
      <c r="EL10" s="12">
        <f>SUMPRODUCT($F$3:$F$9,$EL$3:$EL$9)</f>
        <v>4.8011606373369133E-2</v>
      </c>
      <c r="EM10" s="12">
        <f>SUMPRODUCT($F$3:$F$9,$EM$3:$EM$9)</f>
        <v>4.8011606373369133E-2</v>
      </c>
      <c r="EN10" s="12">
        <f>SUMPRODUCT($F$3:$F$9,$EN$3:$EN$9)</f>
        <v>5.4807769832613173E-4</v>
      </c>
      <c r="EO10" s="12">
        <f>SUMPRODUCT($F$3:$F$9,$EO$3:$EO$9)</f>
        <v>1.3153864759827162E-2</v>
      </c>
      <c r="EP10" s="12">
        <f>SUMPRODUCT($F$3:$F$9,$EP$3:$EP$9)</f>
        <v>9.2500900072162405E-3</v>
      </c>
      <c r="EQ10" s="12">
        <f>SUMPRODUCT($F$3:$F$9,$EQ$3:$EQ$9)</f>
        <v>2.6258037141672772E-2</v>
      </c>
      <c r="ER10" s="12">
        <f>SUMPRODUCT($F$3:$F$9,$ER$3:$ER$9)</f>
        <v>2.8093732045933094E-2</v>
      </c>
      <c r="ES10" s="12">
        <f>SUMPRODUCT($F$3:$F$9,$ES$3:$ES$9)</f>
        <v>4.8606453368619129E-2</v>
      </c>
      <c r="ET10" s="12">
        <f>SUMPRODUCT($F$3:$F$9,$ET$3:$ET$9)</f>
        <v>4.5911372633383435E-2</v>
      </c>
      <c r="EU10" s="12">
        <f>SUMPRODUCT($F$3:$F$9,$EU$3:$EU$9)</f>
        <v>1.5398791012171007E-2</v>
      </c>
      <c r="EV10" s="12">
        <f>SUMPRODUCT($F$3:$F$9,$EV$3:$EV$9)</f>
        <v>2.828665539574389E-2</v>
      </c>
      <c r="EW10" s="12">
        <f>SUMPRODUCT($F$3:$F$9,$EW$3:$EW$9)</f>
        <v>2.5898498171570829E-2</v>
      </c>
      <c r="EX10" s="12">
        <f>SUMPRODUCT($F$3:$F$9,$EX$3:$EX$9)</f>
        <v>4.2177136582121383E-2</v>
      </c>
      <c r="EY10" s="12">
        <f>SUMPRODUCT($F$3:$F$9,$EY$3:$EY$9)</f>
        <v>3.2321968795953102E-2</v>
      </c>
      <c r="EZ10" s="12">
        <f>SUMPRODUCT($F$3:$F$9,$EZ$3:$EZ$9)</f>
        <v>2.1589876692462998E-2</v>
      </c>
      <c r="FA10" s="12">
        <f>SUMPRODUCT($F$3:$F$9,$FA$3:$FA$9)</f>
        <v>3.1795814205560012E-2</v>
      </c>
      <c r="FB10" s="12">
        <f>SUMPRODUCT($F$3:$F$9,$FB$3:$FB$9)</f>
        <v>8.1746884860739263E-2</v>
      </c>
      <c r="FC10" s="12">
        <f>SUMPRODUCT($F$3:$F$9,$FC$3:$FC$9)</f>
        <v>7.1498562672305005E-2</v>
      </c>
      <c r="FD10" s="12">
        <f>SUMPRODUCT($F$3:$F$9,$FD$3:$FD$9)</f>
        <v>3.5703973579757547E-2</v>
      </c>
      <c r="FE10" s="12">
        <f>SUMPRODUCT($F$3:$F$9,$FE$3:$FE$9)</f>
        <v>7.5329260398472458E-2</v>
      </c>
      <c r="FF10" s="12">
        <f>SUMPRODUCT($F$3:$F$9,$FF$3:$FF$9)</f>
        <v>3.7944515210514777E-2</v>
      </c>
      <c r="FG10" s="12">
        <f>SUMPRODUCT($F$3:$F$9,$FG$3:$FG$9)</f>
        <v>0</v>
      </c>
      <c r="FH10" s="12">
        <f>SUMPRODUCT($F$3:$F$9,$FH$3:$FH$9)</f>
        <v>1.6880793108444859E-3</v>
      </c>
      <c r="FI10" s="12">
        <f>SUMPRODUCT($F$3:$F$9,$FI$3:$FI$9)</f>
        <v>0</v>
      </c>
      <c r="FJ10" s="12">
        <f>SUMPRODUCT($F$3:$F$9,$FJ$3:$FJ$9)</f>
        <v>0</v>
      </c>
      <c r="FK10" s="12">
        <f>SUMPRODUCT($F$3:$F$9,$FK$3:$FK$9)</f>
        <v>0</v>
      </c>
      <c r="FL10" s="12">
        <f>SUMPRODUCT($F$3:$F$9,$FL$3:$FL$9)</f>
        <v>1.008755273025857E-2</v>
      </c>
      <c r="FM10" s="12">
        <f>SUMPRODUCT($F$3:$F$9,$FM$3:$FM$9)</f>
        <v>1.6091561222855228</v>
      </c>
      <c r="FN10" s="12">
        <f>SUMPRODUCT($F$3:$F$9,$FN$3:$FN$9)</f>
        <v>32.972354331300082</v>
      </c>
      <c r="FO10" s="12">
        <f>SUMPRODUCT($F$3:$F$9,$FO$3:$FO$9)</f>
        <v>57.679696971842098</v>
      </c>
      <c r="FP10" s="12">
        <f>SUMPRODUCT($F$3:$F$9,$FP$3:$FP$9)</f>
        <v>0</v>
      </c>
      <c r="FQ10" s="12">
        <f>SUMPRODUCT($F$3:$F$9,$FQ$3:$FQ$9)</f>
        <v>4.7134682056047331E-2</v>
      </c>
      <c r="FR10" s="12">
        <f>SUMPRODUCT($F$3:$F$9,$FR$3:$FR$9)</f>
        <v>0.12320786658371442</v>
      </c>
      <c r="FS10" s="12">
        <f>SUMPRODUCT($F$3:$F$9,$FS$3:$FS$9)</f>
        <v>0.23019263329697534</v>
      </c>
      <c r="FT10" s="12">
        <f>SUMPRODUCT($F$3:$F$9,$FT$3:$FT$9)</f>
        <v>0.45600064500734161</v>
      </c>
    </row>
  </sheetData>
  <mergeCells count="8">
    <mergeCell ref="FM1:FT1"/>
    <mergeCell ref="EP1:FL1"/>
    <mergeCell ref="Q1:AC1"/>
    <mergeCell ref="AP1:CO1"/>
    <mergeCell ref="G1:P1"/>
    <mergeCell ref="CP1:EO1"/>
    <mergeCell ref="AD1:AO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1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196</v>
      </c>
      <c r="B1" s="7" t="s">
        <v>193</v>
      </c>
      <c r="C1" s="7" t="s">
        <v>197</v>
      </c>
    </row>
    <row r="2" spans="1:3" x14ac:dyDescent="0.3">
      <c r="A2" t="s">
        <v>198</v>
      </c>
      <c r="B2">
        <f>Ingredientes!G10</f>
        <v>54.593215401818092</v>
      </c>
      <c r="C2" t="s">
        <v>199</v>
      </c>
    </row>
    <row r="3" spans="1:3" x14ac:dyDescent="0.3">
      <c r="A3" t="s">
        <v>200</v>
      </c>
      <c r="B3">
        <f>Ingredientes!H10</f>
        <v>159.8881492367569</v>
      </c>
      <c r="C3" t="s">
        <v>201</v>
      </c>
    </row>
    <row r="4" spans="1:3" x14ac:dyDescent="0.3">
      <c r="A4" t="s">
        <v>200</v>
      </c>
      <c r="B4">
        <f>Ingredientes!I10</f>
        <v>669.27740822317924</v>
      </c>
      <c r="C4" t="s">
        <v>202</v>
      </c>
    </row>
    <row r="5" spans="1:3" x14ac:dyDescent="0.3">
      <c r="A5" t="s">
        <v>203</v>
      </c>
      <c r="B5">
        <f>Ingredientes!J10</f>
        <v>0.55105397945912205</v>
      </c>
      <c r="C5" t="s">
        <v>199</v>
      </c>
    </row>
    <row r="6" spans="1:3" x14ac:dyDescent="0.3">
      <c r="A6" t="s">
        <v>204</v>
      </c>
      <c r="B6">
        <f>Ingredientes!K10</f>
        <v>4.1378770068226309</v>
      </c>
      <c r="C6" t="s">
        <v>199</v>
      </c>
    </row>
    <row r="7" spans="1:3" x14ac:dyDescent="0.3">
      <c r="A7" t="s">
        <v>205</v>
      </c>
      <c r="B7">
        <f>Ingredientes!L10</f>
        <v>13.690045518248294</v>
      </c>
      <c r="C7" t="s">
        <v>199</v>
      </c>
    </row>
    <row r="8" spans="1:3" x14ac:dyDescent="0.3">
      <c r="A8" t="s">
        <v>206</v>
      </c>
      <c r="B8">
        <f>Ingredientes!M10</f>
        <v>2.1118529871902507</v>
      </c>
      <c r="C8" t="s">
        <v>199</v>
      </c>
    </row>
    <row r="9" spans="1:3" x14ac:dyDescent="0.3">
      <c r="A9" t="s">
        <v>207</v>
      </c>
      <c r="B9">
        <f>Ingredientes!N10</f>
        <v>2.4500695411382942</v>
      </c>
      <c r="C9" t="s">
        <v>199</v>
      </c>
    </row>
    <row r="10" spans="1:3" x14ac:dyDescent="0.3">
      <c r="A10" t="s">
        <v>208</v>
      </c>
      <c r="B10">
        <f>Ingredientes!O10</f>
        <v>51.814599137271351</v>
      </c>
      <c r="C10" t="s">
        <v>201</v>
      </c>
    </row>
    <row r="11" spans="1:3" x14ac:dyDescent="0.3">
      <c r="A11" t="s">
        <v>209</v>
      </c>
      <c r="B11">
        <f>Ingredientes!P10</f>
        <v>50.469606994796393</v>
      </c>
      <c r="C11" t="s">
        <v>201</v>
      </c>
    </row>
    <row r="12" spans="1:3" x14ac:dyDescent="0.3">
      <c r="A12" t="s">
        <v>210</v>
      </c>
      <c r="B12">
        <f>Ingredientes!Q10</f>
        <v>22.961884710074649</v>
      </c>
      <c r="C12" t="s">
        <v>199</v>
      </c>
    </row>
    <row r="13" spans="1:3" x14ac:dyDescent="0.3">
      <c r="A13" t="s">
        <v>211</v>
      </c>
      <c r="B13">
        <f>Ingredientes!R10</f>
        <v>8.7692431732181082E-4</v>
      </c>
      <c r="C13" t="s">
        <v>199</v>
      </c>
    </row>
    <row r="14" spans="1:3" x14ac:dyDescent="0.3">
      <c r="A14" t="s">
        <v>212</v>
      </c>
      <c r="B14">
        <f>Ingredientes!S10</f>
        <v>9.2353284478746573</v>
      </c>
      <c r="C14" t="s">
        <v>199</v>
      </c>
    </row>
    <row r="15" spans="1:3" x14ac:dyDescent="0.3">
      <c r="A15" t="s">
        <v>213</v>
      </c>
      <c r="B15">
        <f>Ingredientes!T10</f>
        <v>8.7692431732181082E-4</v>
      </c>
      <c r="C15" t="s">
        <v>199</v>
      </c>
    </row>
    <row r="16" spans="1:3" x14ac:dyDescent="0.3">
      <c r="A16" t="s">
        <v>214</v>
      </c>
      <c r="B16">
        <f>Ingredientes!U10</f>
        <v>3.4784664587098517E-3</v>
      </c>
      <c r="C16" t="s">
        <v>199</v>
      </c>
    </row>
    <row r="17" spans="1:3" x14ac:dyDescent="0.3">
      <c r="A17" t="s">
        <v>215</v>
      </c>
      <c r="B17">
        <f>Ingredientes!V10</f>
        <v>0.18175718017023412</v>
      </c>
      <c r="C17" t="s">
        <v>199</v>
      </c>
    </row>
    <row r="18" spans="1:3" x14ac:dyDescent="0.3">
      <c r="A18" t="s">
        <v>216</v>
      </c>
      <c r="B18">
        <f>Ingredientes!W10</f>
        <v>0.1930548884583968</v>
      </c>
      <c r="C18" t="s">
        <v>199</v>
      </c>
    </row>
    <row r="19" spans="1:3" x14ac:dyDescent="0.3">
      <c r="A19" t="s">
        <v>217</v>
      </c>
      <c r="B19">
        <f>Ingredientes!X10</f>
        <v>0</v>
      </c>
      <c r="C19" t="s">
        <v>199</v>
      </c>
    </row>
    <row r="20" spans="1:3" x14ac:dyDescent="0.3">
      <c r="A20" t="s">
        <v>218</v>
      </c>
      <c r="B20">
        <f>Ingredientes!Y10</f>
        <v>0</v>
      </c>
      <c r="C20" t="s">
        <v>199</v>
      </c>
    </row>
    <row r="21" spans="1:3" x14ac:dyDescent="0.3">
      <c r="A21" t="s">
        <v>219</v>
      </c>
      <c r="B21">
        <f>Ingredientes!Z10</f>
        <v>5.3398727839540507</v>
      </c>
      <c r="C21" t="s">
        <v>199</v>
      </c>
    </row>
    <row r="22" spans="1:3" x14ac:dyDescent="0.3">
      <c r="A22" t="s">
        <v>220</v>
      </c>
      <c r="B22">
        <f>Ingredientes!AA10</f>
        <v>0.37741361077001889</v>
      </c>
      <c r="C22" t="s">
        <v>199</v>
      </c>
    </row>
    <row r="23" spans="1:3" x14ac:dyDescent="0.3">
      <c r="A23" t="s">
        <v>221</v>
      </c>
      <c r="B23">
        <f>Ingredientes!AB10</f>
        <v>0</v>
      </c>
      <c r="C23" t="s">
        <v>199</v>
      </c>
    </row>
    <row r="24" spans="1:3" x14ac:dyDescent="0.3">
      <c r="A24" t="s">
        <v>222</v>
      </c>
      <c r="B24">
        <f>Ingredientes!AC10</f>
        <v>2.3010494086524322</v>
      </c>
      <c r="C24" t="s">
        <v>199</v>
      </c>
    </row>
    <row r="25" spans="1:3" x14ac:dyDescent="0.3">
      <c r="A25" t="s">
        <v>223</v>
      </c>
      <c r="B25">
        <f>Ingredientes!AD10</f>
        <v>188.81291580843711</v>
      </c>
      <c r="C25" t="s">
        <v>224</v>
      </c>
    </row>
    <row r="26" spans="1:3" x14ac:dyDescent="0.3">
      <c r="A26" t="s">
        <v>225</v>
      </c>
      <c r="B26">
        <f>Ingredientes!AE10</f>
        <v>2.488325432640742</v>
      </c>
      <c r="C26" t="s">
        <v>224</v>
      </c>
    </row>
    <row r="27" spans="1:3" x14ac:dyDescent="0.3">
      <c r="A27" t="s">
        <v>226</v>
      </c>
      <c r="B27">
        <f>Ingredientes!AF10</f>
        <v>26.865612219155402</v>
      </c>
      <c r="C27" t="s">
        <v>224</v>
      </c>
    </row>
    <row r="28" spans="1:3" x14ac:dyDescent="0.3">
      <c r="A28" t="s">
        <v>227</v>
      </c>
      <c r="B28">
        <f>Ingredientes!AG10</f>
        <v>65.667366731841895</v>
      </c>
      <c r="C28" t="s">
        <v>224</v>
      </c>
    </row>
    <row r="29" spans="1:3" x14ac:dyDescent="0.3">
      <c r="A29" t="s">
        <v>228</v>
      </c>
      <c r="B29">
        <f>Ingredientes!AH10</f>
        <v>212.11612981311509</v>
      </c>
      <c r="C29" t="s">
        <v>224</v>
      </c>
    </row>
    <row r="30" spans="1:3" x14ac:dyDescent="0.3">
      <c r="A30" t="s">
        <v>229</v>
      </c>
      <c r="B30">
        <f>Ingredientes!AI10</f>
        <v>535.26082033331795</v>
      </c>
      <c r="C30" t="s">
        <v>224</v>
      </c>
    </row>
    <row r="31" spans="1:3" x14ac:dyDescent="0.3">
      <c r="A31" t="s">
        <v>230</v>
      </c>
      <c r="B31">
        <f>Ingredientes!AJ10</f>
        <v>0.88064867942326974</v>
      </c>
      <c r="C31" t="s">
        <v>224</v>
      </c>
    </row>
    <row r="32" spans="1:3" x14ac:dyDescent="0.3">
      <c r="A32" t="s">
        <v>231</v>
      </c>
      <c r="B32">
        <f>Ingredientes!AK10</f>
        <v>0.18340650975037975</v>
      </c>
      <c r="C32" t="s">
        <v>224</v>
      </c>
    </row>
    <row r="33" spans="1:3" x14ac:dyDescent="0.3">
      <c r="A33" t="s">
        <v>232</v>
      </c>
      <c r="B33">
        <f>Ingredientes!AL10</f>
        <v>3.2647638671096946</v>
      </c>
      <c r="C33" t="s">
        <v>224</v>
      </c>
    </row>
    <row r="34" spans="1:3" x14ac:dyDescent="0.3">
      <c r="A34" t="s">
        <v>233</v>
      </c>
      <c r="B34">
        <f>Ingredientes!AM10</f>
        <v>0.21528491990250456</v>
      </c>
      <c r="C34" t="s">
        <v>234</v>
      </c>
    </row>
    <row r="35" spans="1:3" x14ac:dyDescent="0.3">
      <c r="A35" t="s">
        <v>235</v>
      </c>
      <c r="B35">
        <f>Ingredientes!AN10</f>
        <v>0.67689648352596998</v>
      </c>
      <c r="C35" t="s">
        <v>234</v>
      </c>
    </row>
    <row r="36" spans="1:3" x14ac:dyDescent="0.3">
      <c r="A36" t="s">
        <v>236</v>
      </c>
      <c r="B36">
        <f>Ingredientes!AO10</f>
        <v>2.7449021648027597E-2</v>
      </c>
      <c r="C36" t="s">
        <v>234</v>
      </c>
    </row>
    <row r="37" spans="1:3" x14ac:dyDescent="0.3">
      <c r="A37" t="s">
        <v>237</v>
      </c>
      <c r="B37">
        <f>Ingredientes!AP10</f>
        <v>4.163928966749734E-3</v>
      </c>
      <c r="C37" t="s">
        <v>224</v>
      </c>
    </row>
    <row r="38" spans="1:3" x14ac:dyDescent="0.3">
      <c r="A38" t="s">
        <v>238</v>
      </c>
      <c r="B38">
        <f>Ingredientes!AQ10</f>
        <v>8.96801268514439E-3</v>
      </c>
      <c r="C38" t="s">
        <v>224</v>
      </c>
    </row>
    <row r="39" spans="1:3" x14ac:dyDescent="0.3">
      <c r="A39" t="s">
        <v>239</v>
      </c>
      <c r="B39">
        <f>Ingredientes!AR10</f>
        <v>0.23166586615007614</v>
      </c>
      <c r="C39" t="s">
        <v>224</v>
      </c>
    </row>
    <row r="40" spans="1:3" x14ac:dyDescent="0.3">
      <c r="A40" t="s">
        <v>240</v>
      </c>
      <c r="B40">
        <f>Ingredientes!AS10</f>
        <v>2.7756116183764199E-2</v>
      </c>
      <c r="C40" t="s">
        <v>224</v>
      </c>
    </row>
    <row r="41" spans="1:3" x14ac:dyDescent="0.3">
      <c r="A41" t="s">
        <v>241</v>
      </c>
      <c r="B41">
        <f>Ingredientes!AT10</f>
        <v>1.3548480702621983</v>
      </c>
      <c r="C41" t="s">
        <v>234</v>
      </c>
    </row>
    <row r="42" spans="1:3" x14ac:dyDescent="0.3">
      <c r="A42" t="s">
        <v>242</v>
      </c>
      <c r="B42">
        <f>Ingredientes!AU10</f>
        <v>3.4083125133241063</v>
      </c>
      <c r="C42" t="s">
        <v>224</v>
      </c>
    </row>
    <row r="43" spans="1:3" x14ac:dyDescent="0.3">
      <c r="A43" t="s">
        <v>243</v>
      </c>
      <c r="B43">
        <f>Ingredientes!AV10</f>
        <v>2.6307729519654322E-3</v>
      </c>
      <c r="C43" t="s">
        <v>224</v>
      </c>
    </row>
    <row r="44" spans="1:3" x14ac:dyDescent="0.3">
      <c r="A44" t="s">
        <v>244</v>
      </c>
      <c r="B44">
        <f>Ingredientes!AW10</f>
        <v>1.3548480702621977</v>
      </c>
      <c r="C44" t="s">
        <v>224</v>
      </c>
    </row>
    <row r="45" spans="1:3" x14ac:dyDescent="0.3">
      <c r="A45" t="s">
        <v>245</v>
      </c>
      <c r="B45">
        <f>Ingredientes!AX10</f>
        <v>8.7692431732181082E-4</v>
      </c>
      <c r="C45" t="s">
        <v>224</v>
      </c>
    </row>
    <row r="46" spans="1:3" x14ac:dyDescent="0.3">
      <c r="A46" t="s">
        <v>246</v>
      </c>
      <c r="B46">
        <f>Ingredientes!AY10</f>
        <v>8.7692431732181082E-4</v>
      </c>
      <c r="C46" t="s">
        <v>224</v>
      </c>
    </row>
    <row r="47" spans="1:3" x14ac:dyDescent="0.3">
      <c r="A47" t="s">
        <v>247</v>
      </c>
      <c r="B47">
        <f>Ingredientes!AZ10</f>
        <v>0.11005400182388726</v>
      </c>
      <c r="C47" t="s">
        <v>224</v>
      </c>
    </row>
    <row r="48" spans="1:3" x14ac:dyDescent="0.3">
      <c r="A48" t="s">
        <v>248</v>
      </c>
      <c r="B48">
        <f>Ingredientes!BA10</f>
        <v>0.67961634592440379</v>
      </c>
      <c r="C48" t="s">
        <v>224</v>
      </c>
    </row>
    <row r="49" spans="1:3" x14ac:dyDescent="0.3">
      <c r="A49" t="s">
        <v>249</v>
      </c>
      <c r="B49">
        <f>Ingredientes!BB10</f>
        <v>4.4723140183412355E-3</v>
      </c>
      <c r="C49" t="s">
        <v>234</v>
      </c>
    </row>
    <row r="50" spans="1:3" x14ac:dyDescent="0.3">
      <c r="A50" t="s">
        <v>250</v>
      </c>
      <c r="B50">
        <f>Ingredientes!BC10</f>
        <v>3.3980817296220187</v>
      </c>
      <c r="C50" t="s">
        <v>234</v>
      </c>
    </row>
    <row r="51" spans="1:3" x14ac:dyDescent="0.3">
      <c r="A51" t="s">
        <v>251</v>
      </c>
      <c r="B51">
        <f>Ingredientes!BD10</f>
        <v>0.78484726400302063</v>
      </c>
      <c r="C51" t="s">
        <v>234</v>
      </c>
    </row>
    <row r="52" spans="1:3" x14ac:dyDescent="0.3">
      <c r="A52" t="s">
        <v>252</v>
      </c>
      <c r="B52">
        <f>Ingredientes!BE10</f>
        <v>19.47941216877517</v>
      </c>
      <c r="C52" t="s">
        <v>234</v>
      </c>
    </row>
    <row r="53" spans="1:3" x14ac:dyDescent="0.3">
      <c r="A53" t="s">
        <v>253</v>
      </c>
      <c r="B53">
        <f>Ingredientes!BF10</f>
        <v>0</v>
      </c>
      <c r="C53" t="s">
        <v>234</v>
      </c>
    </row>
    <row r="54" spans="1:3" x14ac:dyDescent="0.3">
      <c r="A54" t="s">
        <v>254</v>
      </c>
      <c r="B54">
        <f>Ingredientes!BG10</f>
        <v>0</v>
      </c>
      <c r="C54" t="s">
        <v>234</v>
      </c>
    </row>
    <row r="55" spans="1:3" x14ac:dyDescent="0.3">
      <c r="A55" t="s">
        <v>255</v>
      </c>
      <c r="B55">
        <f>Ingredientes!BH10</f>
        <v>0.17392332293549259</v>
      </c>
      <c r="C55" t="s">
        <v>234</v>
      </c>
    </row>
    <row r="56" spans="1:3" x14ac:dyDescent="0.3">
      <c r="A56" t="s">
        <v>256</v>
      </c>
      <c r="B56">
        <f>Ingredientes!BI10</f>
        <v>22.493108739304464</v>
      </c>
      <c r="C56" t="s">
        <v>234</v>
      </c>
    </row>
    <row r="57" spans="1:3" x14ac:dyDescent="0.3">
      <c r="A57" t="s">
        <v>257</v>
      </c>
      <c r="B57">
        <f>Ingredientes!BJ10</f>
        <v>5.7000080625917701E-2</v>
      </c>
      <c r="C57" t="s">
        <v>234</v>
      </c>
    </row>
    <row r="58" spans="1:3" x14ac:dyDescent="0.3">
      <c r="A58" t="s">
        <v>258</v>
      </c>
      <c r="B58">
        <f>Ingredientes!BK10</f>
        <v>2.6088498440323891</v>
      </c>
      <c r="C58" t="s">
        <v>234</v>
      </c>
    </row>
    <row r="59" spans="1:3" x14ac:dyDescent="0.3">
      <c r="A59" t="s">
        <v>259</v>
      </c>
      <c r="B59">
        <f>Ingredientes!BL10</f>
        <v>0</v>
      </c>
      <c r="C59" t="s">
        <v>234</v>
      </c>
    </row>
    <row r="60" spans="1:3" x14ac:dyDescent="0.3">
      <c r="A60" t="s">
        <v>260</v>
      </c>
      <c r="B60">
        <f>Ingredientes!BM10</f>
        <v>0</v>
      </c>
      <c r="C60" t="s">
        <v>234</v>
      </c>
    </row>
    <row r="61" spans="1:3" x14ac:dyDescent="0.3">
      <c r="A61" t="s">
        <v>261</v>
      </c>
      <c r="B61">
        <f>Ingredientes!BN10</f>
        <v>0.24992343043671608</v>
      </c>
      <c r="C61" t="s">
        <v>234</v>
      </c>
    </row>
    <row r="62" spans="1:3" x14ac:dyDescent="0.3">
      <c r="A62" t="s">
        <v>262</v>
      </c>
      <c r="B62">
        <f>Ingredientes!BO10</f>
        <v>1.0084629649200825</v>
      </c>
      <c r="C62" t="s">
        <v>234</v>
      </c>
    </row>
    <row r="63" spans="1:3" x14ac:dyDescent="0.3">
      <c r="A63" t="s">
        <v>263</v>
      </c>
      <c r="B63">
        <f>Ingredientes!BP10</f>
        <v>1.0040783433334732</v>
      </c>
      <c r="C63" t="s">
        <v>234</v>
      </c>
    </row>
    <row r="64" spans="1:3" x14ac:dyDescent="0.3">
      <c r="A64" t="s">
        <v>264</v>
      </c>
      <c r="B64">
        <f>Ingredientes!BQ10</f>
        <v>0.43144676412233091</v>
      </c>
      <c r="C64" t="s">
        <v>265</v>
      </c>
    </row>
    <row r="65" spans="1:3" x14ac:dyDescent="0.3">
      <c r="A65" t="s">
        <v>266</v>
      </c>
      <c r="B65">
        <f>Ingredientes!BR10</f>
        <v>1.0786169103058272E-2</v>
      </c>
      <c r="C65" t="s">
        <v>234</v>
      </c>
    </row>
    <row r="66" spans="1:3" x14ac:dyDescent="0.3">
      <c r="A66" t="s">
        <v>267</v>
      </c>
      <c r="B66">
        <f>Ingredientes!BS10</f>
        <v>0</v>
      </c>
      <c r="C66" t="s">
        <v>234</v>
      </c>
    </row>
    <row r="67" spans="1:3" x14ac:dyDescent="0.3">
      <c r="A67" t="s">
        <v>268</v>
      </c>
      <c r="B67">
        <f>Ingredientes!BT10</f>
        <v>1.0786169103058272E-2</v>
      </c>
      <c r="C67" t="s">
        <v>234</v>
      </c>
    </row>
    <row r="68" spans="1:3" x14ac:dyDescent="0.3">
      <c r="A68" t="s">
        <v>269</v>
      </c>
      <c r="B68">
        <f>Ingredientes!BU10</f>
        <v>2.4553880885010704E-3</v>
      </c>
      <c r="C68" t="s">
        <v>234</v>
      </c>
    </row>
    <row r="69" spans="1:3" x14ac:dyDescent="0.3">
      <c r="A69" t="s">
        <v>270</v>
      </c>
      <c r="B69">
        <f>Ingredientes!BV10</f>
        <v>0.66090862715487186</v>
      </c>
      <c r="C69" t="s">
        <v>224</v>
      </c>
    </row>
    <row r="70" spans="1:3" x14ac:dyDescent="0.3">
      <c r="A70" t="s">
        <v>271</v>
      </c>
      <c r="B70">
        <f>Ingredientes!BW10</f>
        <v>6.2264549610906342E-2</v>
      </c>
      <c r="C70" t="s">
        <v>224</v>
      </c>
    </row>
    <row r="71" spans="1:3" x14ac:dyDescent="0.3">
      <c r="A71" t="s">
        <v>272</v>
      </c>
      <c r="B71">
        <f>Ingredientes!BX10</f>
        <v>0</v>
      </c>
      <c r="C71" t="s">
        <v>234</v>
      </c>
    </row>
    <row r="72" spans="1:3" x14ac:dyDescent="0.3">
      <c r="A72" t="s">
        <v>273</v>
      </c>
      <c r="B72">
        <f>Ingredientes!BY10</f>
        <v>1.0435399376129555</v>
      </c>
      <c r="C72" t="s">
        <v>234</v>
      </c>
    </row>
    <row r="73" spans="1:3" x14ac:dyDescent="0.3">
      <c r="A73" t="s">
        <v>274</v>
      </c>
      <c r="B73">
        <f>Ingredientes!BZ10</f>
        <v>1.0435399376129555</v>
      </c>
      <c r="C73" t="s">
        <v>234</v>
      </c>
    </row>
    <row r="74" spans="1:3" x14ac:dyDescent="0.3">
      <c r="A74" t="s">
        <v>275</v>
      </c>
      <c r="B74">
        <f>Ingredientes!CA10</f>
        <v>0</v>
      </c>
      <c r="C74" t="s">
        <v>234</v>
      </c>
    </row>
    <row r="75" spans="1:3" x14ac:dyDescent="0.3">
      <c r="A75" t="s">
        <v>276</v>
      </c>
      <c r="B75">
        <f>Ingredientes!CB10</f>
        <v>51.307380265970316</v>
      </c>
      <c r="C75" t="s">
        <v>265</v>
      </c>
    </row>
    <row r="76" spans="1:3" x14ac:dyDescent="0.3">
      <c r="A76" t="s">
        <v>277</v>
      </c>
      <c r="B76">
        <f>Ingredientes!CC10</f>
        <v>38.610977691679352</v>
      </c>
      <c r="C76" t="s">
        <v>234</v>
      </c>
    </row>
    <row r="77" spans="1:3" x14ac:dyDescent="0.3">
      <c r="A77" t="s">
        <v>278</v>
      </c>
      <c r="B77">
        <f>Ingredientes!CD10</f>
        <v>2.967628813059318</v>
      </c>
      <c r="C77" t="s">
        <v>224</v>
      </c>
    </row>
    <row r="78" spans="1:3" x14ac:dyDescent="0.3">
      <c r="A78" t="s">
        <v>279</v>
      </c>
      <c r="B78">
        <f>Ingredientes!CE10</f>
        <v>0</v>
      </c>
      <c r="C78" t="s">
        <v>224</v>
      </c>
    </row>
    <row r="79" spans="1:3" x14ac:dyDescent="0.3">
      <c r="A79" t="s">
        <v>280</v>
      </c>
      <c r="B79">
        <f>Ingredientes!CF10</f>
        <v>14.805113249344133</v>
      </c>
      <c r="C79" t="s">
        <v>234</v>
      </c>
    </row>
    <row r="80" spans="1:3" x14ac:dyDescent="0.3">
      <c r="A80" t="s">
        <v>281</v>
      </c>
      <c r="B80">
        <f>Ingredientes!CG10</f>
        <v>4.0776980755464202E-2</v>
      </c>
      <c r="C80" t="s">
        <v>224</v>
      </c>
    </row>
    <row r="81" spans="1:3" x14ac:dyDescent="0.3">
      <c r="A81" t="s">
        <v>282</v>
      </c>
      <c r="B81">
        <f>Ingredientes!CH10</f>
        <v>6.9554129152696751</v>
      </c>
      <c r="C81" t="s">
        <v>224</v>
      </c>
    </row>
    <row r="82" spans="1:3" x14ac:dyDescent="0.3">
      <c r="A82" t="s">
        <v>283</v>
      </c>
      <c r="B82">
        <f>Ingredientes!CI10</f>
        <v>0.6577516996125129</v>
      </c>
      <c r="C82" t="s">
        <v>224</v>
      </c>
    </row>
    <row r="83" spans="1:3" x14ac:dyDescent="0.3">
      <c r="A83" t="s">
        <v>284</v>
      </c>
      <c r="B83">
        <f>Ingredientes!CJ10</f>
        <v>3.9461594279481477E-3</v>
      </c>
      <c r="C83" t="s">
        <v>224</v>
      </c>
    </row>
    <row r="84" spans="1:3" x14ac:dyDescent="0.3">
      <c r="A84" t="s">
        <v>285</v>
      </c>
      <c r="B84">
        <f>Ingredientes!CK10</f>
        <v>3.5076972692872431E-2</v>
      </c>
      <c r="C84" t="s">
        <v>224</v>
      </c>
    </row>
    <row r="85" spans="1:3" x14ac:dyDescent="0.3">
      <c r="A85" t="s">
        <v>286</v>
      </c>
      <c r="B85">
        <f>Ingredientes!CL10</f>
        <v>0</v>
      </c>
      <c r="C85" t="s">
        <v>224</v>
      </c>
    </row>
    <row r="86" spans="1:3" x14ac:dyDescent="0.3">
      <c r="A86" t="s">
        <v>287</v>
      </c>
      <c r="B86">
        <f>Ingredientes!CM10</f>
        <v>1.3153864759827161E-3</v>
      </c>
      <c r="C86" t="s">
        <v>224</v>
      </c>
    </row>
    <row r="87" spans="1:3" x14ac:dyDescent="0.3">
      <c r="A87" t="s">
        <v>288</v>
      </c>
      <c r="B87">
        <f>Ingredientes!CN10</f>
        <v>0</v>
      </c>
      <c r="C87" t="s">
        <v>234</v>
      </c>
    </row>
    <row r="88" spans="1:3" x14ac:dyDescent="0.3">
      <c r="A88" t="s">
        <v>289</v>
      </c>
      <c r="B88">
        <f>Ingredientes!CO10</f>
        <v>0</v>
      </c>
      <c r="C88" t="s">
        <v>234</v>
      </c>
    </row>
    <row r="89" spans="1:3" x14ac:dyDescent="0.3">
      <c r="A89" t="s">
        <v>290</v>
      </c>
      <c r="B89">
        <f>Ingredientes!CP10</f>
        <v>1.3694707832535389</v>
      </c>
      <c r="C89" t="s">
        <v>199</v>
      </c>
    </row>
    <row r="90" spans="1:3" x14ac:dyDescent="0.3">
      <c r="A90" t="s">
        <v>291</v>
      </c>
      <c r="B90">
        <f>Ingredientes!CQ10</f>
        <v>3.3498508921693182E-3</v>
      </c>
      <c r="C90" t="s">
        <v>199</v>
      </c>
    </row>
    <row r="91" spans="1:3" x14ac:dyDescent="0.3">
      <c r="A91" t="s">
        <v>292</v>
      </c>
      <c r="B91">
        <f>Ingredientes!CR10</f>
        <v>0.81942146675396188</v>
      </c>
      <c r="C91" t="s">
        <v>199</v>
      </c>
    </row>
    <row r="92" spans="1:3" x14ac:dyDescent="0.3">
      <c r="A92" t="s">
        <v>293</v>
      </c>
      <c r="B92">
        <f>Ingredientes!CS10</f>
        <v>0.37368229779981438</v>
      </c>
      <c r="C92" t="s">
        <v>199</v>
      </c>
    </row>
    <row r="93" spans="1:3" x14ac:dyDescent="0.3">
      <c r="A93" t="s">
        <v>294</v>
      </c>
      <c r="B93">
        <f>Ingredientes!CT10</f>
        <v>8.8664414645500589</v>
      </c>
      <c r="C93" t="s">
        <v>199</v>
      </c>
    </row>
    <row r="94" spans="1:3" x14ac:dyDescent="0.3">
      <c r="A94" t="s">
        <v>295</v>
      </c>
      <c r="B94">
        <f>Ingredientes!CU10</f>
        <v>2.7973885722565764E-3</v>
      </c>
      <c r="C94" t="s">
        <v>199</v>
      </c>
    </row>
    <row r="95" spans="1:3" x14ac:dyDescent="0.3">
      <c r="A95" t="s">
        <v>296</v>
      </c>
      <c r="B95">
        <f>Ingredientes!CV10</f>
        <v>8.6444042274041735</v>
      </c>
      <c r="C95" t="s">
        <v>199</v>
      </c>
    </row>
    <row r="96" spans="1:3" x14ac:dyDescent="0.3">
      <c r="A96" t="s">
        <v>297</v>
      </c>
      <c r="B96">
        <f>Ingredientes!CW10</f>
        <v>4.9843384349012094</v>
      </c>
      <c r="C96" t="s">
        <v>199</v>
      </c>
    </row>
    <row r="97" spans="1:3" x14ac:dyDescent="0.3">
      <c r="A97" t="s">
        <v>298</v>
      </c>
      <c r="B97">
        <f>Ingredientes!CX10</f>
        <v>1.1222877413084533</v>
      </c>
      <c r="C97" t="s">
        <v>199</v>
      </c>
    </row>
    <row r="98" spans="1:3" x14ac:dyDescent="0.3">
      <c r="A98" t="s">
        <v>299</v>
      </c>
      <c r="B98">
        <f>Ingredientes!CY10</f>
        <v>3.5741681325402368</v>
      </c>
      <c r="C98" t="s">
        <v>199</v>
      </c>
    </row>
    <row r="99" spans="1:3" x14ac:dyDescent="0.3">
      <c r="A99" t="s">
        <v>300</v>
      </c>
      <c r="B99">
        <f>Ingredientes!CZ10</f>
        <v>0.14517920535421239</v>
      </c>
      <c r="C99" t="s">
        <v>199</v>
      </c>
    </row>
    <row r="100" spans="1:3" x14ac:dyDescent="0.3">
      <c r="A100" t="s">
        <v>301</v>
      </c>
      <c r="B100">
        <f>Ingredientes!DA10</f>
        <v>4.8230837452699591E-5</v>
      </c>
      <c r="C100" t="s">
        <v>199</v>
      </c>
    </row>
    <row r="101" spans="1:3" x14ac:dyDescent="0.3">
      <c r="A101" t="s">
        <v>302</v>
      </c>
      <c r="B101">
        <f>Ingredientes!DB10</f>
        <v>8.7692431732181079E-5</v>
      </c>
      <c r="C101" t="s">
        <v>199</v>
      </c>
    </row>
    <row r="102" spans="1:3" x14ac:dyDescent="0.3">
      <c r="A102" t="s">
        <v>303</v>
      </c>
      <c r="B102">
        <f>Ingredientes!DC10</f>
        <v>8.7692431732181079E-5</v>
      </c>
      <c r="C102" t="s">
        <v>199</v>
      </c>
    </row>
    <row r="103" spans="1:3" x14ac:dyDescent="0.3">
      <c r="A103" t="s">
        <v>304</v>
      </c>
      <c r="B103">
        <f>Ingredientes!DD10</f>
        <v>1.8020794720963211</v>
      </c>
      <c r="C103" t="s">
        <v>224</v>
      </c>
    </row>
    <row r="104" spans="1:3" x14ac:dyDescent="0.3">
      <c r="A104" t="s">
        <v>305</v>
      </c>
      <c r="B104">
        <f>Ingredientes!DE10</f>
        <v>0</v>
      </c>
      <c r="C104" t="s">
        <v>199</v>
      </c>
    </row>
    <row r="105" spans="1:3" x14ac:dyDescent="0.3">
      <c r="A105" t="s">
        <v>306</v>
      </c>
      <c r="B105">
        <f>Ingredientes!DF10</f>
        <v>0</v>
      </c>
      <c r="C105" t="s">
        <v>199</v>
      </c>
    </row>
    <row r="106" spans="1:3" x14ac:dyDescent="0.3">
      <c r="A106" t="s">
        <v>307</v>
      </c>
      <c r="B106">
        <f>Ingredientes!DG10</f>
        <v>0</v>
      </c>
      <c r="C106" t="s">
        <v>199</v>
      </c>
    </row>
    <row r="107" spans="1:3" x14ac:dyDescent="0.3">
      <c r="A107" t="s">
        <v>308</v>
      </c>
      <c r="B107">
        <f>Ingredientes!DH10</f>
        <v>5.217699688064778E-4</v>
      </c>
      <c r="C107" t="s">
        <v>199</v>
      </c>
    </row>
    <row r="108" spans="1:3" x14ac:dyDescent="0.3">
      <c r="A108" t="s">
        <v>309</v>
      </c>
      <c r="B108">
        <f>Ingredientes!DI10</f>
        <v>1.0435399376129556E-3</v>
      </c>
      <c r="C108" t="s">
        <v>199</v>
      </c>
    </row>
    <row r="109" spans="1:3" x14ac:dyDescent="0.3">
      <c r="A109" t="s">
        <v>310</v>
      </c>
      <c r="B109">
        <f>Ingredientes!DJ10</f>
        <v>2.8323193908965618E-2</v>
      </c>
      <c r="C109" t="s">
        <v>199</v>
      </c>
    </row>
    <row r="110" spans="1:3" x14ac:dyDescent="0.3">
      <c r="A110" t="s">
        <v>311</v>
      </c>
      <c r="B110">
        <f>Ingredientes!DK10</f>
        <v>8.1645073947498137</v>
      </c>
      <c r="C110" t="s">
        <v>199</v>
      </c>
    </row>
    <row r="111" spans="1:3" x14ac:dyDescent="0.3">
      <c r="A111" t="s">
        <v>312</v>
      </c>
      <c r="B111">
        <f>Ingredientes!DL10</f>
        <v>0.17323639888692369</v>
      </c>
      <c r="C111" t="s">
        <v>199</v>
      </c>
    </row>
    <row r="112" spans="1:3" x14ac:dyDescent="0.3">
      <c r="A112" t="s">
        <v>313</v>
      </c>
      <c r="B112">
        <f>Ingredientes!DM10</f>
        <v>0</v>
      </c>
      <c r="C112" t="s">
        <v>199</v>
      </c>
    </row>
    <row r="113" spans="1:3" x14ac:dyDescent="0.3">
      <c r="A113" t="s">
        <v>314</v>
      </c>
      <c r="B113">
        <f>Ingredientes!DN10</f>
        <v>2.5075446238143133</v>
      </c>
      <c r="C113" t="s">
        <v>199</v>
      </c>
    </row>
    <row r="114" spans="1:3" x14ac:dyDescent="0.3">
      <c r="A114" t="s">
        <v>315</v>
      </c>
      <c r="B114">
        <f>Ingredientes!DO10</f>
        <v>1.2037817796576982</v>
      </c>
      <c r="C114" t="s">
        <v>199</v>
      </c>
    </row>
    <row r="115" spans="1:3" x14ac:dyDescent="0.3">
      <c r="A115" t="s">
        <v>316</v>
      </c>
      <c r="B115">
        <f>Ingredientes!DP10</f>
        <v>0</v>
      </c>
      <c r="C115" t="s">
        <v>199</v>
      </c>
    </row>
    <row r="116" spans="1:3" x14ac:dyDescent="0.3">
      <c r="A116" t="s">
        <v>317</v>
      </c>
      <c r="B116">
        <f>Ingredientes!DQ10</f>
        <v>0</v>
      </c>
      <c r="C116" t="s">
        <v>199</v>
      </c>
    </row>
    <row r="117" spans="1:3" x14ac:dyDescent="0.3">
      <c r="A117" t="s">
        <v>318</v>
      </c>
      <c r="B117">
        <f>Ingredientes!DR10</f>
        <v>0</v>
      </c>
      <c r="C117" t="s">
        <v>199</v>
      </c>
    </row>
    <row r="118" spans="1:3" x14ac:dyDescent="0.3">
      <c r="A118" t="s">
        <v>319</v>
      </c>
      <c r="B118">
        <f>Ingredientes!DS10</f>
        <v>0</v>
      </c>
      <c r="C118" t="s">
        <v>199</v>
      </c>
    </row>
    <row r="119" spans="1:3" x14ac:dyDescent="0.3">
      <c r="A119" t="s">
        <v>320</v>
      </c>
      <c r="B119">
        <f>Ingredientes!DT10</f>
        <v>0</v>
      </c>
      <c r="C119" t="s">
        <v>199</v>
      </c>
    </row>
    <row r="120" spans="1:3" x14ac:dyDescent="0.3">
      <c r="A120" t="s">
        <v>321</v>
      </c>
      <c r="B120">
        <f>Ingredientes!DU10</f>
        <v>5.1957765801317286E-2</v>
      </c>
      <c r="C120" t="s">
        <v>199</v>
      </c>
    </row>
    <row r="121" spans="1:3" x14ac:dyDescent="0.3">
      <c r="A121" t="s">
        <v>322</v>
      </c>
      <c r="B121">
        <f>Ingredientes!DV10</f>
        <v>0</v>
      </c>
      <c r="C121" t="s">
        <v>199</v>
      </c>
    </row>
    <row r="122" spans="1:3" x14ac:dyDescent="0.3">
      <c r="A122" t="s">
        <v>323</v>
      </c>
      <c r="B122">
        <f>Ingredientes!DW10</f>
        <v>3.069235110626338E-4</v>
      </c>
      <c r="C122" t="s">
        <v>199</v>
      </c>
    </row>
    <row r="123" spans="1:3" x14ac:dyDescent="0.3">
      <c r="A123" t="s">
        <v>324</v>
      </c>
      <c r="B123">
        <f>Ingredientes!DX10</f>
        <v>2.5538959201468887E-2</v>
      </c>
      <c r="C123" t="s">
        <v>199</v>
      </c>
    </row>
    <row r="124" spans="1:3" x14ac:dyDescent="0.3">
      <c r="A124" t="s">
        <v>325</v>
      </c>
      <c r="B124">
        <f>Ingredientes!DY10</f>
        <v>9.1945514671191858E-2</v>
      </c>
      <c r="C124" t="s">
        <v>199</v>
      </c>
    </row>
    <row r="125" spans="1:3" x14ac:dyDescent="0.3">
      <c r="A125" t="s">
        <v>326</v>
      </c>
      <c r="B125">
        <f>Ingredientes!DZ10</f>
        <v>5.0116224734941484E-2</v>
      </c>
      <c r="C125" t="s">
        <v>199</v>
      </c>
    </row>
    <row r="126" spans="1:3" x14ac:dyDescent="0.3">
      <c r="A126" t="s">
        <v>327</v>
      </c>
      <c r="B126">
        <f>Ingredientes!EA10</f>
        <v>2.7184653836976134E-3</v>
      </c>
      <c r="C126" t="s">
        <v>199</v>
      </c>
    </row>
    <row r="127" spans="1:3" x14ac:dyDescent="0.3">
      <c r="A127" t="s">
        <v>328</v>
      </c>
      <c r="B127">
        <f>Ingredientes!EB10</f>
        <v>0</v>
      </c>
      <c r="C127" t="s">
        <v>199</v>
      </c>
    </row>
    <row r="128" spans="1:3" x14ac:dyDescent="0.3">
      <c r="A128" t="s">
        <v>329</v>
      </c>
      <c r="B128">
        <f>Ingredientes!EC10</f>
        <v>0</v>
      </c>
      <c r="C128" t="s">
        <v>199</v>
      </c>
    </row>
    <row r="129" spans="1:3" x14ac:dyDescent="0.3">
      <c r="A129" t="s">
        <v>330</v>
      </c>
      <c r="B129">
        <f>Ingredientes!ED10</f>
        <v>0</v>
      </c>
      <c r="C129" t="s">
        <v>199</v>
      </c>
    </row>
    <row r="130" spans="1:3" x14ac:dyDescent="0.3">
      <c r="A130" t="s">
        <v>331</v>
      </c>
      <c r="B130">
        <f>Ingredientes!EE10</f>
        <v>0</v>
      </c>
      <c r="C130" t="s">
        <v>199</v>
      </c>
    </row>
    <row r="131" spans="1:3" x14ac:dyDescent="0.3">
      <c r="A131" t="s">
        <v>332</v>
      </c>
      <c r="B131">
        <f>Ingredientes!EF10</f>
        <v>1.3489127541744579</v>
      </c>
      <c r="C131" t="s">
        <v>199</v>
      </c>
    </row>
    <row r="132" spans="1:3" x14ac:dyDescent="0.3">
      <c r="A132" t="s">
        <v>333</v>
      </c>
      <c r="B132">
        <f>Ingredientes!EG10</f>
        <v>0</v>
      </c>
      <c r="C132" t="s">
        <v>199</v>
      </c>
    </row>
    <row r="133" spans="1:3" x14ac:dyDescent="0.3">
      <c r="A133" t="s">
        <v>334</v>
      </c>
      <c r="B133">
        <f>Ingredientes!EH10</f>
        <v>0</v>
      </c>
      <c r="C133" t="s">
        <v>199</v>
      </c>
    </row>
    <row r="134" spans="1:3" x14ac:dyDescent="0.3">
      <c r="A134" t="s">
        <v>335</v>
      </c>
      <c r="B134">
        <f>Ingredientes!EI10</f>
        <v>3.9461594279481477E-3</v>
      </c>
      <c r="C134" t="s">
        <v>199</v>
      </c>
    </row>
    <row r="135" spans="1:3" x14ac:dyDescent="0.3">
      <c r="A135" t="s">
        <v>336</v>
      </c>
      <c r="B135">
        <f>Ingredientes!EJ10</f>
        <v>3.9461594279481477E-3</v>
      </c>
      <c r="C135" t="s">
        <v>199</v>
      </c>
    </row>
    <row r="136" spans="1:3" x14ac:dyDescent="0.3">
      <c r="A136" t="s">
        <v>7</v>
      </c>
      <c r="B136">
        <f>Ingredientes!EK10</f>
        <v>4.5220063963228077</v>
      </c>
      <c r="C136" t="s">
        <v>224</v>
      </c>
    </row>
    <row r="137" spans="1:3" x14ac:dyDescent="0.3">
      <c r="A137" t="s">
        <v>337</v>
      </c>
      <c r="B137">
        <f>Ingredientes!EL10</f>
        <v>4.8011606373369133E-2</v>
      </c>
      <c r="C137" t="s">
        <v>199</v>
      </c>
    </row>
    <row r="138" spans="1:3" x14ac:dyDescent="0.3">
      <c r="A138" t="s">
        <v>338</v>
      </c>
      <c r="B138">
        <f>Ingredientes!EM10</f>
        <v>4.8011606373369133E-2</v>
      </c>
      <c r="C138" t="s">
        <v>199</v>
      </c>
    </row>
    <row r="139" spans="1:3" x14ac:dyDescent="0.3">
      <c r="A139" t="s">
        <v>339</v>
      </c>
      <c r="B139">
        <f>Ingredientes!EN10</f>
        <v>5.4807769832613173E-4</v>
      </c>
      <c r="C139" t="s">
        <v>199</v>
      </c>
    </row>
    <row r="140" spans="1:3" x14ac:dyDescent="0.3">
      <c r="A140" t="s">
        <v>340</v>
      </c>
      <c r="B140">
        <f>Ingredientes!EO10</f>
        <v>1.3153864759827162E-2</v>
      </c>
      <c r="C140" t="s">
        <v>199</v>
      </c>
    </row>
    <row r="141" spans="1:3" x14ac:dyDescent="0.3">
      <c r="A141" t="s">
        <v>341</v>
      </c>
      <c r="B141">
        <f>Ingredientes!EP10</f>
        <v>9.2500900072162405E-3</v>
      </c>
      <c r="C141" t="s">
        <v>199</v>
      </c>
    </row>
    <row r="142" spans="1:3" x14ac:dyDescent="0.3">
      <c r="A142" t="s">
        <v>342</v>
      </c>
      <c r="B142">
        <f>Ingredientes!EQ10</f>
        <v>2.6258037141672772E-2</v>
      </c>
      <c r="C142" t="s">
        <v>199</v>
      </c>
    </row>
    <row r="143" spans="1:3" x14ac:dyDescent="0.3">
      <c r="A143" t="s">
        <v>343</v>
      </c>
      <c r="B143">
        <f>Ingredientes!ER10</f>
        <v>2.8093732045933094E-2</v>
      </c>
      <c r="C143" t="s">
        <v>199</v>
      </c>
    </row>
    <row r="144" spans="1:3" x14ac:dyDescent="0.3">
      <c r="A144" t="s">
        <v>344</v>
      </c>
      <c r="B144">
        <f>Ingredientes!ES10</f>
        <v>4.8606453368619129E-2</v>
      </c>
      <c r="C144" t="s">
        <v>199</v>
      </c>
    </row>
    <row r="145" spans="1:3" x14ac:dyDescent="0.3">
      <c r="A145" t="s">
        <v>345</v>
      </c>
      <c r="B145">
        <f>Ingredientes!ET10</f>
        <v>4.5911372633383435E-2</v>
      </c>
      <c r="C145" t="s">
        <v>199</v>
      </c>
    </row>
    <row r="146" spans="1:3" x14ac:dyDescent="0.3">
      <c r="A146" t="s">
        <v>346</v>
      </c>
      <c r="B146">
        <f>Ingredientes!EU10</f>
        <v>1.5398791012171007E-2</v>
      </c>
      <c r="C146" t="s">
        <v>199</v>
      </c>
    </row>
    <row r="147" spans="1:3" x14ac:dyDescent="0.3">
      <c r="A147" t="s">
        <v>347</v>
      </c>
      <c r="B147">
        <f>Ingredientes!EV10</f>
        <v>2.828665539574389E-2</v>
      </c>
      <c r="C147" t="s">
        <v>199</v>
      </c>
    </row>
    <row r="148" spans="1:3" x14ac:dyDescent="0.3">
      <c r="A148" t="s">
        <v>348</v>
      </c>
      <c r="B148">
        <f>Ingredientes!EW10</f>
        <v>2.5898498171570829E-2</v>
      </c>
      <c r="C148" t="s">
        <v>199</v>
      </c>
    </row>
    <row r="149" spans="1:3" x14ac:dyDescent="0.3">
      <c r="A149" t="s">
        <v>349</v>
      </c>
      <c r="B149">
        <f>Ingredientes!EX10</f>
        <v>4.2177136582121383E-2</v>
      </c>
      <c r="C149" t="s">
        <v>199</v>
      </c>
    </row>
    <row r="150" spans="1:3" x14ac:dyDescent="0.3">
      <c r="A150" t="s">
        <v>350</v>
      </c>
      <c r="B150">
        <f>Ingredientes!EY10</f>
        <v>3.2321968795953102E-2</v>
      </c>
      <c r="C150" t="s">
        <v>199</v>
      </c>
    </row>
    <row r="151" spans="1:3" x14ac:dyDescent="0.3">
      <c r="A151" t="s">
        <v>351</v>
      </c>
      <c r="B151">
        <f>Ingredientes!EZ10</f>
        <v>2.1589876692462998E-2</v>
      </c>
      <c r="C151" t="s">
        <v>199</v>
      </c>
    </row>
    <row r="152" spans="1:3" x14ac:dyDescent="0.3">
      <c r="A152" t="s">
        <v>352</v>
      </c>
      <c r="B152">
        <f>Ingredientes!FA10</f>
        <v>3.1795814205560012E-2</v>
      </c>
      <c r="C152" t="s">
        <v>199</v>
      </c>
    </row>
    <row r="153" spans="1:3" x14ac:dyDescent="0.3">
      <c r="A153" t="s">
        <v>353</v>
      </c>
      <c r="B153">
        <f>Ingredientes!FB10</f>
        <v>8.1746884860739263E-2</v>
      </c>
      <c r="C153" t="s">
        <v>199</v>
      </c>
    </row>
    <row r="154" spans="1:3" x14ac:dyDescent="0.3">
      <c r="A154" t="s">
        <v>354</v>
      </c>
      <c r="B154">
        <f>Ingredientes!FC10</f>
        <v>7.1498562672305005E-2</v>
      </c>
      <c r="C154" t="s">
        <v>199</v>
      </c>
    </row>
    <row r="155" spans="1:3" x14ac:dyDescent="0.3">
      <c r="A155" t="s">
        <v>355</v>
      </c>
      <c r="B155">
        <f>Ingredientes!FD10</f>
        <v>3.5703973579757547E-2</v>
      </c>
      <c r="C155" t="s">
        <v>199</v>
      </c>
    </row>
    <row r="156" spans="1:3" x14ac:dyDescent="0.3">
      <c r="A156" t="s">
        <v>356</v>
      </c>
      <c r="B156">
        <f>Ingredientes!FE10</f>
        <v>7.5329260398472458E-2</v>
      </c>
      <c r="C156" t="s">
        <v>199</v>
      </c>
    </row>
    <row r="157" spans="1:3" x14ac:dyDescent="0.3">
      <c r="A157" t="s">
        <v>357</v>
      </c>
      <c r="B157">
        <f>Ingredientes!FF10</f>
        <v>3.7944515210514777E-2</v>
      </c>
      <c r="C157" t="s">
        <v>199</v>
      </c>
    </row>
    <row r="158" spans="1:3" x14ac:dyDescent="0.3">
      <c r="A158" t="s">
        <v>358</v>
      </c>
      <c r="B158">
        <f>Ingredientes!FG10</f>
        <v>0</v>
      </c>
      <c r="C158" t="s">
        <v>199</v>
      </c>
    </row>
    <row r="159" spans="1:3" x14ac:dyDescent="0.3">
      <c r="A159" t="s">
        <v>359</v>
      </c>
      <c r="B159">
        <f>Ingredientes!FH10</f>
        <v>1.6880793108444859E-3</v>
      </c>
      <c r="C159" t="s">
        <v>199</v>
      </c>
    </row>
    <row r="160" spans="1:3" x14ac:dyDescent="0.3">
      <c r="A160" t="s">
        <v>360</v>
      </c>
      <c r="B160">
        <f>Ingredientes!FI10</f>
        <v>0</v>
      </c>
      <c r="C160" t="s">
        <v>199</v>
      </c>
    </row>
    <row r="161" spans="1:3" x14ac:dyDescent="0.3">
      <c r="A161" t="s">
        <v>361</v>
      </c>
      <c r="B161">
        <f>Ingredientes!FJ10</f>
        <v>0</v>
      </c>
      <c r="C161" t="s">
        <v>224</v>
      </c>
    </row>
    <row r="162" spans="1:3" x14ac:dyDescent="0.3">
      <c r="A162" t="s">
        <v>362</v>
      </c>
      <c r="B162">
        <f>Ingredientes!FK10</f>
        <v>0</v>
      </c>
      <c r="C162" t="s">
        <v>224</v>
      </c>
    </row>
    <row r="163" spans="1:3" x14ac:dyDescent="0.3">
      <c r="A163" t="s">
        <v>363</v>
      </c>
      <c r="B163">
        <f>Ingredientes!FL10</f>
        <v>1.008755273025857E-2</v>
      </c>
      <c r="C163" t="s">
        <v>199</v>
      </c>
    </row>
    <row r="164" spans="1:3" x14ac:dyDescent="0.3">
      <c r="A164" t="s">
        <v>364</v>
      </c>
      <c r="B164">
        <f>Ingredientes!FM10</f>
        <v>1.6091561222855228</v>
      </c>
      <c r="C164" t="s">
        <v>224</v>
      </c>
    </row>
    <row r="165" spans="1:3" x14ac:dyDescent="0.3">
      <c r="A165" t="s">
        <v>365</v>
      </c>
      <c r="B165">
        <f>Ingredientes!FN10</f>
        <v>32.972354331300082</v>
      </c>
      <c r="C165" t="s">
        <v>224</v>
      </c>
    </row>
    <row r="166" spans="1:3" x14ac:dyDescent="0.3">
      <c r="A166" t="s">
        <v>366</v>
      </c>
      <c r="B166">
        <f>Ingredientes!FO10</f>
        <v>57.679696971842098</v>
      </c>
      <c r="C166" t="s">
        <v>224</v>
      </c>
    </row>
    <row r="167" spans="1:3" x14ac:dyDescent="0.3">
      <c r="A167" t="s">
        <v>367</v>
      </c>
      <c r="B167">
        <f>Ingredientes!FP10</f>
        <v>0</v>
      </c>
      <c r="C167" t="s">
        <v>224</v>
      </c>
    </row>
    <row r="168" spans="1:3" x14ac:dyDescent="0.3">
      <c r="A168" t="s">
        <v>368</v>
      </c>
      <c r="B168">
        <f>Ingredientes!FQ10</f>
        <v>4.7134682056047331E-2</v>
      </c>
      <c r="C168" t="s">
        <v>224</v>
      </c>
    </row>
    <row r="169" spans="1:3" x14ac:dyDescent="0.3">
      <c r="A169" t="s">
        <v>369</v>
      </c>
      <c r="B169">
        <f>Ingredientes!FR10</f>
        <v>0.12320786658371442</v>
      </c>
      <c r="C169" t="s">
        <v>224</v>
      </c>
    </row>
    <row r="170" spans="1:3" x14ac:dyDescent="0.3">
      <c r="A170" t="s">
        <v>370</v>
      </c>
      <c r="B170">
        <f>Ingredientes!FS10</f>
        <v>0.23019263329697534</v>
      </c>
      <c r="C170" t="s">
        <v>224</v>
      </c>
    </row>
    <row r="171" spans="1:3" x14ac:dyDescent="0.3">
      <c r="A171" t="s">
        <v>371</v>
      </c>
      <c r="B171">
        <f>Ingredientes!FT10</f>
        <v>0.45600064500734161</v>
      </c>
      <c r="C171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2025-12-04T23:00:17Z</dcterms:created>
  <dcterms:modified xsi:type="dcterms:W3CDTF">2025-12-04T23:01:08Z</dcterms:modified>
</cp:coreProperties>
</file>