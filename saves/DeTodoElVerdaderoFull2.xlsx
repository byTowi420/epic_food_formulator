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Y1" s="4" t="inlineStr">
        <is>
          <t>Minerals</t>
        </is>
      </c>
      <c r="AK1" s="5" t="inlineStr">
        <is>
          <t>Vitamins and Other Components</t>
        </is>
      </c>
      <c r="CM1" s="6" t="inlineStr">
        <is>
          <t>Lipids</t>
        </is>
      </c>
      <c r="FN1" s="7" t="inlineStr">
        <is>
          <t>Amino acids</t>
        </is>
      </c>
      <c r="GG1" s="8" t="inlineStr">
        <is>
          <t>Phytosterols</t>
        </is>
      </c>
      <c r="GK1" s="8" t="inlineStr">
        <is>
          <t>Organic acids</t>
        </is>
      </c>
      <c r="GO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Galactose (g)</t>
        </is>
      </c>
      <c r="X2" s="3" t="inlineStr">
        <is>
          <t>Starch (g)</t>
        </is>
      </c>
      <c r="Y2" s="4" t="inlineStr">
        <is>
          <t>Calcium, Ca (mg)</t>
        </is>
      </c>
      <c r="Z2" s="4" t="inlineStr">
        <is>
          <t>Iron, Fe (mg)</t>
        </is>
      </c>
      <c r="AA2" s="4" t="inlineStr">
        <is>
          <t>Magnesium, Mg (mg)</t>
        </is>
      </c>
      <c r="AB2" s="4" t="inlineStr">
        <is>
          <t>Phosphorus, P (mg)</t>
        </is>
      </c>
      <c r="AC2" s="4" t="inlineStr">
        <is>
          <t>Potassium, K (mg)</t>
        </is>
      </c>
      <c r="AD2" s="4" t="inlineStr">
        <is>
          <t>Sodium, Na (mg)</t>
        </is>
      </c>
      <c r="AE2" s="4" t="inlineStr">
        <is>
          <t>Zinc, Zn (mg)</t>
        </is>
      </c>
      <c r="AF2" s="4" t="inlineStr">
        <is>
          <t>Copper, Cu (mg)</t>
        </is>
      </c>
      <c r="AG2" s="4" t="inlineStr">
        <is>
          <t>Manganese, Mn (mg)</t>
        </is>
      </c>
      <c r="AH2" s="4" t="inlineStr">
        <is>
          <t>Iodine, I (µg)</t>
        </is>
      </c>
      <c r="AI2" s="4" t="inlineStr">
        <is>
          <t>Selenium, Se (µg)</t>
        </is>
      </c>
      <c r="AJ2" s="4" t="inlineStr">
        <is>
          <t>Fluoride, F (µg)</t>
        </is>
      </c>
      <c r="AK2" s="5" t="inlineStr">
        <is>
          <t>Folate, food (µg)</t>
        </is>
      </c>
      <c r="AL2" s="5" t="inlineStr">
        <is>
          <t>Thiamin (mg)</t>
        </is>
      </c>
      <c r="AM2" s="5" t="inlineStr">
        <is>
          <t>Riboflavin (mg)</t>
        </is>
      </c>
      <c r="AN2" s="5" t="inlineStr">
        <is>
          <t>Niacin (mg)</t>
        </is>
      </c>
      <c r="AO2" s="5" t="inlineStr">
        <is>
          <t>Vitamin B-6 (mg)</t>
        </is>
      </c>
      <c r="AP2" s="5" t="inlineStr">
        <is>
          <t>Folate, total (µg)</t>
        </is>
      </c>
      <c r="AQ2" s="5" t="inlineStr">
        <is>
          <t>Folic acid (µg)</t>
        </is>
      </c>
      <c r="AR2" s="5" t="inlineStr">
        <is>
          <t>Folate, DFE (µg)</t>
        </is>
      </c>
      <c r="AS2" s="5" t="inlineStr">
        <is>
          <t>Choline, total (mg)</t>
        </is>
      </c>
      <c r="AT2" s="5" t="inlineStr">
        <is>
          <t>Choline, free (mg)</t>
        </is>
      </c>
      <c r="AU2" s="5" t="inlineStr">
        <is>
          <t>Choline, from phosphocholine (mg)</t>
        </is>
      </c>
      <c r="AV2" s="5" t="inlineStr">
        <is>
          <t>Choline, from phosphatidyl choline (mg)</t>
        </is>
      </c>
      <c r="AW2" s="5" t="inlineStr">
        <is>
          <t>Choline, from glycerophosphocholine (mg)</t>
        </is>
      </c>
      <c r="AX2" s="5" t="inlineStr">
        <is>
          <t>Choline, from sphingomyelin (mg)</t>
        </is>
      </c>
      <c r="AY2" s="5" t="inlineStr">
        <is>
          <t>Betaine (mg)</t>
        </is>
      </c>
      <c r="AZ2" s="5" t="inlineStr">
        <is>
          <t>Vitamin B-12 (µg)</t>
        </is>
      </c>
      <c r="BA2" s="5" t="inlineStr">
        <is>
          <t>Vitamin B-12, added (µg)</t>
        </is>
      </c>
      <c r="BB2" s="5" t="inlineStr">
        <is>
          <t>Vitamin A, RAE (µg)</t>
        </is>
      </c>
      <c r="BC2" s="5" t="inlineStr">
        <is>
          <t>Retinol (µg)</t>
        </is>
      </c>
      <c r="BD2" s="5" t="inlineStr">
        <is>
          <t>Carotene, beta (µg)</t>
        </is>
      </c>
      <c r="BE2" s="5" t="inlineStr">
        <is>
          <t>cis-beta-Carotene (µg)</t>
        </is>
      </c>
      <c r="BF2" s="5" t="inlineStr">
        <is>
          <t>trans-beta-Carotene (µg)</t>
        </is>
      </c>
      <c r="BG2" s="5" t="inlineStr">
        <is>
          <t>Carotene, alpha (µg)</t>
        </is>
      </c>
      <c r="BH2" s="5" t="inlineStr">
        <is>
          <t>Cryptoxanthin, beta (µg)</t>
        </is>
      </c>
      <c r="BI2" s="5" t="inlineStr">
        <is>
          <t>Cryptoxanthin, alpha (µg)</t>
        </is>
      </c>
      <c r="BJ2" s="5" t="inlineStr">
        <is>
          <t>Vitamin A, IU (iu)</t>
        </is>
      </c>
      <c r="BK2" s="5" t="inlineStr">
        <is>
          <t>Lycopene (µg)</t>
        </is>
      </c>
      <c r="BL2" s="5" t="inlineStr">
        <is>
          <t>cis-Lycopene (µg)</t>
        </is>
      </c>
      <c r="BM2" s="5" t="inlineStr">
        <is>
          <t>trans-Lycopene (µg)</t>
        </is>
      </c>
      <c r="BN2" s="5" t="inlineStr">
        <is>
          <t>Lutein + zeaxanthin (µg)</t>
        </is>
      </c>
      <c r="BO2" s="5" t="inlineStr">
        <is>
          <t>cis-Lutein/Zeaxanthin (µg)</t>
        </is>
      </c>
      <c r="BP2" s="5" t="inlineStr">
        <is>
          <t>Lutein (µg)</t>
        </is>
      </c>
      <c r="BQ2" s="5" t="inlineStr">
        <is>
          <t>Zeaxanthin (µg)</t>
        </is>
      </c>
      <c r="BR2" s="5" t="inlineStr">
        <is>
          <t>Vitamin D (D2 + D3), International Units (iu)</t>
        </is>
      </c>
      <c r="BS2" s="5" t="inlineStr">
        <is>
          <t>Vitamin D (D2 + D3) (µg)</t>
        </is>
      </c>
      <c r="BT2" s="5" t="inlineStr">
        <is>
          <t>Vitamin D2 (ergocalciferol) (µg)</t>
        </is>
      </c>
      <c r="BU2" s="5" t="inlineStr">
        <is>
          <t>Vitamin D3 (cholecalciferol) (µg)</t>
        </is>
      </c>
      <c r="BV2" s="5" t="inlineStr">
        <is>
          <t>25-hydroxycholecalciferol (µg)</t>
        </is>
      </c>
      <c r="BW2" s="5" t="inlineStr">
        <is>
          <t>Vitamin K (phylloquinone) (µg)</t>
        </is>
      </c>
      <c r="BX2" s="5" t="inlineStr">
        <is>
          <t>Vitamin K (Dihydrophylloquinone) (µg)</t>
        </is>
      </c>
      <c r="BY2" s="5" t="inlineStr">
        <is>
          <t>Vitamin K (Menaquinone-4) (µg)</t>
        </is>
      </c>
      <c r="BZ2" s="5" t="inlineStr">
        <is>
          <t>Vitamin E (alpha-tocopherol) (mg)</t>
        </is>
      </c>
      <c r="CA2" s="5" t="inlineStr">
        <is>
          <t>Vitamin E, added (mg)</t>
        </is>
      </c>
      <c r="CB2" s="5" t="inlineStr">
        <is>
          <t>Tocopherol, beta (mg)</t>
        </is>
      </c>
      <c r="CC2" s="5" t="inlineStr">
        <is>
          <t>Tocopherol, gamma (mg)</t>
        </is>
      </c>
      <c r="CD2" s="5" t="inlineStr">
        <is>
          <t>Tocopherol, delta (mg)</t>
        </is>
      </c>
      <c r="CE2" s="5" t="inlineStr">
        <is>
          <t>Tocotrienol, alpha (mg)</t>
        </is>
      </c>
      <c r="CF2" s="5" t="inlineStr">
        <is>
          <t>Tocotrienol, beta (mg)</t>
        </is>
      </c>
      <c r="CG2" s="5" t="inlineStr">
        <is>
          <t>Tocotrienol, gamma (mg)</t>
        </is>
      </c>
      <c r="CH2" s="5" t="inlineStr">
        <is>
          <t>Tocotrienol, delta (mg)</t>
        </is>
      </c>
      <c r="CI2" s="5" t="inlineStr">
        <is>
          <t>Vitamin C, total ascorbic acid (mg)</t>
        </is>
      </c>
      <c r="CJ2" s="5" t="inlineStr">
        <is>
          <t>Pantothenic acid (mg)</t>
        </is>
      </c>
      <c r="CK2" s="5" t="inlineStr">
        <is>
          <t>Caffeine (mg)</t>
        </is>
      </c>
      <c r="CL2" s="5" t="inlineStr">
        <is>
          <t>Theobromine (mg)</t>
        </is>
      </c>
      <c r="CM2" s="6" t="inlineStr">
        <is>
          <t>Fatty acids, total saturated (g)</t>
        </is>
      </c>
      <c r="CN2" s="6" t="inlineStr">
        <is>
          <t>SFA 4:0 (g)</t>
        </is>
      </c>
      <c r="CO2" s="6" t="inlineStr">
        <is>
          <t>SFA 5:0 (g)</t>
        </is>
      </c>
      <c r="CP2" s="6" t="inlineStr">
        <is>
          <t>SFA 6:0 (g)</t>
        </is>
      </c>
      <c r="CQ2" s="6" t="inlineStr">
        <is>
          <t>SFA 7:0 (g)</t>
        </is>
      </c>
      <c r="CR2" s="6" t="inlineStr">
        <is>
          <t>SFA 8:0 (g)</t>
        </is>
      </c>
      <c r="CS2" s="6" t="inlineStr">
        <is>
          <t>SFA 9:0 (g)</t>
        </is>
      </c>
      <c r="CT2" s="6" t="inlineStr">
        <is>
          <t>SFA 10:0 (g)</t>
        </is>
      </c>
      <c r="CU2" s="6" t="inlineStr">
        <is>
          <t>SFA 11:0 (g)</t>
        </is>
      </c>
      <c r="CV2" s="6" t="inlineStr">
        <is>
          <t>SFA 12:0 (g)</t>
        </is>
      </c>
      <c r="CW2" s="6" t="inlineStr">
        <is>
          <t>SFA 14:0 (g)</t>
        </is>
      </c>
      <c r="CX2" s="6" t="inlineStr">
        <is>
          <t>SFA 15:0 (g)</t>
        </is>
      </c>
      <c r="CY2" s="6" t="inlineStr">
        <is>
          <t>SFA 16:0 (g)</t>
        </is>
      </c>
      <c r="CZ2" s="6" t="inlineStr">
        <is>
          <t>SFA 17:0 (g)</t>
        </is>
      </c>
      <c r="DA2" s="6" t="inlineStr">
        <is>
          <t>SFA 18:0 (g)</t>
        </is>
      </c>
      <c r="DB2" s="6" t="inlineStr">
        <is>
          <t>SFA 20:0 (g)</t>
        </is>
      </c>
      <c r="DC2" s="6" t="inlineStr">
        <is>
          <t>SFA 21:0 (g)</t>
        </is>
      </c>
      <c r="DD2" s="6" t="inlineStr">
        <is>
          <t>SFA 22:0 (g)</t>
        </is>
      </c>
      <c r="DE2" s="6" t="inlineStr">
        <is>
          <t>SFA 23:0 (g)</t>
        </is>
      </c>
      <c r="DF2" s="6" t="inlineStr">
        <is>
          <t>SFA 24:0 (g)</t>
        </is>
      </c>
      <c r="DG2" s="6" t="inlineStr">
        <is>
          <t>Fatty acids, total monounsaturated (g)</t>
        </is>
      </c>
      <c r="DH2" s="6" t="inlineStr">
        <is>
          <t>MUFA 12:1 (g)</t>
        </is>
      </c>
      <c r="DI2" s="6" t="inlineStr">
        <is>
          <t>MUFA 14:1 (g)</t>
        </is>
      </c>
      <c r="DJ2" s="6" t="inlineStr">
        <is>
          <t>MUFA 14:1 c (g)</t>
        </is>
      </c>
      <c r="DK2" s="6" t="inlineStr">
        <is>
          <t>MUFA 15:1 (g)</t>
        </is>
      </c>
      <c r="DL2" s="6" t="inlineStr">
        <is>
          <t>MUFA 16:1 (g)</t>
        </is>
      </c>
      <c r="DM2" s="6" t="inlineStr">
        <is>
          <t>MUFA 16:1 c (g)</t>
        </is>
      </c>
      <c r="DN2" s="6" t="inlineStr">
        <is>
          <t>MUFA 17:1 (g)</t>
        </is>
      </c>
      <c r="DO2" s="6" t="inlineStr">
        <is>
          <t>MUFA 17:1 c (g)</t>
        </is>
      </c>
      <c r="DP2" s="6" t="inlineStr">
        <is>
          <t>MUFA 18:1 (g)</t>
        </is>
      </c>
      <c r="DQ2" s="6" t="inlineStr">
        <is>
          <t>MUFA 18:1 c (g)</t>
        </is>
      </c>
      <c r="DR2" s="6" t="inlineStr">
        <is>
          <t>MUFA 20:1 (g)</t>
        </is>
      </c>
      <c r="DS2" s="6" t="inlineStr">
        <is>
          <t>MUFA 20:1 c (g)</t>
        </is>
      </c>
      <c r="DT2" s="6" t="inlineStr">
        <is>
          <t>MUFA 22:1 (g)</t>
        </is>
      </c>
      <c r="DU2" s="6" t="inlineStr">
        <is>
          <t>MUFA 22:1 c (g)</t>
        </is>
      </c>
      <c r="DV2" s="6" t="inlineStr">
        <is>
          <t>MUFA 22:1 n-9 (g)</t>
        </is>
      </c>
      <c r="DW2" s="6" t="inlineStr">
        <is>
          <t>MUFA 22:1 n-11 (g)</t>
        </is>
      </c>
      <c r="DX2" s="6" t="inlineStr">
        <is>
          <t>MUFA 24:1 c (g)</t>
        </is>
      </c>
      <c r="DY2" s="6" t="inlineStr">
        <is>
          <t>Fatty acids, total polyunsaturated (g)</t>
        </is>
      </c>
      <c r="DZ2" s="6" t="inlineStr">
        <is>
          <t>PUFA 18:2 (g)</t>
        </is>
      </c>
      <c r="EA2" s="6" t="inlineStr">
        <is>
          <t>PUFA 18:2 c (g)</t>
        </is>
      </c>
      <c r="EB2" s="6" t="inlineStr">
        <is>
          <t>PUFA 18:2 n-6 c,c (g)</t>
        </is>
      </c>
      <c r="EC2" s="6" t="inlineStr">
        <is>
          <t>PUFA 18:2 CLAs (g)</t>
        </is>
      </c>
      <c r="ED2" s="6" t="inlineStr">
        <is>
          <t>PUFA 18:3 (g)</t>
        </is>
      </c>
      <c r="EE2" s="6" t="inlineStr">
        <is>
          <t>PUFA 18:3 c (g)</t>
        </is>
      </c>
      <c r="EF2" s="6" t="inlineStr">
        <is>
          <t>PUFA 18:3 n-3 c,c,c (ALA) (g)</t>
        </is>
      </c>
      <c r="EG2" s="6" t="inlineStr">
        <is>
          <t>PUFA 18:3 n-6 c,c,c (g)</t>
        </is>
      </c>
      <c r="EH2" s="6" t="inlineStr">
        <is>
          <t>PUFA 18:4 (g)</t>
        </is>
      </c>
      <c r="EI2" s="6" t="inlineStr">
        <is>
          <t>PUFA 20:2 c (g)</t>
        </is>
      </c>
      <c r="EJ2" s="6" t="inlineStr">
        <is>
          <t>PUFA 20:2 n-6 c,c (g)</t>
        </is>
      </c>
      <c r="EK2" s="6" t="inlineStr">
        <is>
          <t>PUFA 20:3 (g)</t>
        </is>
      </c>
      <c r="EL2" s="6" t="inlineStr">
        <is>
          <t>PUFA 20:3 c (g)</t>
        </is>
      </c>
      <c r="EM2" s="6" t="inlineStr">
        <is>
          <t>PUFA 20:3 n-3 (g)</t>
        </is>
      </c>
      <c r="EN2" s="6" t="inlineStr">
        <is>
          <t>PUFA 20:3 n-6 (g)</t>
        </is>
      </c>
      <c r="EO2" s="6" t="inlineStr">
        <is>
          <t>PUFA 20:3 n-9 (g)</t>
        </is>
      </c>
      <c r="EP2" s="6" t="inlineStr">
        <is>
          <t>PUFA 20:4 (g)</t>
        </is>
      </c>
      <c r="EQ2" s="6" t="inlineStr">
        <is>
          <t>PUFA 20:4c (g)</t>
        </is>
      </c>
      <c r="ER2" s="6" t="inlineStr">
        <is>
          <t>PUFA 20:5c (g)</t>
        </is>
      </c>
      <c r="ES2" s="6" t="inlineStr">
        <is>
          <t>PUFA 20:5 n-3 (EPA) (g)</t>
        </is>
      </c>
      <c r="ET2" s="6" t="inlineStr">
        <is>
          <t>PUFA 22:2 (g)</t>
        </is>
      </c>
      <c r="EU2" s="6" t="inlineStr">
        <is>
          <t>PUFA 22:3 (g)</t>
        </is>
      </c>
      <c r="EV2" s="6" t="inlineStr">
        <is>
          <t>PUFA 22:4 (g)</t>
        </is>
      </c>
      <c r="EW2" s="6" t="inlineStr">
        <is>
          <t>PUFA 22:5 c (g)</t>
        </is>
      </c>
      <c r="EX2" s="6" t="inlineStr">
        <is>
          <t>PUFA 22:5 n-3 (DPA) (g)</t>
        </is>
      </c>
      <c r="EY2" s="6" t="inlineStr">
        <is>
          <t>PUFA 22:6 c (g)</t>
        </is>
      </c>
      <c r="EZ2" s="6" t="inlineStr">
        <is>
          <t>PUFA 22:6 n-3 (DHA) (g)</t>
        </is>
      </c>
      <c r="FA2" s="6" t="inlineStr">
        <is>
          <t>Fatty acids, total trans (g)</t>
        </is>
      </c>
      <c r="FB2" s="6" t="inlineStr">
        <is>
          <t>Fatty acids, total trans-monoenoic (g)</t>
        </is>
      </c>
      <c r="FC2" s="6" t="inlineStr">
        <is>
          <t>Fatty acids, total trans-dienoic (g)</t>
        </is>
      </c>
      <c r="FD2" s="6" t="inlineStr">
        <is>
          <t>Fatty acids, total trans-polyenoic (g)</t>
        </is>
      </c>
      <c r="FE2" s="6" t="inlineStr">
        <is>
          <t>TFA 14:1 t (g)</t>
        </is>
      </c>
      <c r="FF2" s="6" t="inlineStr">
        <is>
          <t>TFA 16:1 t (g)</t>
        </is>
      </c>
      <c r="FG2" s="6" t="inlineStr">
        <is>
          <t>TFA 18:1 t (g)</t>
        </is>
      </c>
      <c r="FH2" s="6" t="inlineStr">
        <is>
          <t>TFA 18:2 t,t (g)</t>
        </is>
      </c>
      <c r="FI2" s="6" t="inlineStr">
        <is>
          <t>TFA 18:2 t not further defined (g)</t>
        </is>
      </c>
      <c r="FJ2" s="6" t="inlineStr">
        <is>
          <t>TFA 18:3 t (g)</t>
        </is>
      </c>
      <c r="FK2" s="6" t="inlineStr">
        <is>
          <t>TFA 20:1 t (g)</t>
        </is>
      </c>
      <c r="FL2" s="6" t="inlineStr">
        <is>
          <t>TFA 22:1 t (g)</t>
        </is>
      </c>
      <c r="FM2" s="6" t="inlineStr">
        <is>
          <t>Cholesterol (mg)</t>
        </is>
      </c>
      <c r="FN2" s="7" t="inlineStr">
        <is>
          <t>Tryptophan (g)</t>
        </is>
      </c>
      <c r="FO2" s="7" t="inlineStr">
        <is>
          <t>Threonine (g)</t>
        </is>
      </c>
      <c r="FP2" s="7" t="inlineStr">
        <is>
          <t>Isoleucine (g)</t>
        </is>
      </c>
      <c r="FQ2" s="7" t="inlineStr">
        <is>
          <t>Leucine (g)</t>
        </is>
      </c>
      <c r="FR2" s="7" t="inlineStr">
        <is>
          <t>Lysine (g)</t>
        </is>
      </c>
      <c r="FS2" s="7" t="inlineStr">
        <is>
          <t>Methionine (g)</t>
        </is>
      </c>
      <c r="FT2" s="7" t="inlineStr">
        <is>
          <t>Phenylalanine (g)</t>
        </is>
      </c>
      <c r="FU2" s="7" t="inlineStr">
        <is>
          <t>Tyrosine (g)</t>
        </is>
      </c>
      <c r="FV2" s="7" t="inlineStr">
        <is>
          <t>Valine (g)</t>
        </is>
      </c>
      <c r="FW2" s="7" t="inlineStr">
        <is>
          <t>Arginine (g)</t>
        </is>
      </c>
      <c r="FX2" s="7" t="inlineStr">
        <is>
          <t>Histidine (g)</t>
        </is>
      </c>
      <c r="FY2" s="7" t="inlineStr">
        <is>
          <t>Alanine (g)</t>
        </is>
      </c>
      <c r="FZ2" s="7" t="inlineStr">
        <is>
          <t>Aspartic acid (g)</t>
        </is>
      </c>
      <c r="GA2" s="7" t="inlineStr">
        <is>
          <t>Glutamic acid (g)</t>
        </is>
      </c>
      <c r="GB2" s="7" t="inlineStr">
        <is>
          <t>Glycine (g)</t>
        </is>
      </c>
      <c r="GC2" s="7" t="inlineStr">
        <is>
          <t>Proline (g)</t>
        </is>
      </c>
      <c r="GD2" s="7" t="inlineStr">
        <is>
          <t>Serine (g)</t>
        </is>
      </c>
      <c r="GE2" s="7" t="inlineStr">
        <is>
          <t>Hydroxyproline (g)</t>
        </is>
      </c>
      <c r="GF2" s="7" t="inlineStr">
        <is>
          <t>Cysteine (g)</t>
        </is>
      </c>
      <c r="GG2" s="8" t="inlineStr">
        <is>
          <t>Phytosterols (mg)</t>
        </is>
      </c>
      <c r="GH2" s="8" t="inlineStr">
        <is>
          <t>Beta-sitosterol (mg)</t>
        </is>
      </c>
      <c r="GI2" s="8" t="inlineStr">
        <is>
          <t>Campesterol (mg)</t>
        </is>
      </c>
      <c r="GJ2" s="8" t="inlineStr">
        <is>
          <t>Stigmasterol (mg)</t>
        </is>
      </c>
      <c r="GK2" s="8" t="inlineStr">
        <is>
          <t>Citric acid (mg)</t>
        </is>
      </c>
      <c r="GL2" s="8" t="inlineStr">
        <is>
          <t>Malic acid (mg)</t>
        </is>
      </c>
      <c r="GM2" s="8" t="inlineStr">
        <is>
          <t>Oxalic acid (mg)</t>
        </is>
      </c>
      <c r="GN2" s="8" t="inlineStr">
        <is>
          <t>Quinic acid (mg)</t>
        </is>
      </c>
      <c r="GO2" s="8" t="inlineStr">
        <is>
          <t>Alcohol, ethyl (g)</t>
        </is>
      </c>
    </row>
    <row r="3">
      <c r="A3" t="n">
        <v>172336</v>
      </c>
      <c r="B3" t="inlineStr">
        <is>
          <t>Oil, canola</t>
        </is>
      </c>
      <c r="C3" t="inlineStr"/>
      <c r="D3" t="inlineStr">
        <is>
          <t>SR Legacy</t>
        </is>
      </c>
      <c r="E3" s="9" t="n">
        <v>30</v>
      </c>
      <c r="F3" s="10">
        <f>E3/SUM($E$3:$E$8)</f>
        <v/>
      </c>
      <c r="G3" t="n">
        <v>0</v>
      </c>
      <c r="H3" t="n">
        <v>900</v>
      </c>
      <c r="I3" t="n">
        <v>3765.6</v>
      </c>
      <c r="J3" t="n">
        <v>0</v>
      </c>
      <c r="K3" t="n">
        <v>0</v>
      </c>
      <c r="L3" t="n">
        <v>100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I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G3" t="n">
        <v>0</v>
      </c>
      <c r="BH3" t="n">
        <v>0</v>
      </c>
      <c r="BJ3" t="n">
        <v>0</v>
      </c>
      <c r="BK3" t="n">
        <v>0</v>
      </c>
      <c r="BN3" t="n">
        <v>0</v>
      </c>
      <c r="BR3" t="n">
        <v>0</v>
      </c>
      <c r="BS3" t="n">
        <v>0</v>
      </c>
      <c r="BW3" t="n">
        <v>71.3</v>
      </c>
      <c r="BX3" t="n">
        <v>0</v>
      </c>
      <c r="BY3" t="n">
        <v>0</v>
      </c>
      <c r="BZ3" t="n">
        <v>17.5</v>
      </c>
      <c r="CA3" t="n">
        <v>0</v>
      </c>
      <c r="CB3" t="n">
        <v>0.01</v>
      </c>
      <c r="CC3" t="n">
        <v>27.3</v>
      </c>
      <c r="CD3" t="n">
        <v>0.99</v>
      </c>
      <c r="CE3" t="n">
        <v>0.03</v>
      </c>
      <c r="CF3" t="n">
        <v>0</v>
      </c>
      <c r="CG3" t="n">
        <v>0</v>
      </c>
      <c r="CH3" t="n">
        <v>0.01</v>
      </c>
      <c r="CI3" t="n">
        <v>0</v>
      </c>
      <c r="CJ3" t="n">
        <v>0</v>
      </c>
      <c r="CK3" t="n">
        <v>0</v>
      </c>
      <c r="CL3" t="n">
        <v>0</v>
      </c>
      <c r="CM3" t="n">
        <v>7.36</v>
      </c>
      <c r="CN3" t="n">
        <v>0</v>
      </c>
      <c r="CP3" t="n">
        <v>0</v>
      </c>
      <c r="CR3" t="n">
        <v>0</v>
      </c>
      <c r="CT3" t="n">
        <v>0</v>
      </c>
      <c r="CV3" t="n">
        <v>0</v>
      </c>
      <c r="CW3" t="n">
        <v>0</v>
      </c>
      <c r="CX3" t="n">
        <v>0</v>
      </c>
      <c r="CY3" t="n">
        <v>4.3</v>
      </c>
      <c r="CZ3" t="n">
        <v>0</v>
      </c>
      <c r="DA3" t="n">
        <v>2.09</v>
      </c>
      <c r="DB3" t="n">
        <v>0.65</v>
      </c>
      <c r="DD3" t="n">
        <v>0.33</v>
      </c>
      <c r="DG3" t="n">
        <v>63.3</v>
      </c>
      <c r="DI3" t="n">
        <v>0</v>
      </c>
      <c r="DK3" t="n">
        <v>0</v>
      </c>
      <c r="DL3" t="n">
        <v>0.214</v>
      </c>
      <c r="DN3" t="n">
        <v>0</v>
      </c>
      <c r="DP3" t="n">
        <v>61.7</v>
      </c>
      <c r="DQ3" t="n">
        <v>61.7</v>
      </c>
      <c r="DR3" t="n">
        <v>1.32</v>
      </c>
      <c r="DT3" t="n">
        <v>0</v>
      </c>
      <c r="DY3" t="n">
        <v>28.1</v>
      </c>
      <c r="DZ3" t="n">
        <v>19</v>
      </c>
      <c r="EB3" t="n">
        <v>18.6</v>
      </c>
      <c r="ED3" t="n">
        <v>9.140000000000001</v>
      </c>
      <c r="EF3" t="n">
        <v>9.140000000000001</v>
      </c>
      <c r="EG3" t="n">
        <v>0</v>
      </c>
      <c r="EH3" t="n">
        <v>0</v>
      </c>
      <c r="EJ3" t="n">
        <v>0</v>
      </c>
      <c r="EK3" t="n">
        <v>0</v>
      </c>
      <c r="EP3" t="n">
        <v>0</v>
      </c>
      <c r="ES3" t="n">
        <v>0</v>
      </c>
      <c r="EX3" t="n">
        <v>0</v>
      </c>
      <c r="EZ3" t="n">
        <v>0</v>
      </c>
      <c r="FA3" t="n">
        <v>0.395</v>
      </c>
      <c r="FB3" t="n">
        <v>0.03</v>
      </c>
      <c r="FD3" t="n">
        <v>0.365</v>
      </c>
      <c r="FG3" t="n">
        <v>0.03</v>
      </c>
      <c r="FH3" t="n">
        <v>0.365</v>
      </c>
      <c r="FM3" t="n">
        <v>0</v>
      </c>
      <c r="GH3" t="n">
        <v>413</v>
      </c>
      <c r="GI3" t="n">
        <v>241</v>
      </c>
      <c r="GJ3" t="n">
        <v>3</v>
      </c>
      <c r="GO3" t="n">
        <v>0</v>
      </c>
    </row>
    <row r="4">
      <c r="A4" t="n">
        <v>173468</v>
      </c>
      <c r="B4" t="inlineStr">
        <is>
          <t>Salt, table</t>
        </is>
      </c>
      <c r="C4" t="inlineStr"/>
      <c r="D4" t="inlineStr">
        <is>
          <t>SR Legacy</t>
        </is>
      </c>
      <c r="E4" s="9" t="n">
        <v>3.130147163880557</v>
      </c>
      <c r="F4" s="10">
        <f>E4/SUM($E$3:$E$8)</f>
        <v/>
      </c>
      <c r="G4" t="n">
        <v>0.2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99.8</v>
      </c>
      <c r="O4" t="n">
        <v>0</v>
      </c>
      <c r="P4" t="n">
        <v>0</v>
      </c>
      <c r="Q4" t="n">
        <v>0</v>
      </c>
      <c r="Y4" t="n">
        <v>24</v>
      </c>
      <c r="Z4" t="n">
        <v>0.33</v>
      </c>
      <c r="AA4" t="n">
        <v>1</v>
      </c>
      <c r="AB4" t="n">
        <v>0</v>
      </c>
      <c r="AC4" t="n">
        <v>8</v>
      </c>
      <c r="AD4" t="n">
        <v>38800</v>
      </c>
      <c r="AE4" t="n">
        <v>0.1</v>
      </c>
      <c r="AF4" t="n">
        <v>0.03</v>
      </c>
      <c r="AG4" t="n">
        <v>0.1</v>
      </c>
      <c r="AI4" t="n">
        <v>0.1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G4" t="n">
        <v>0</v>
      </c>
      <c r="BH4" t="n">
        <v>0</v>
      </c>
      <c r="BJ4" t="n">
        <v>0</v>
      </c>
      <c r="BK4" t="n">
        <v>0</v>
      </c>
      <c r="BN4" t="n">
        <v>0</v>
      </c>
      <c r="BR4" t="n">
        <v>0</v>
      </c>
      <c r="BS4" t="n">
        <v>0</v>
      </c>
      <c r="BW4" t="n">
        <v>0</v>
      </c>
      <c r="BZ4" t="n">
        <v>0</v>
      </c>
      <c r="CA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P4" t="n">
        <v>0</v>
      </c>
      <c r="CR4" t="n">
        <v>0</v>
      </c>
      <c r="CT4" t="n">
        <v>0</v>
      </c>
      <c r="CV4" t="n">
        <v>0</v>
      </c>
      <c r="CW4" t="n">
        <v>0</v>
      </c>
      <c r="CY4" t="n">
        <v>0</v>
      </c>
      <c r="DA4" t="n">
        <v>0</v>
      </c>
      <c r="DG4" t="n">
        <v>0</v>
      </c>
      <c r="DL4" t="n">
        <v>0</v>
      </c>
      <c r="DP4" t="n">
        <v>0</v>
      </c>
      <c r="DR4" t="n">
        <v>0</v>
      </c>
      <c r="DT4" t="n">
        <v>0</v>
      </c>
      <c r="DY4" t="n">
        <v>0</v>
      </c>
      <c r="DZ4" t="n">
        <v>0</v>
      </c>
      <c r="ED4" t="n">
        <v>0</v>
      </c>
      <c r="EH4" t="n">
        <v>0</v>
      </c>
      <c r="EP4" t="n">
        <v>0</v>
      </c>
      <c r="ES4" t="n">
        <v>0</v>
      </c>
      <c r="EX4" t="n">
        <v>0</v>
      </c>
      <c r="EZ4" t="n">
        <v>0</v>
      </c>
      <c r="FA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F4" t="n">
        <v>0</v>
      </c>
      <c r="GG4" t="n">
        <v>0</v>
      </c>
      <c r="GO4" t="n">
        <v>0</v>
      </c>
    </row>
    <row r="5">
      <c r="A5" t="n">
        <v>748967</v>
      </c>
      <c r="B5" t="inlineStr">
        <is>
          <t>Eggs, Grade A, Large, egg whole</t>
        </is>
      </c>
      <c r="C5" t="inlineStr"/>
      <c r="D5" t="inlineStr">
        <is>
          <t>Foundation</t>
        </is>
      </c>
      <c r="E5" s="9" t="n">
        <v>150</v>
      </c>
      <c r="F5" s="10">
        <f>E5/SUM($E$3:$E$8)</f>
        <v/>
      </c>
      <c r="G5" t="n">
        <v>75.8</v>
      </c>
      <c r="H5" t="n">
        <v>143.08</v>
      </c>
      <c r="I5" t="n">
        <v>598.6467200000001</v>
      </c>
      <c r="J5" t="n">
        <v>1.99</v>
      </c>
      <c r="K5" t="n">
        <v>12.4</v>
      </c>
      <c r="L5" t="n">
        <v>8.65</v>
      </c>
      <c r="M5" t="n">
        <v>9.960000000000001</v>
      </c>
      <c r="N5" t="n">
        <v>0.85</v>
      </c>
      <c r="O5" t="n">
        <v>0.96</v>
      </c>
      <c r="P5" t="n">
        <v>0</v>
      </c>
      <c r="Q5" t="n">
        <v>0.2</v>
      </c>
      <c r="R5" t="n">
        <v>0</v>
      </c>
      <c r="S5" t="n">
        <v>0.2</v>
      </c>
      <c r="T5" t="n">
        <v>0</v>
      </c>
      <c r="U5" t="n">
        <v>0</v>
      </c>
      <c r="V5" t="n">
        <v>0</v>
      </c>
      <c r="X5" t="n">
        <v>0</v>
      </c>
      <c r="Y5" t="n">
        <v>48</v>
      </c>
      <c r="Z5" t="n">
        <v>1.67</v>
      </c>
      <c r="AA5" t="n">
        <v>11.4</v>
      </c>
      <c r="AB5" t="n">
        <v>184</v>
      </c>
      <c r="AC5" t="n">
        <v>132</v>
      </c>
      <c r="AD5" t="n">
        <v>129</v>
      </c>
      <c r="AE5" t="n">
        <v>1.24</v>
      </c>
      <c r="AF5" t="n">
        <v>0</v>
      </c>
      <c r="AG5" t="n">
        <v>0</v>
      </c>
      <c r="AH5" t="n">
        <v>49.1</v>
      </c>
      <c r="AI5" t="n">
        <v>31.1</v>
      </c>
      <c r="AL5" t="n">
        <v>0.077</v>
      </c>
      <c r="AM5" t="n">
        <v>0.419</v>
      </c>
      <c r="AN5" t="n">
        <v>0</v>
      </c>
      <c r="AO5" t="n">
        <v>0.063</v>
      </c>
      <c r="AP5" t="n">
        <v>71</v>
      </c>
      <c r="AS5" t="n">
        <v>335</v>
      </c>
      <c r="AT5" t="n">
        <v>0.6</v>
      </c>
      <c r="AU5" t="n">
        <v>309</v>
      </c>
      <c r="AV5" t="n">
        <v>0.2</v>
      </c>
      <c r="AW5" t="n">
        <v>0.2</v>
      </c>
      <c r="AX5" t="n">
        <v>25.1</v>
      </c>
      <c r="AY5" t="n">
        <v>0.3</v>
      </c>
      <c r="AZ5" t="n">
        <v>1.02</v>
      </c>
      <c r="BB5" t="n">
        <v>180</v>
      </c>
      <c r="BC5" t="n">
        <v>179</v>
      </c>
      <c r="BD5" t="n">
        <v>0</v>
      </c>
      <c r="BE5" t="n">
        <v>0</v>
      </c>
      <c r="BF5" t="n">
        <v>0</v>
      </c>
      <c r="BG5" t="n">
        <v>0</v>
      </c>
      <c r="BH5" t="n">
        <v>13</v>
      </c>
      <c r="BI5" t="n">
        <v>13</v>
      </c>
      <c r="BK5" t="n">
        <v>0</v>
      </c>
      <c r="BL5" t="n">
        <v>0</v>
      </c>
      <c r="BM5" t="n">
        <v>0</v>
      </c>
      <c r="BO5" t="n">
        <v>57</v>
      </c>
      <c r="BP5" t="n">
        <v>230</v>
      </c>
      <c r="BQ5" t="n">
        <v>229</v>
      </c>
      <c r="BR5" t="n">
        <v>98.40000000000001</v>
      </c>
      <c r="BS5" t="n">
        <v>2.46</v>
      </c>
      <c r="BT5" t="n">
        <v>0</v>
      </c>
      <c r="BU5" t="n">
        <v>2.46</v>
      </c>
      <c r="BV5" t="n">
        <v>0.5600000000000001</v>
      </c>
      <c r="CM5" t="n">
        <v>3.2</v>
      </c>
      <c r="CW5" t="n">
        <v>0.032</v>
      </c>
      <c r="CY5" t="n">
        <v>2.32</v>
      </c>
      <c r="DA5" t="n">
        <v>0.8129999999999999</v>
      </c>
      <c r="DG5" t="n">
        <v>3.63</v>
      </c>
      <c r="DM5" t="n">
        <v>0.238</v>
      </c>
      <c r="DQ5" t="n">
        <v>3.35</v>
      </c>
      <c r="DY5" t="n">
        <v>1.82</v>
      </c>
      <c r="EA5" t="n">
        <v>1.46</v>
      </c>
      <c r="EB5" t="n">
        <v>1.46</v>
      </c>
      <c r="EE5" t="n">
        <v>0.011</v>
      </c>
      <c r="EG5" t="n">
        <v>0.011</v>
      </c>
      <c r="EL5" t="n">
        <v>0.02</v>
      </c>
      <c r="EN5" t="n">
        <v>0.02</v>
      </c>
      <c r="FM5" t="n">
        <v>411</v>
      </c>
      <c r="FN5" t="n">
        <v>0.166</v>
      </c>
      <c r="FO5" t="n">
        <v>0.594</v>
      </c>
      <c r="FP5" t="n">
        <v>0.616</v>
      </c>
      <c r="FQ5" t="n">
        <v>1.05</v>
      </c>
      <c r="FR5" t="n">
        <v>0.832</v>
      </c>
      <c r="FS5" t="n">
        <v>0.418</v>
      </c>
      <c r="FT5" t="n">
        <v>0.66</v>
      </c>
      <c r="FU5" t="n">
        <v>0.512</v>
      </c>
      <c r="FV5" t="n">
        <v>0.734</v>
      </c>
      <c r="FW5" t="n">
        <v>0.787</v>
      </c>
      <c r="FX5" t="n">
        <v>0.283</v>
      </c>
      <c r="FY5" t="n">
        <v>0.667</v>
      </c>
      <c r="FZ5" t="n">
        <v>1.27</v>
      </c>
      <c r="GA5" t="n">
        <v>1.63</v>
      </c>
      <c r="GB5" t="n">
        <v>0.408</v>
      </c>
      <c r="GC5" t="n">
        <v>0.5600000000000001</v>
      </c>
      <c r="GD5" t="n">
        <v>0.919</v>
      </c>
      <c r="GE5" t="n">
        <v>0</v>
      </c>
      <c r="GF5" t="n">
        <v>0.385</v>
      </c>
    </row>
    <row r="6">
      <c r="A6" t="n">
        <v>2345190</v>
      </c>
      <c r="B6" t="inlineStr">
        <is>
          <t>Carrots, glazed, cooked</t>
        </is>
      </c>
      <c r="C6" t="inlineStr"/>
      <c r="D6" t="inlineStr">
        <is>
          <t>Survey (FNDDS)</t>
        </is>
      </c>
      <c r="E6" s="9" t="n">
        <v>100</v>
      </c>
      <c r="F6" s="10">
        <f>E6/SUM($E$3:$E$8)</f>
        <v/>
      </c>
      <c r="G6" t="n">
        <v>78.48999999999999</v>
      </c>
      <c r="H6" t="n">
        <v>94.44</v>
      </c>
      <c r="I6" t="n">
        <v>395.13696</v>
      </c>
      <c r="J6" t="n">
        <v>0.144</v>
      </c>
      <c r="K6" t="n">
        <v>0.9</v>
      </c>
      <c r="L6" t="n">
        <v>2.68</v>
      </c>
      <c r="M6" t="n">
        <v>2.68</v>
      </c>
      <c r="O6" t="n">
        <v>16.68</v>
      </c>
      <c r="P6" t="n">
        <v>2.6</v>
      </c>
      <c r="Q6" t="n">
        <v>12.14</v>
      </c>
      <c r="Y6" t="n">
        <v>38</v>
      </c>
      <c r="Z6" t="n">
        <v>0.34</v>
      </c>
      <c r="AA6" t="n">
        <v>12</v>
      </c>
      <c r="AB6" t="n">
        <v>33</v>
      </c>
      <c r="AC6" t="n">
        <v>307</v>
      </c>
      <c r="AD6" t="n">
        <v>197</v>
      </c>
      <c r="AE6" t="n">
        <v>0.23</v>
      </c>
      <c r="AF6" t="n">
        <v>0.046</v>
      </c>
      <c r="AI6" t="n">
        <v>0.2</v>
      </c>
      <c r="AK6" t="n">
        <v>15</v>
      </c>
      <c r="AL6" t="n">
        <v>0.055</v>
      </c>
      <c r="AM6" t="n">
        <v>0.051</v>
      </c>
      <c r="AN6" t="n">
        <v>0.872</v>
      </c>
      <c r="AO6" t="n">
        <v>0.118</v>
      </c>
      <c r="AP6" t="n">
        <v>15</v>
      </c>
      <c r="AQ6" t="n">
        <v>0</v>
      </c>
      <c r="AR6" t="n">
        <v>15</v>
      </c>
      <c r="AS6" t="n">
        <v>8.9</v>
      </c>
      <c r="AZ6" t="n">
        <v>0</v>
      </c>
      <c r="BA6" t="n">
        <v>0</v>
      </c>
      <c r="BB6" t="n">
        <v>756</v>
      </c>
      <c r="BC6" t="n">
        <v>22</v>
      </c>
      <c r="BD6" t="n">
        <v>7280</v>
      </c>
      <c r="BG6" t="n">
        <v>3053</v>
      </c>
      <c r="BH6" t="n">
        <v>0</v>
      </c>
      <c r="BK6" t="n">
        <v>1</v>
      </c>
      <c r="BN6" t="n">
        <v>225</v>
      </c>
      <c r="BS6" t="n">
        <v>0</v>
      </c>
      <c r="BW6" t="n">
        <v>12.4</v>
      </c>
      <c r="BZ6" t="n">
        <v>0.61</v>
      </c>
      <c r="CA6" t="n">
        <v>0</v>
      </c>
      <c r="CI6" t="n">
        <v>4.6</v>
      </c>
      <c r="CK6" t="n">
        <v>0</v>
      </c>
      <c r="CL6" t="n">
        <v>0</v>
      </c>
      <c r="CM6" t="n">
        <v>1.393</v>
      </c>
      <c r="CN6" t="n">
        <v>0.061</v>
      </c>
      <c r="CP6" t="n">
        <v>0.043</v>
      </c>
      <c r="CR6" t="n">
        <v>0.025</v>
      </c>
      <c r="CT6" t="n">
        <v>0.057</v>
      </c>
      <c r="CV6" t="n">
        <v>0.066</v>
      </c>
      <c r="CW6" t="n">
        <v>0.214</v>
      </c>
      <c r="CY6" t="n">
        <v>0.662</v>
      </c>
      <c r="DA6" t="n">
        <v>0.224</v>
      </c>
      <c r="DG6" t="n">
        <v>0.516</v>
      </c>
      <c r="DL6" t="n">
        <v>0.032</v>
      </c>
      <c r="DP6" t="n">
        <v>0.458</v>
      </c>
      <c r="DR6" t="n">
        <v>0.003</v>
      </c>
      <c r="DT6" t="n">
        <v>0</v>
      </c>
      <c r="DY6" t="n">
        <v>0.169</v>
      </c>
      <c r="DZ6" t="n">
        <v>0.16</v>
      </c>
      <c r="ED6" t="n">
        <v>0.012</v>
      </c>
      <c r="EH6" t="n">
        <v>0</v>
      </c>
      <c r="EP6" t="n">
        <v>0.003</v>
      </c>
      <c r="ES6" t="n">
        <v>0.001</v>
      </c>
      <c r="EX6" t="n">
        <v>0.001</v>
      </c>
      <c r="EZ6" t="n">
        <v>0</v>
      </c>
      <c r="FM6" t="n">
        <v>7</v>
      </c>
      <c r="GO6" t="n">
        <v>0</v>
      </c>
    </row>
    <row r="7">
      <c r="A7" t="n">
        <v>746782</v>
      </c>
      <c r="B7" t="inlineStr">
        <is>
          <t>Milk, whole, 3.25% milkfat, with added vitamin D</t>
        </is>
      </c>
      <c r="C7" t="inlineStr"/>
      <c r="D7" t="inlineStr">
        <is>
          <t>Foundation</t>
        </is>
      </c>
      <c r="E7" s="9" t="n">
        <v>100</v>
      </c>
      <c r="F7" s="10">
        <f>E7/SUM($E$3:$E$8)</f>
        <v/>
      </c>
      <c r="G7" t="n">
        <v>88.09999999999999</v>
      </c>
      <c r="H7" t="n">
        <v>60.40000000000001</v>
      </c>
      <c r="I7" t="n">
        <v>252.7136</v>
      </c>
      <c r="J7" t="n">
        <v>0.51</v>
      </c>
      <c r="K7" t="n">
        <v>3.27</v>
      </c>
      <c r="L7" t="n">
        <v>2.77</v>
      </c>
      <c r="M7" t="n">
        <v>3.2</v>
      </c>
      <c r="N7" t="n">
        <v>0.8</v>
      </c>
      <c r="O7" t="n">
        <v>4.63</v>
      </c>
      <c r="Q7" t="n">
        <v>4.81</v>
      </c>
      <c r="R7" t="n">
        <v>0</v>
      </c>
      <c r="S7" t="n">
        <v>0</v>
      </c>
      <c r="T7" t="n">
        <v>0</v>
      </c>
      <c r="U7" t="n">
        <v>4.81</v>
      </c>
      <c r="V7" t="n">
        <v>0</v>
      </c>
      <c r="W7" t="n">
        <v>0</v>
      </c>
      <c r="Y7" t="n">
        <v>123</v>
      </c>
      <c r="Z7" t="n">
        <v>0</v>
      </c>
      <c r="AA7" t="n">
        <v>11.9</v>
      </c>
      <c r="AB7" t="n">
        <v>101</v>
      </c>
      <c r="AC7" t="n">
        <v>150</v>
      </c>
      <c r="AD7" t="n">
        <v>38</v>
      </c>
      <c r="AE7" t="n">
        <v>0.42</v>
      </c>
      <c r="AF7" t="n">
        <v>0.001</v>
      </c>
      <c r="AG7" t="n">
        <v>0</v>
      </c>
      <c r="AH7" t="n">
        <v>37.9</v>
      </c>
      <c r="AI7" t="n">
        <v>1.9</v>
      </c>
      <c r="AL7" t="n">
        <v>0.056</v>
      </c>
      <c r="AM7" t="n">
        <v>0.138</v>
      </c>
      <c r="AN7" t="n">
        <v>0.105</v>
      </c>
      <c r="AO7" t="n">
        <v>0.061</v>
      </c>
      <c r="AP7" t="n">
        <v>0</v>
      </c>
      <c r="AS7" t="n">
        <v>17.8</v>
      </c>
      <c r="AT7" t="n">
        <v>3</v>
      </c>
      <c r="AU7" t="n">
        <v>1.3</v>
      </c>
      <c r="AV7" t="n">
        <v>1.8</v>
      </c>
      <c r="AW7" t="n">
        <v>10.3</v>
      </c>
      <c r="AX7" t="n">
        <v>1.4</v>
      </c>
      <c r="AY7" t="n">
        <v>0.7</v>
      </c>
      <c r="AZ7" t="n">
        <v>0.54</v>
      </c>
      <c r="BB7" t="n">
        <v>32</v>
      </c>
      <c r="BC7" t="n">
        <v>31</v>
      </c>
      <c r="BD7" t="n">
        <v>7</v>
      </c>
      <c r="BE7" t="n">
        <v>2</v>
      </c>
      <c r="BF7" t="n">
        <v>5</v>
      </c>
      <c r="BG7" t="n">
        <v>0</v>
      </c>
      <c r="BH7" t="n">
        <v>0</v>
      </c>
      <c r="BI7" t="n">
        <v>0</v>
      </c>
      <c r="BK7" t="n">
        <v>0</v>
      </c>
      <c r="BL7" t="n">
        <v>0</v>
      </c>
      <c r="BM7" t="n">
        <v>0</v>
      </c>
      <c r="BO7" t="n">
        <v>0</v>
      </c>
      <c r="BP7" t="n">
        <v>5</v>
      </c>
      <c r="BQ7" t="n">
        <v>1</v>
      </c>
      <c r="BR7" t="n">
        <v>38.4</v>
      </c>
      <c r="BS7" t="n">
        <v>0.96</v>
      </c>
      <c r="BT7" t="n">
        <v>0</v>
      </c>
      <c r="BU7" t="n">
        <v>0.96</v>
      </c>
      <c r="BV7" t="n">
        <v>0</v>
      </c>
      <c r="BZ7" t="n">
        <v>0.05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J7" t="n">
        <v>0.362</v>
      </c>
      <c r="CM7" t="n">
        <v>1.86</v>
      </c>
      <c r="CN7" t="n">
        <v>0.067</v>
      </c>
      <c r="CO7" t="n">
        <v>0</v>
      </c>
      <c r="CP7" t="n">
        <v>0.054</v>
      </c>
      <c r="CQ7" t="n">
        <v>0</v>
      </c>
      <c r="CR7" t="n">
        <v>0.034</v>
      </c>
      <c r="CS7" t="n">
        <v>0</v>
      </c>
      <c r="CT7" t="n">
        <v>0.08400000000000001</v>
      </c>
      <c r="CU7" t="n">
        <v>0</v>
      </c>
      <c r="CV7" t="n">
        <v>0.097</v>
      </c>
      <c r="CW7" t="n">
        <v>0.303</v>
      </c>
      <c r="CX7" t="n">
        <v>0.032</v>
      </c>
      <c r="CY7" t="n">
        <v>0.857</v>
      </c>
      <c r="CZ7" t="n">
        <v>0.018</v>
      </c>
      <c r="DA7" t="n">
        <v>0.309</v>
      </c>
      <c r="DB7" t="n">
        <v>0.004</v>
      </c>
      <c r="DC7" t="n">
        <v>0</v>
      </c>
      <c r="DD7" t="n">
        <v>0.002</v>
      </c>
      <c r="DE7" t="n">
        <v>0</v>
      </c>
      <c r="DF7" t="n">
        <v>0.001</v>
      </c>
      <c r="DG7" t="n">
        <v>0.6879999999999999</v>
      </c>
      <c r="DH7" t="n">
        <v>0.001</v>
      </c>
      <c r="DJ7" t="n">
        <v>0.024</v>
      </c>
      <c r="DK7" t="n">
        <v>0</v>
      </c>
      <c r="DM7" t="n">
        <v>0.039</v>
      </c>
      <c r="DN7" t="n">
        <v>0.005</v>
      </c>
      <c r="DO7" t="n">
        <v>0.005</v>
      </c>
      <c r="DQ7" t="n">
        <v>0.612</v>
      </c>
      <c r="DS7" t="n">
        <v>0.004</v>
      </c>
      <c r="DU7" t="n">
        <v>0</v>
      </c>
      <c r="DV7" t="n">
        <v>0</v>
      </c>
      <c r="DW7" t="n">
        <v>0</v>
      </c>
      <c r="DX7" t="n">
        <v>0</v>
      </c>
      <c r="DY7" t="n">
        <v>0.108</v>
      </c>
      <c r="EA7" t="n">
        <v>0.097</v>
      </c>
      <c r="EB7" t="n">
        <v>0.08400000000000001</v>
      </c>
      <c r="EC7" t="n">
        <v>0.013</v>
      </c>
      <c r="EE7" t="n">
        <v>0.013</v>
      </c>
      <c r="EF7" t="n">
        <v>0.012</v>
      </c>
      <c r="EG7" t="n">
        <v>0.001</v>
      </c>
      <c r="EH7" t="n">
        <v>0</v>
      </c>
      <c r="EI7" t="n">
        <v>0.001</v>
      </c>
      <c r="EJ7" t="n">
        <v>0.001</v>
      </c>
      <c r="EL7" t="n">
        <v>0.004</v>
      </c>
      <c r="EM7" t="n">
        <v>0</v>
      </c>
      <c r="EN7" t="n">
        <v>0.004</v>
      </c>
      <c r="EO7" t="n">
        <v>0</v>
      </c>
      <c r="EP7" t="n">
        <v>0.004</v>
      </c>
      <c r="EQ7" t="n">
        <v>0.004</v>
      </c>
      <c r="ER7" t="n">
        <v>0.001</v>
      </c>
      <c r="ES7" t="n">
        <v>0.001</v>
      </c>
      <c r="ET7" t="n">
        <v>0</v>
      </c>
      <c r="EU7" t="n">
        <v>0</v>
      </c>
      <c r="EV7" t="n">
        <v>0.001</v>
      </c>
      <c r="EW7" t="n">
        <v>0.002</v>
      </c>
      <c r="EX7" t="n">
        <v>0.002</v>
      </c>
      <c r="EY7" t="n">
        <v>0</v>
      </c>
      <c r="EZ7" t="n">
        <v>0</v>
      </c>
      <c r="FA7" t="n">
        <v>0.112</v>
      </c>
      <c r="FB7" t="n">
        <v>0.095</v>
      </c>
      <c r="FC7" t="n">
        <v>0.018</v>
      </c>
      <c r="FD7" t="n">
        <v>0</v>
      </c>
      <c r="FE7" t="n">
        <v>0.005</v>
      </c>
      <c r="FF7" t="n">
        <v>0.008</v>
      </c>
      <c r="FG7" t="n">
        <v>0.082</v>
      </c>
      <c r="FI7" t="n">
        <v>0.018</v>
      </c>
      <c r="FJ7" t="n">
        <v>0</v>
      </c>
      <c r="FK7" t="n">
        <v>0</v>
      </c>
      <c r="FL7" t="n">
        <v>0</v>
      </c>
      <c r="FM7" t="n">
        <v>12</v>
      </c>
      <c r="FN7" t="n">
        <v>0.043</v>
      </c>
      <c r="FO7" t="n">
        <v>0.154</v>
      </c>
      <c r="FP7" t="n">
        <v>0.173</v>
      </c>
      <c r="FQ7" t="n">
        <v>0.333</v>
      </c>
      <c r="FR7" t="n">
        <v>0.298</v>
      </c>
      <c r="FS7" t="n">
        <v>0.09</v>
      </c>
      <c r="FT7" t="n">
        <v>0.161</v>
      </c>
      <c r="FU7" t="n">
        <v>0.162</v>
      </c>
      <c r="FV7" t="n">
        <v>0.207</v>
      </c>
      <c r="FW7" t="n">
        <v>0.127</v>
      </c>
      <c r="FX7" t="n">
        <v>0.097</v>
      </c>
      <c r="FY7" t="n">
        <v>0.11</v>
      </c>
      <c r="FZ7" t="n">
        <v>0.279</v>
      </c>
      <c r="GA7" t="n">
        <v>0.788</v>
      </c>
      <c r="GB7" t="n">
        <v>0.06900000000000001</v>
      </c>
      <c r="GC7" t="n">
        <v>0.333</v>
      </c>
      <c r="GD7" t="n">
        <v>0.188</v>
      </c>
      <c r="GE7" t="n">
        <v>0</v>
      </c>
      <c r="GF7" t="n">
        <v>0.038</v>
      </c>
    </row>
    <row r="8">
      <c r="A8" t="n">
        <v>2003591</v>
      </c>
      <c r="B8" t="inlineStr">
        <is>
          <t>Orange juice, no pulp, not fortified, from concentrate, refrigerated</t>
        </is>
      </c>
      <c r="C8" t="inlineStr"/>
      <c r="D8" t="inlineStr">
        <is>
          <t>Foundation</t>
        </is>
      </c>
      <c r="E8" s="9" t="n">
        <v>100</v>
      </c>
      <c r="F8" s="10">
        <f>E8/SUM($E$3:$E$8)</f>
        <v/>
      </c>
      <c r="G8" t="n">
        <v>88.2</v>
      </c>
      <c r="H8" t="n">
        <v>47.061</v>
      </c>
      <c r="I8" t="n">
        <v>196.903224</v>
      </c>
      <c r="J8" t="n">
        <v>0.118</v>
      </c>
      <c r="K8" t="n">
        <v>0.734</v>
      </c>
      <c r="L8" t="n">
        <v>0.325</v>
      </c>
      <c r="M8" t="n">
        <v>0.325</v>
      </c>
      <c r="N8" t="n">
        <v>0.35</v>
      </c>
      <c r="O8" t="n">
        <v>10.3</v>
      </c>
      <c r="Q8" t="n">
        <v>8.279999999999999</v>
      </c>
      <c r="R8" t="n">
        <v>4.39</v>
      </c>
      <c r="S8" t="n">
        <v>1.79</v>
      </c>
      <c r="T8" t="n">
        <v>2.1</v>
      </c>
      <c r="U8" t="n">
        <v>0</v>
      </c>
      <c r="V8" t="n">
        <v>0</v>
      </c>
      <c r="W8" t="n">
        <v>0</v>
      </c>
      <c r="Y8" t="n">
        <v>12.8</v>
      </c>
      <c r="Z8" t="n">
        <v>0.0646</v>
      </c>
      <c r="AA8" t="n">
        <v>10.6</v>
      </c>
      <c r="AB8" t="n">
        <v>18.2</v>
      </c>
      <c r="AC8" t="n">
        <v>180</v>
      </c>
      <c r="AD8" t="n">
        <v>5.23</v>
      </c>
      <c r="AE8" t="n">
        <v>0.0319</v>
      </c>
      <c r="AF8" t="n">
        <v>0.0322</v>
      </c>
      <c r="AG8" t="n">
        <v>0.0299</v>
      </c>
      <c r="AL8" t="n">
        <v>0.0701</v>
      </c>
      <c r="AN8" t="n">
        <v>0.0403</v>
      </c>
      <c r="AO8" t="n">
        <v>0.0429</v>
      </c>
      <c r="AP8" t="n">
        <v>29.8</v>
      </c>
      <c r="CI8" t="n">
        <v>26.9</v>
      </c>
      <c r="GK8" t="n">
        <v>706</v>
      </c>
      <c r="GL8" t="n">
        <v>161</v>
      </c>
      <c r="GM8" t="n">
        <v>0</v>
      </c>
      <c r="GN8" t="n">
        <v>12.3</v>
      </c>
    </row>
    <row r="9">
      <c r="A9" t="inlineStr">
        <is>
          <t>Total</t>
        </is>
      </c>
      <c r="B9" t="inlineStr">
        <is>
          <t>Formulado</t>
        </is>
      </c>
      <c r="C9" t="inlineStr">
        <is>
          <t>Formulado</t>
        </is>
      </c>
      <c r="D9" t="inlineStr">
        <is>
          <t>Formulado</t>
        </is>
      </c>
      <c r="E9" s="11">
        <f>SUBTOTAL(9,E3:E8)</f>
        <v/>
      </c>
      <c r="F9" s="12" t="inlineStr">
        <is>
          <t>100%</t>
        </is>
      </c>
      <c r="G9" s="13">
        <f>SUMPRODUCT($F$3:$F$8,$G$3:$G$8)</f>
        <v/>
      </c>
      <c r="H9" s="13">
        <f>SUMPRODUCT($F$3:$F$8,$H$3:$H$8)</f>
        <v/>
      </c>
      <c r="I9" s="13">
        <f>SUMPRODUCT($F$3:$F$8,$I$3:$I$8)</f>
        <v/>
      </c>
      <c r="J9" s="13">
        <f>SUMPRODUCT($F$3:$F$8,$J$3:$J$8)</f>
        <v/>
      </c>
      <c r="K9" s="13">
        <f>SUMPRODUCT($F$3:$F$8,$K$3:$K$8)</f>
        <v/>
      </c>
      <c r="L9" s="13">
        <f>SUMPRODUCT($F$3:$F$8,$L$3:$L$8)</f>
        <v/>
      </c>
      <c r="M9" s="13">
        <f>SUMPRODUCT($F$3:$F$8,$M$3:$M$8)</f>
        <v/>
      </c>
      <c r="N9" s="13">
        <f>SUMPRODUCT($F$3:$F$8,$N$3:$N$8)</f>
        <v/>
      </c>
      <c r="O9" s="13">
        <f>SUMPRODUCT($F$3:$F$8,$O$3:$O$8)</f>
        <v/>
      </c>
      <c r="P9" s="13">
        <f>SUMPRODUCT($F$3:$F$8,$P$3:$P$8)</f>
        <v/>
      </c>
      <c r="Q9" s="13">
        <f>SUMPRODUCT($F$3:$F$8,$Q$3:$Q$8)</f>
        <v/>
      </c>
      <c r="R9" s="13">
        <f>SUMPRODUCT($F$3:$F$8,$R$3:$R$8)</f>
        <v/>
      </c>
      <c r="S9" s="13">
        <f>SUMPRODUCT($F$3:$F$8,$S$3:$S$8)</f>
        <v/>
      </c>
      <c r="T9" s="13">
        <f>SUMPRODUCT($F$3:$F$8,$T$3:$T$8)</f>
        <v/>
      </c>
      <c r="U9" s="13">
        <f>SUMPRODUCT($F$3:$F$8,$U$3:$U$8)</f>
        <v/>
      </c>
      <c r="V9" s="13">
        <f>SUMPRODUCT($F$3:$F$8,$V$3:$V$8)</f>
        <v/>
      </c>
      <c r="W9" s="13">
        <f>SUMPRODUCT($F$3:$F$8,$W$3:$W$8)</f>
        <v/>
      </c>
      <c r="X9" s="13">
        <f>SUMPRODUCT($F$3:$F$8,$X$3:$X$8)</f>
        <v/>
      </c>
      <c r="Y9" s="13">
        <f>SUMPRODUCT($F$3:$F$8,$Y$3:$Y$8)</f>
        <v/>
      </c>
      <c r="Z9" s="13">
        <f>SUMPRODUCT($F$3:$F$8,$Z$3:$Z$8)</f>
        <v/>
      </c>
      <c r="AA9" s="13">
        <f>SUMPRODUCT($F$3:$F$8,$AA$3:$AA$8)</f>
        <v/>
      </c>
      <c r="AB9" s="13">
        <f>SUMPRODUCT($F$3:$F$8,$AB$3:$AB$8)</f>
        <v/>
      </c>
      <c r="AC9" s="13">
        <f>SUMPRODUCT($F$3:$F$8,$AC$3:$AC$8)</f>
        <v/>
      </c>
      <c r="AD9" s="13">
        <f>SUMPRODUCT($F$3:$F$8,$AD$3:$AD$8)</f>
        <v/>
      </c>
      <c r="AE9" s="13">
        <f>SUMPRODUCT($F$3:$F$8,$AE$3:$AE$8)</f>
        <v/>
      </c>
      <c r="AF9" s="13">
        <f>SUMPRODUCT($F$3:$F$8,$AF$3:$AF$8)</f>
        <v/>
      </c>
      <c r="AG9" s="13">
        <f>SUMPRODUCT($F$3:$F$8,$AG$3:$AG$8)</f>
        <v/>
      </c>
      <c r="AH9" s="13">
        <f>SUMPRODUCT($F$3:$F$8,$AH$3:$AH$8)</f>
        <v/>
      </c>
      <c r="AI9" s="13">
        <f>SUMPRODUCT($F$3:$F$8,$AI$3:$AI$8)</f>
        <v/>
      </c>
      <c r="AJ9" s="13">
        <f>SUMPRODUCT($F$3:$F$8,$AJ$3:$AJ$8)</f>
        <v/>
      </c>
      <c r="AK9" s="13">
        <f>SUMPRODUCT($F$3:$F$8,$AK$3:$AK$8)</f>
        <v/>
      </c>
      <c r="AL9" s="13">
        <f>SUMPRODUCT($F$3:$F$8,$AL$3:$AL$8)</f>
        <v/>
      </c>
      <c r="AM9" s="13">
        <f>SUMPRODUCT($F$3:$F$8,$AM$3:$AM$8)</f>
        <v/>
      </c>
      <c r="AN9" s="13">
        <f>SUMPRODUCT($F$3:$F$8,$AN$3:$AN$8)</f>
        <v/>
      </c>
      <c r="AO9" s="13">
        <f>SUMPRODUCT($F$3:$F$8,$AO$3:$AO$8)</f>
        <v/>
      </c>
      <c r="AP9" s="13">
        <f>SUMPRODUCT($F$3:$F$8,$AP$3:$AP$8)</f>
        <v/>
      </c>
      <c r="AQ9" s="13">
        <f>SUMPRODUCT($F$3:$F$8,$AQ$3:$AQ$8)</f>
        <v/>
      </c>
      <c r="AR9" s="13">
        <f>SUMPRODUCT($F$3:$F$8,$AR$3:$AR$8)</f>
        <v/>
      </c>
      <c r="AS9" s="13">
        <f>SUMPRODUCT($F$3:$F$8,$AS$3:$AS$8)</f>
        <v/>
      </c>
      <c r="AT9" s="13">
        <f>SUMPRODUCT($F$3:$F$8,$AT$3:$AT$8)</f>
        <v/>
      </c>
      <c r="AU9" s="13">
        <f>SUMPRODUCT($F$3:$F$8,$AU$3:$AU$8)</f>
        <v/>
      </c>
      <c r="AV9" s="13">
        <f>SUMPRODUCT($F$3:$F$8,$AV$3:$AV$8)</f>
        <v/>
      </c>
      <c r="AW9" s="13">
        <f>SUMPRODUCT($F$3:$F$8,$AW$3:$AW$8)</f>
        <v/>
      </c>
      <c r="AX9" s="13">
        <f>SUMPRODUCT($F$3:$F$8,$AX$3:$AX$8)</f>
        <v/>
      </c>
      <c r="AY9" s="13">
        <f>SUMPRODUCT($F$3:$F$8,$AY$3:$AY$8)</f>
        <v/>
      </c>
      <c r="AZ9" s="13">
        <f>SUMPRODUCT($F$3:$F$8,$AZ$3:$AZ$8)</f>
        <v/>
      </c>
      <c r="BA9" s="13">
        <f>SUMPRODUCT($F$3:$F$8,$BA$3:$BA$8)</f>
        <v/>
      </c>
      <c r="BB9" s="13">
        <f>SUMPRODUCT($F$3:$F$8,$BB$3:$BB$8)</f>
        <v/>
      </c>
      <c r="BC9" s="13">
        <f>SUMPRODUCT($F$3:$F$8,$BC$3:$BC$8)</f>
        <v/>
      </c>
      <c r="BD9" s="13">
        <f>SUMPRODUCT($F$3:$F$8,$BD$3:$BD$8)</f>
        <v/>
      </c>
      <c r="BE9" s="13">
        <f>SUMPRODUCT($F$3:$F$8,$BE$3:$BE$8)</f>
        <v/>
      </c>
      <c r="BF9" s="13">
        <f>SUMPRODUCT($F$3:$F$8,$BF$3:$BF$8)</f>
        <v/>
      </c>
      <c r="BG9" s="13">
        <f>SUMPRODUCT($F$3:$F$8,$BG$3:$BG$8)</f>
        <v/>
      </c>
      <c r="BH9" s="13">
        <f>SUMPRODUCT($F$3:$F$8,$BH$3:$BH$8)</f>
        <v/>
      </c>
      <c r="BI9" s="13">
        <f>SUMPRODUCT($F$3:$F$8,$BI$3:$BI$8)</f>
        <v/>
      </c>
      <c r="BJ9" s="13">
        <f>SUMPRODUCT($F$3:$F$8,$BJ$3:$BJ$8)</f>
        <v/>
      </c>
      <c r="BK9" s="13">
        <f>SUMPRODUCT($F$3:$F$8,$BK$3:$BK$8)</f>
        <v/>
      </c>
      <c r="BL9" s="13">
        <f>SUMPRODUCT($F$3:$F$8,$BL$3:$BL$8)</f>
        <v/>
      </c>
      <c r="BM9" s="13">
        <f>SUMPRODUCT($F$3:$F$8,$BM$3:$BM$8)</f>
        <v/>
      </c>
      <c r="BN9" s="13">
        <f>SUMPRODUCT($F$3:$F$8,$BN$3:$BN$8)</f>
        <v/>
      </c>
      <c r="BO9" s="13">
        <f>SUMPRODUCT($F$3:$F$8,$BO$3:$BO$8)</f>
        <v/>
      </c>
      <c r="BP9" s="13">
        <f>SUMPRODUCT($F$3:$F$8,$BP$3:$BP$8)</f>
        <v/>
      </c>
      <c r="BQ9" s="13">
        <f>SUMPRODUCT($F$3:$F$8,$BQ$3:$BQ$8)</f>
        <v/>
      </c>
      <c r="BR9" s="13">
        <f>SUMPRODUCT($F$3:$F$8,$BR$3:$BR$8)</f>
        <v/>
      </c>
      <c r="BS9" s="13">
        <f>SUMPRODUCT($F$3:$F$8,$BS$3:$BS$8)</f>
        <v/>
      </c>
      <c r="BT9" s="13">
        <f>SUMPRODUCT($F$3:$F$8,$BT$3:$BT$8)</f>
        <v/>
      </c>
      <c r="BU9" s="13">
        <f>SUMPRODUCT($F$3:$F$8,$BU$3:$BU$8)</f>
        <v/>
      </c>
      <c r="BV9" s="13">
        <f>SUMPRODUCT($F$3:$F$8,$BV$3:$BV$8)</f>
        <v/>
      </c>
      <c r="BW9" s="13">
        <f>SUMPRODUCT($F$3:$F$8,$BW$3:$BW$8)</f>
        <v/>
      </c>
      <c r="BX9" s="13">
        <f>SUMPRODUCT($F$3:$F$8,$BX$3:$BX$8)</f>
        <v/>
      </c>
      <c r="BY9" s="13">
        <f>SUMPRODUCT($F$3:$F$8,$BY$3:$BY$8)</f>
        <v/>
      </c>
      <c r="BZ9" s="13">
        <f>SUMPRODUCT($F$3:$F$8,$BZ$3:$BZ$8)</f>
        <v/>
      </c>
      <c r="CA9" s="13">
        <f>SUMPRODUCT($F$3:$F$8,$CA$3:$CA$8)</f>
        <v/>
      </c>
      <c r="CB9" s="13">
        <f>SUMPRODUCT($F$3:$F$8,$CB$3:$CB$8)</f>
        <v/>
      </c>
      <c r="CC9" s="13">
        <f>SUMPRODUCT($F$3:$F$8,$CC$3:$CC$8)</f>
        <v/>
      </c>
      <c r="CD9" s="13">
        <f>SUMPRODUCT($F$3:$F$8,$CD$3:$CD$8)</f>
        <v/>
      </c>
      <c r="CE9" s="13">
        <f>SUMPRODUCT($F$3:$F$8,$CE$3:$CE$8)</f>
        <v/>
      </c>
      <c r="CF9" s="13">
        <f>SUMPRODUCT($F$3:$F$8,$CF$3:$CF$8)</f>
        <v/>
      </c>
      <c r="CG9" s="13">
        <f>SUMPRODUCT($F$3:$F$8,$CG$3:$CG$8)</f>
        <v/>
      </c>
      <c r="CH9" s="13">
        <f>SUMPRODUCT($F$3:$F$8,$CH$3:$CH$8)</f>
        <v/>
      </c>
      <c r="CI9" s="13">
        <f>SUMPRODUCT($F$3:$F$8,$CI$3:$CI$8)</f>
        <v/>
      </c>
      <c r="CJ9" s="13">
        <f>SUMPRODUCT($F$3:$F$8,$CJ$3:$CJ$8)</f>
        <v/>
      </c>
      <c r="CK9" s="13">
        <f>SUMPRODUCT($F$3:$F$8,$CK$3:$CK$8)</f>
        <v/>
      </c>
      <c r="CL9" s="13">
        <f>SUMPRODUCT($F$3:$F$8,$CL$3:$CL$8)</f>
        <v/>
      </c>
      <c r="CM9" s="13">
        <f>SUMPRODUCT($F$3:$F$8,$CM$3:$CM$8)</f>
        <v/>
      </c>
      <c r="CN9" s="13">
        <f>SUMPRODUCT($F$3:$F$8,$CN$3:$CN$8)</f>
        <v/>
      </c>
      <c r="CO9" s="13">
        <f>SUMPRODUCT($F$3:$F$8,$CO$3:$CO$8)</f>
        <v/>
      </c>
      <c r="CP9" s="13">
        <f>SUMPRODUCT($F$3:$F$8,$CP$3:$CP$8)</f>
        <v/>
      </c>
      <c r="CQ9" s="13">
        <f>SUMPRODUCT($F$3:$F$8,$CQ$3:$CQ$8)</f>
        <v/>
      </c>
      <c r="CR9" s="13">
        <f>SUMPRODUCT($F$3:$F$8,$CR$3:$CR$8)</f>
        <v/>
      </c>
      <c r="CS9" s="13">
        <f>SUMPRODUCT($F$3:$F$8,$CS$3:$CS$8)</f>
        <v/>
      </c>
      <c r="CT9" s="13">
        <f>SUMPRODUCT($F$3:$F$8,$CT$3:$CT$8)</f>
        <v/>
      </c>
      <c r="CU9" s="13">
        <f>SUMPRODUCT($F$3:$F$8,$CU$3:$CU$8)</f>
        <v/>
      </c>
      <c r="CV9" s="13">
        <f>SUMPRODUCT($F$3:$F$8,$CV$3:$CV$8)</f>
        <v/>
      </c>
      <c r="CW9" s="13">
        <f>SUMPRODUCT($F$3:$F$8,$CW$3:$CW$8)</f>
        <v/>
      </c>
      <c r="CX9" s="13">
        <f>SUMPRODUCT($F$3:$F$8,$CX$3:$CX$8)</f>
        <v/>
      </c>
      <c r="CY9" s="13">
        <f>SUMPRODUCT($F$3:$F$8,$CY$3:$CY$8)</f>
        <v/>
      </c>
      <c r="CZ9" s="13">
        <f>SUMPRODUCT($F$3:$F$8,$CZ$3:$CZ$8)</f>
        <v/>
      </c>
      <c r="DA9" s="13">
        <f>SUMPRODUCT($F$3:$F$8,$DA$3:$DA$8)</f>
        <v/>
      </c>
      <c r="DB9" s="13">
        <f>SUMPRODUCT($F$3:$F$8,$DB$3:$DB$8)</f>
        <v/>
      </c>
      <c r="DC9" s="13">
        <f>SUMPRODUCT($F$3:$F$8,$DC$3:$DC$8)</f>
        <v/>
      </c>
      <c r="DD9" s="13">
        <f>SUMPRODUCT($F$3:$F$8,$DD$3:$DD$8)</f>
        <v/>
      </c>
      <c r="DE9" s="13">
        <f>SUMPRODUCT($F$3:$F$8,$DE$3:$DE$8)</f>
        <v/>
      </c>
      <c r="DF9" s="13">
        <f>SUMPRODUCT($F$3:$F$8,$DF$3:$DF$8)</f>
        <v/>
      </c>
      <c r="DG9" s="13">
        <f>SUMPRODUCT($F$3:$F$8,$DG$3:$DG$8)</f>
        <v/>
      </c>
      <c r="DH9" s="13">
        <f>SUMPRODUCT($F$3:$F$8,$DH$3:$DH$8)</f>
        <v/>
      </c>
      <c r="DI9" s="13">
        <f>SUMPRODUCT($F$3:$F$8,$DI$3:$DI$8)</f>
        <v/>
      </c>
      <c r="DJ9" s="13">
        <f>SUMPRODUCT($F$3:$F$8,$DJ$3:$DJ$8)</f>
        <v/>
      </c>
      <c r="DK9" s="13">
        <f>SUMPRODUCT($F$3:$F$8,$DK$3:$DK$8)</f>
        <v/>
      </c>
      <c r="DL9" s="13">
        <f>SUMPRODUCT($F$3:$F$8,$DL$3:$DL$8)</f>
        <v/>
      </c>
      <c r="DM9" s="13">
        <f>SUMPRODUCT($F$3:$F$8,$DM$3:$DM$8)</f>
        <v/>
      </c>
      <c r="DN9" s="13">
        <f>SUMPRODUCT($F$3:$F$8,$DN$3:$DN$8)</f>
        <v/>
      </c>
      <c r="DO9" s="13">
        <f>SUMPRODUCT($F$3:$F$8,$DO$3:$DO$8)</f>
        <v/>
      </c>
      <c r="DP9" s="13">
        <f>SUMPRODUCT($F$3:$F$8,$DP$3:$DP$8)</f>
        <v/>
      </c>
      <c r="DQ9" s="13">
        <f>SUMPRODUCT($F$3:$F$8,$DQ$3:$DQ$8)</f>
        <v/>
      </c>
      <c r="DR9" s="13">
        <f>SUMPRODUCT($F$3:$F$8,$DR$3:$DR$8)</f>
        <v/>
      </c>
      <c r="DS9" s="13">
        <f>SUMPRODUCT($F$3:$F$8,$DS$3:$DS$8)</f>
        <v/>
      </c>
      <c r="DT9" s="13">
        <f>SUMPRODUCT($F$3:$F$8,$DT$3:$DT$8)</f>
        <v/>
      </c>
      <c r="DU9" s="13">
        <f>SUMPRODUCT($F$3:$F$8,$DU$3:$DU$8)</f>
        <v/>
      </c>
      <c r="DV9" s="13">
        <f>SUMPRODUCT($F$3:$F$8,$DV$3:$DV$8)</f>
        <v/>
      </c>
      <c r="DW9" s="13">
        <f>SUMPRODUCT($F$3:$F$8,$DW$3:$DW$8)</f>
        <v/>
      </c>
      <c r="DX9" s="13">
        <f>SUMPRODUCT($F$3:$F$8,$DX$3:$DX$8)</f>
        <v/>
      </c>
      <c r="DY9" s="13">
        <f>SUMPRODUCT($F$3:$F$8,$DY$3:$DY$8)</f>
        <v/>
      </c>
      <c r="DZ9" s="13">
        <f>SUMPRODUCT($F$3:$F$8,$DZ$3:$DZ$8)</f>
        <v/>
      </c>
      <c r="EA9" s="13">
        <f>SUMPRODUCT($F$3:$F$8,$EA$3:$EA$8)</f>
        <v/>
      </c>
      <c r="EB9" s="13">
        <f>SUMPRODUCT($F$3:$F$8,$EB$3:$EB$8)</f>
        <v/>
      </c>
      <c r="EC9" s="13">
        <f>SUMPRODUCT($F$3:$F$8,$EC$3:$EC$8)</f>
        <v/>
      </c>
      <c r="ED9" s="13">
        <f>SUMPRODUCT($F$3:$F$8,$ED$3:$ED$8)</f>
        <v/>
      </c>
      <c r="EE9" s="13">
        <f>SUMPRODUCT($F$3:$F$8,$EE$3:$EE$8)</f>
        <v/>
      </c>
      <c r="EF9" s="13">
        <f>SUMPRODUCT($F$3:$F$8,$EF$3:$EF$8)</f>
        <v/>
      </c>
      <c r="EG9" s="13">
        <f>SUMPRODUCT($F$3:$F$8,$EG$3:$EG$8)</f>
        <v/>
      </c>
      <c r="EH9" s="13">
        <f>SUMPRODUCT($F$3:$F$8,$EH$3:$EH$8)</f>
        <v/>
      </c>
      <c r="EI9" s="13">
        <f>SUMPRODUCT($F$3:$F$8,$EI$3:$EI$8)</f>
        <v/>
      </c>
      <c r="EJ9" s="13">
        <f>SUMPRODUCT($F$3:$F$8,$EJ$3:$EJ$8)</f>
        <v/>
      </c>
      <c r="EK9" s="13">
        <f>SUMPRODUCT($F$3:$F$8,$EK$3:$EK$8)</f>
        <v/>
      </c>
      <c r="EL9" s="13">
        <f>SUMPRODUCT($F$3:$F$8,$EL$3:$EL$8)</f>
        <v/>
      </c>
      <c r="EM9" s="13">
        <f>SUMPRODUCT($F$3:$F$8,$EM$3:$EM$8)</f>
        <v/>
      </c>
      <c r="EN9" s="13">
        <f>SUMPRODUCT($F$3:$F$8,$EN$3:$EN$8)</f>
        <v/>
      </c>
      <c r="EO9" s="13">
        <f>SUMPRODUCT($F$3:$F$8,$EO$3:$EO$8)</f>
        <v/>
      </c>
      <c r="EP9" s="13">
        <f>SUMPRODUCT($F$3:$F$8,$EP$3:$EP$8)</f>
        <v/>
      </c>
      <c r="EQ9" s="13">
        <f>SUMPRODUCT($F$3:$F$8,$EQ$3:$EQ$8)</f>
        <v/>
      </c>
      <c r="ER9" s="13">
        <f>SUMPRODUCT($F$3:$F$8,$ER$3:$ER$8)</f>
        <v/>
      </c>
      <c r="ES9" s="13">
        <f>SUMPRODUCT($F$3:$F$8,$ES$3:$ES$8)</f>
        <v/>
      </c>
      <c r="ET9" s="13">
        <f>SUMPRODUCT($F$3:$F$8,$ET$3:$ET$8)</f>
        <v/>
      </c>
      <c r="EU9" s="13">
        <f>SUMPRODUCT($F$3:$F$8,$EU$3:$EU$8)</f>
        <v/>
      </c>
      <c r="EV9" s="13">
        <f>SUMPRODUCT($F$3:$F$8,$EV$3:$EV$8)</f>
        <v/>
      </c>
      <c r="EW9" s="13">
        <f>SUMPRODUCT($F$3:$F$8,$EW$3:$EW$8)</f>
        <v/>
      </c>
      <c r="EX9" s="13">
        <f>SUMPRODUCT($F$3:$F$8,$EX$3:$EX$8)</f>
        <v/>
      </c>
      <c r="EY9" s="13">
        <f>SUMPRODUCT($F$3:$F$8,$EY$3:$EY$8)</f>
        <v/>
      </c>
      <c r="EZ9" s="13">
        <f>SUMPRODUCT($F$3:$F$8,$EZ$3:$EZ$8)</f>
        <v/>
      </c>
      <c r="FA9" s="13">
        <f>SUMPRODUCT($F$3:$F$8,$FA$3:$FA$8)</f>
        <v/>
      </c>
      <c r="FB9" s="13">
        <f>SUMPRODUCT($F$3:$F$8,$FB$3:$FB$8)</f>
        <v/>
      </c>
      <c r="FC9" s="13">
        <f>SUMPRODUCT($F$3:$F$8,$FC$3:$FC$8)</f>
        <v/>
      </c>
      <c r="FD9" s="13">
        <f>SUMPRODUCT($F$3:$F$8,$FD$3:$FD$8)</f>
        <v/>
      </c>
      <c r="FE9" s="13">
        <f>SUMPRODUCT($F$3:$F$8,$FE$3:$FE$8)</f>
        <v/>
      </c>
      <c r="FF9" s="13">
        <f>SUMPRODUCT($F$3:$F$8,$FF$3:$FF$8)</f>
        <v/>
      </c>
      <c r="FG9" s="13">
        <f>SUMPRODUCT($F$3:$F$8,$FG$3:$FG$8)</f>
        <v/>
      </c>
      <c r="FH9" s="13">
        <f>SUMPRODUCT($F$3:$F$8,$FH$3:$FH$8)</f>
        <v/>
      </c>
      <c r="FI9" s="13">
        <f>SUMPRODUCT($F$3:$F$8,$FI$3:$FI$8)</f>
        <v/>
      </c>
      <c r="FJ9" s="13">
        <f>SUMPRODUCT($F$3:$F$8,$FJ$3:$FJ$8)</f>
        <v/>
      </c>
      <c r="FK9" s="13">
        <f>SUMPRODUCT($F$3:$F$8,$FK$3:$FK$8)</f>
        <v/>
      </c>
      <c r="FL9" s="13">
        <f>SUMPRODUCT($F$3:$F$8,$FL$3:$FL$8)</f>
        <v/>
      </c>
      <c r="FM9" s="13">
        <f>SUMPRODUCT($F$3:$F$8,$FM$3:$FM$8)</f>
        <v/>
      </c>
      <c r="FN9" s="13">
        <f>SUMPRODUCT($F$3:$F$8,$FN$3:$FN$8)</f>
        <v/>
      </c>
      <c r="FO9" s="13">
        <f>SUMPRODUCT($F$3:$F$8,$FO$3:$FO$8)</f>
        <v/>
      </c>
      <c r="FP9" s="13">
        <f>SUMPRODUCT($F$3:$F$8,$FP$3:$FP$8)</f>
        <v/>
      </c>
      <c r="FQ9" s="13">
        <f>SUMPRODUCT($F$3:$F$8,$FQ$3:$FQ$8)</f>
        <v/>
      </c>
      <c r="FR9" s="13">
        <f>SUMPRODUCT($F$3:$F$8,$FR$3:$FR$8)</f>
        <v/>
      </c>
      <c r="FS9" s="13">
        <f>SUMPRODUCT($F$3:$F$8,$FS$3:$FS$8)</f>
        <v/>
      </c>
      <c r="FT9" s="13">
        <f>SUMPRODUCT($F$3:$F$8,$FT$3:$FT$8)</f>
        <v/>
      </c>
      <c r="FU9" s="13">
        <f>SUMPRODUCT($F$3:$F$8,$FU$3:$FU$8)</f>
        <v/>
      </c>
      <c r="FV9" s="13">
        <f>SUMPRODUCT($F$3:$F$8,$FV$3:$FV$8)</f>
        <v/>
      </c>
      <c r="FW9" s="13">
        <f>SUMPRODUCT($F$3:$F$8,$FW$3:$FW$8)</f>
        <v/>
      </c>
      <c r="FX9" s="13">
        <f>SUMPRODUCT($F$3:$F$8,$FX$3:$FX$8)</f>
        <v/>
      </c>
      <c r="FY9" s="13">
        <f>SUMPRODUCT($F$3:$F$8,$FY$3:$FY$8)</f>
        <v/>
      </c>
      <c r="FZ9" s="13">
        <f>SUMPRODUCT($F$3:$F$8,$FZ$3:$FZ$8)</f>
        <v/>
      </c>
      <c r="GA9" s="13">
        <f>SUMPRODUCT($F$3:$F$8,$GA$3:$GA$8)</f>
        <v/>
      </c>
      <c r="GB9" s="13">
        <f>SUMPRODUCT($F$3:$F$8,$GB$3:$GB$8)</f>
        <v/>
      </c>
      <c r="GC9" s="13">
        <f>SUMPRODUCT($F$3:$F$8,$GC$3:$GC$8)</f>
        <v/>
      </c>
      <c r="GD9" s="13">
        <f>SUMPRODUCT($F$3:$F$8,$GD$3:$GD$8)</f>
        <v/>
      </c>
      <c r="GE9" s="13">
        <f>SUMPRODUCT($F$3:$F$8,$GE$3:$GE$8)</f>
        <v/>
      </c>
      <c r="GF9" s="13">
        <f>SUMPRODUCT($F$3:$F$8,$GF$3:$GF$8)</f>
        <v/>
      </c>
      <c r="GG9" s="13">
        <f>SUMPRODUCT($F$3:$F$8,$GG$3:$GG$8)</f>
        <v/>
      </c>
      <c r="GH9" s="13">
        <f>SUMPRODUCT($F$3:$F$8,$GH$3:$GH$8)</f>
        <v/>
      </c>
      <c r="GI9" s="13">
        <f>SUMPRODUCT($F$3:$F$8,$GI$3:$GI$8)</f>
        <v/>
      </c>
      <c r="GJ9" s="13">
        <f>SUMPRODUCT($F$3:$F$8,$GJ$3:$GJ$8)</f>
        <v/>
      </c>
      <c r="GK9" s="13">
        <f>SUMPRODUCT($F$3:$F$8,$GK$3:$GK$8)</f>
        <v/>
      </c>
      <c r="GL9" s="13">
        <f>SUMPRODUCT($F$3:$F$8,$GL$3:$GL$8)</f>
        <v/>
      </c>
      <c r="GM9" s="13">
        <f>SUMPRODUCT($F$3:$F$8,$GM$3:$GM$8)</f>
        <v/>
      </c>
      <c r="GN9" s="13">
        <f>SUMPRODUCT($F$3:$F$8,$GN$3:$GN$8)</f>
        <v/>
      </c>
      <c r="GO9" s="13">
        <f>SUMPRODUCT($F$3:$F$8,$GO$3:$GO$8)</f>
        <v/>
      </c>
    </row>
  </sheetData>
  <mergeCells count="10">
    <mergeCell ref="G1:O1"/>
    <mergeCell ref="AK1:CL1"/>
    <mergeCell ref="P1:X1"/>
    <mergeCell ref="A1:F1"/>
    <mergeCell ref="Y1:AJ1"/>
    <mergeCell ref="GO1"/>
    <mergeCell ref="FN1:GF1"/>
    <mergeCell ref="CM1:FM1"/>
    <mergeCell ref="GG1:GJ1"/>
    <mergeCell ref="GK1:G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Ingredientes!G9</f>
        <v/>
      </c>
      <c r="C2" t="inlineStr">
        <is>
          <t>g</t>
        </is>
      </c>
    </row>
    <row r="3">
      <c r="A3" t="inlineStr">
        <is>
          <t>Energy</t>
        </is>
      </c>
      <c r="B3">
        <f>Ingredientes!H9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Ingredientes!I9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Ingredientes!J9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Ingredientes!K9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Ingredientes!L9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Ingredientes!M9</f>
        <v/>
      </c>
      <c r="C8" t="inlineStr">
        <is>
          <t>g</t>
        </is>
      </c>
    </row>
    <row r="9">
      <c r="A9" t="inlineStr">
        <is>
          <t>Ash</t>
        </is>
      </c>
      <c r="B9">
        <f>Ingredientes!N9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Ingredientes!O9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Ingredientes!P9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Ingredientes!Q9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Ingredientes!R9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Ingredientes!S9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Ingredientes!T9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Ingredientes!U9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Ingredientes!V9</f>
        <v/>
      </c>
      <c r="C17" t="inlineStr">
        <is>
          <t>g</t>
        </is>
      </c>
    </row>
    <row r="18">
      <c r="A18" t="inlineStr">
        <is>
          <t>Galactose</t>
        </is>
      </c>
      <c r="B18">
        <f>Ingredientes!W9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Ingredientes!X9</f>
        <v/>
      </c>
      <c r="C19" t="inlineStr">
        <is>
          <t>g</t>
        </is>
      </c>
    </row>
    <row r="20">
      <c r="A20" t="inlineStr">
        <is>
          <t>Calcium, Ca</t>
        </is>
      </c>
      <c r="B20">
        <f>Ingredientes!Y9</f>
        <v/>
      </c>
      <c r="C20" t="inlineStr">
        <is>
          <t>mg</t>
        </is>
      </c>
    </row>
    <row r="21">
      <c r="A21" t="inlineStr">
        <is>
          <t>Iron, Fe</t>
        </is>
      </c>
      <c r="B21">
        <f>Ingredientes!Z9</f>
        <v/>
      </c>
      <c r="C21" t="inlineStr">
        <is>
          <t>mg</t>
        </is>
      </c>
    </row>
    <row r="22">
      <c r="A22" t="inlineStr">
        <is>
          <t>Magnesium, Mg</t>
        </is>
      </c>
      <c r="B22">
        <f>Ingredientes!AA9</f>
        <v/>
      </c>
      <c r="C22" t="inlineStr">
        <is>
          <t>mg</t>
        </is>
      </c>
    </row>
    <row r="23">
      <c r="A23" t="inlineStr">
        <is>
          <t>Phosphorus, P</t>
        </is>
      </c>
      <c r="B23">
        <f>Ingredientes!AB9</f>
        <v/>
      </c>
      <c r="C23" t="inlineStr">
        <is>
          <t>mg</t>
        </is>
      </c>
    </row>
    <row r="24">
      <c r="A24" t="inlineStr">
        <is>
          <t>Potassium, K</t>
        </is>
      </c>
      <c r="B24">
        <f>Ingredientes!AC9</f>
        <v/>
      </c>
      <c r="C24" t="inlineStr">
        <is>
          <t>mg</t>
        </is>
      </c>
    </row>
    <row r="25">
      <c r="A25" t="inlineStr">
        <is>
          <t>Sodium, Na</t>
        </is>
      </c>
      <c r="B25">
        <f>Ingredientes!AD9</f>
        <v/>
      </c>
      <c r="C25" t="inlineStr">
        <is>
          <t>mg</t>
        </is>
      </c>
    </row>
    <row r="26">
      <c r="A26" t="inlineStr">
        <is>
          <t>Zinc, Zn</t>
        </is>
      </c>
      <c r="B26">
        <f>Ingredientes!AE9</f>
        <v/>
      </c>
      <c r="C26" t="inlineStr">
        <is>
          <t>mg</t>
        </is>
      </c>
    </row>
    <row r="27">
      <c r="A27" t="inlineStr">
        <is>
          <t>Copper, Cu</t>
        </is>
      </c>
      <c r="B27">
        <f>Ingredientes!AF9</f>
        <v/>
      </c>
      <c r="C27" t="inlineStr">
        <is>
          <t>mg</t>
        </is>
      </c>
    </row>
    <row r="28">
      <c r="A28" t="inlineStr">
        <is>
          <t>Manganese, Mn</t>
        </is>
      </c>
      <c r="B28">
        <f>Ingredientes!AG9</f>
        <v/>
      </c>
      <c r="C28" t="inlineStr">
        <is>
          <t>mg</t>
        </is>
      </c>
    </row>
    <row r="29">
      <c r="A29" t="inlineStr">
        <is>
          <t>Iodine, I</t>
        </is>
      </c>
      <c r="B29">
        <f>Ingredientes!AH9</f>
        <v/>
      </c>
      <c r="C29" t="inlineStr">
        <is>
          <t>µg</t>
        </is>
      </c>
    </row>
    <row r="30">
      <c r="A30" t="inlineStr">
        <is>
          <t>Selenium, Se</t>
        </is>
      </c>
      <c r="B30">
        <f>Ingredientes!AI9</f>
        <v/>
      </c>
      <c r="C30" t="inlineStr">
        <is>
          <t>µg</t>
        </is>
      </c>
    </row>
    <row r="31">
      <c r="A31" t="inlineStr">
        <is>
          <t>Fluoride, F</t>
        </is>
      </c>
      <c r="B31">
        <f>Ingredientes!AJ9</f>
        <v/>
      </c>
      <c r="C31" t="inlineStr">
        <is>
          <t>µg</t>
        </is>
      </c>
    </row>
    <row r="32">
      <c r="A32" t="inlineStr">
        <is>
          <t>Folate, food</t>
        </is>
      </c>
      <c r="B32">
        <f>Ingredientes!AK9</f>
        <v/>
      </c>
      <c r="C32" t="inlineStr">
        <is>
          <t>µg</t>
        </is>
      </c>
    </row>
    <row r="33">
      <c r="A33" t="inlineStr">
        <is>
          <t>Thiamin</t>
        </is>
      </c>
      <c r="B33">
        <f>Ingredientes!AL9</f>
        <v/>
      </c>
      <c r="C33" t="inlineStr">
        <is>
          <t>mg</t>
        </is>
      </c>
    </row>
    <row r="34">
      <c r="A34" t="inlineStr">
        <is>
          <t>Riboflavin</t>
        </is>
      </c>
      <c r="B34">
        <f>Ingredientes!AM9</f>
        <v/>
      </c>
      <c r="C34" t="inlineStr">
        <is>
          <t>mg</t>
        </is>
      </c>
    </row>
    <row r="35">
      <c r="A35" t="inlineStr">
        <is>
          <t>Niacin</t>
        </is>
      </c>
      <c r="B35">
        <f>Ingredientes!AN9</f>
        <v/>
      </c>
      <c r="C35" t="inlineStr">
        <is>
          <t>mg</t>
        </is>
      </c>
    </row>
    <row r="36">
      <c r="A36" t="inlineStr">
        <is>
          <t>Vitamin B-6</t>
        </is>
      </c>
      <c r="B36">
        <f>Ingredientes!AO9</f>
        <v/>
      </c>
      <c r="C36" t="inlineStr">
        <is>
          <t>mg</t>
        </is>
      </c>
    </row>
    <row r="37">
      <c r="A37" t="inlineStr">
        <is>
          <t>Folate, total</t>
        </is>
      </c>
      <c r="B37">
        <f>Ingredientes!AP9</f>
        <v/>
      </c>
      <c r="C37" t="inlineStr">
        <is>
          <t>µg</t>
        </is>
      </c>
    </row>
    <row r="38">
      <c r="A38" t="inlineStr">
        <is>
          <t>Folic acid</t>
        </is>
      </c>
      <c r="B38">
        <f>Ingredientes!AQ9</f>
        <v/>
      </c>
      <c r="C38" t="inlineStr">
        <is>
          <t>µg</t>
        </is>
      </c>
    </row>
    <row r="39">
      <c r="A39" t="inlineStr">
        <is>
          <t>Folate, DFE</t>
        </is>
      </c>
      <c r="B39">
        <f>Ingredientes!AR9</f>
        <v/>
      </c>
      <c r="C39" t="inlineStr">
        <is>
          <t>µg</t>
        </is>
      </c>
    </row>
    <row r="40">
      <c r="A40" t="inlineStr">
        <is>
          <t>Choline, total</t>
        </is>
      </c>
      <c r="B40">
        <f>Ingredientes!AS9</f>
        <v/>
      </c>
      <c r="C40" t="inlineStr">
        <is>
          <t>mg</t>
        </is>
      </c>
    </row>
    <row r="41">
      <c r="A41" t="inlineStr">
        <is>
          <t>Choline, free</t>
        </is>
      </c>
      <c r="B41">
        <f>Ingredientes!AT9</f>
        <v/>
      </c>
      <c r="C41" t="inlineStr">
        <is>
          <t>mg</t>
        </is>
      </c>
    </row>
    <row r="42">
      <c r="A42" t="inlineStr">
        <is>
          <t>Choline, from phosphocholine</t>
        </is>
      </c>
      <c r="B42">
        <f>Ingredientes!AU9</f>
        <v/>
      </c>
      <c r="C42" t="inlineStr">
        <is>
          <t>mg</t>
        </is>
      </c>
    </row>
    <row r="43">
      <c r="A43" t="inlineStr">
        <is>
          <t>Choline, from phosphatidyl choline</t>
        </is>
      </c>
      <c r="B43">
        <f>Ingredientes!AV9</f>
        <v/>
      </c>
      <c r="C43" t="inlineStr">
        <is>
          <t>mg</t>
        </is>
      </c>
    </row>
    <row r="44">
      <c r="A44" t="inlineStr">
        <is>
          <t>Choline, from glycerophosphocholine</t>
        </is>
      </c>
      <c r="B44">
        <f>Ingredientes!AW9</f>
        <v/>
      </c>
      <c r="C44" t="inlineStr">
        <is>
          <t>mg</t>
        </is>
      </c>
    </row>
    <row r="45">
      <c r="A45" t="inlineStr">
        <is>
          <t>Choline, from sphingomyelin</t>
        </is>
      </c>
      <c r="B45">
        <f>Ingredientes!AX9</f>
        <v/>
      </c>
      <c r="C45" t="inlineStr">
        <is>
          <t>mg</t>
        </is>
      </c>
    </row>
    <row r="46">
      <c r="A46" t="inlineStr">
        <is>
          <t>Betaine</t>
        </is>
      </c>
      <c r="B46">
        <f>Ingredientes!AY9</f>
        <v/>
      </c>
      <c r="C46" t="inlineStr">
        <is>
          <t>mg</t>
        </is>
      </c>
    </row>
    <row r="47">
      <c r="A47" t="inlineStr">
        <is>
          <t>Vitamin B-12</t>
        </is>
      </c>
      <c r="B47">
        <f>Ingredientes!AZ9</f>
        <v/>
      </c>
      <c r="C47" t="inlineStr">
        <is>
          <t>µg</t>
        </is>
      </c>
    </row>
    <row r="48">
      <c r="A48" t="inlineStr">
        <is>
          <t>Vitamin B-12, added</t>
        </is>
      </c>
      <c r="B48">
        <f>Ingredientes!BA9</f>
        <v/>
      </c>
      <c r="C48" t="inlineStr">
        <is>
          <t>µg</t>
        </is>
      </c>
    </row>
    <row r="49">
      <c r="A49" t="inlineStr">
        <is>
          <t>Vitamin A, RAE</t>
        </is>
      </c>
      <c r="B49">
        <f>Ingredientes!BB9</f>
        <v/>
      </c>
      <c r="C49" t="inlineStr">
        <is>
          <t>µg</t>
        </is>
      </c>
    </row>
    <row r="50">
      <c r="A50" t="inlineStr">
        <is>
          <t>Retinol</t>
        </is>
      </c>
      <c r="B50">
        <f>Ingredientes!BC9</f>
        <v/>
      </c>
      <c r="C50" t="inlineStr">
        <is>
          <t>µg</t>
        </is>
      </c>
    </row>
    <row r="51">
      <c r="A51" t="inlineStr">
        <is>
          <t>Carotene, beta</t>
        </is>
      </c>
      <c r="B51">
        <f>Ingredientes!BD9</f>
        <v/>
      </c>
      <c r="C51" t="inlineStr">
        <is>
          <t>µg</t>
        </is>
      </c>
    </row>
    <row r="52">
      <c r="A52" t="inlineStr">
        <is>
          <t>cis-beta-Carotene</t>
        </is>
      </c>
      <c r="B52">
        <f>Ingredientes!BE9</f>
        <v/>
      </c>
      <c r="C52" t="inlineStr">
        <is>
          <t>µg</t>
        </is>
      </c>
    </row>
    <row r="53">
      <c r="A53" t="inlineStr">
        <is>
          <t>trans-beta-Carotene</t>
        </is>
      </c>
      <c r="B53">
        <f>Ingredientes!BF9</f>
        <v/>
      </c>
      <c r="C53" t="inlineStr">
        <is>
          <t>µg</t>
        </is>
      </c>
    </row>
    <row r="54">
      <c r="A54" t="inlineStr">
        <is>
          <t>Carotene, alpha</t>
        </is>
      </c>
      <c r="B54">
        <f>Ingredientes!BG9</f>
        <v/>
      </c>
      <c r="C54" t="inlineStr">
        <is>
          <t>µg</t>
        </is>
      </c>
    </row>
    <row r="55">
      <c r="A55" t="inlineStr">
        <is>
          <t>Cryptoxanthin, beta</t>
        </is>
      </c>
      <c r="B55">
        <f>Ingredientes!BH9</f>
        <v/>
      </c>
      <c r="C55" t="inlineStr">
        <is>
          <t>µg</t>
        </is>
      </c>
    </row>
    <row r="56">
      <c r="A56" t="inlineStr">
        <is>
          <t>Cryptoxanthin, alpha</t>
        </is>
      </c>
      <c r="B56">
        <f>Ingredientes!BI9</f>
        <v/>
      </c>
      <c r="C56" t="inlineStr">
        <is>
          <t>µg</t>
        </is>
      </c>
    </row>
    <row r="57">
      <c r="A57" t="inlineStr">
        <is>
          <t>Vitamin A, IU</t>
        </is>
      </c>
      <c r="B57">
        <f>Ingredientes!BJ9</f>
        <v/>
      </c>
      <c r="C57" t="inlineStr">
        <is>
          <t>iu</t>
        </is>
      </c>
    </row>
    <row r="58">
      <c r="A58" t="inlineStr">
        <is>
          <t>Lycopene</t>
        </is>
      </c>
      <c r="B58">
        <f>Ingredientes!BK9</f>
        <v/>
      </c>
      <c r="C58" t="inlineStr">
        <is>
          <t>µg</t>
        </is>
      </c>
    </row>
    <row r="59">
      <c r="A59" t="inlineStr">
        <is>
          <t>cis-Lycopene</t>
        </is>
      </c>
      <c r="B59">
        <f>Ingredientes!BL9</f>
        <v/>
      </c>
      <c r="C59" t="inlineStr">
        <is>
          <t>µg</t>
        </is>
      </c>
    </row>
    <row r="60">
      <c r="A60" t="inlineStr">
        <is>
          <t>trans-Lycopene</t>
        </is>
      </c>
      <c r="B60">
        <f>Ingredientes!BM9</f>
        <v/>
      </c>
      <c r="C60" t="inlineStr">
        <is>
          <t>µg</t>
        </is>
      </c>
    </row>
    <row r="61">
      <c r="A61" t="inlineStr">
        <is>
          <t>Lutein + zeaxanthin</t>
        </is>
      </c>
      <c r="B61">
        <f>Ingredientes!BN9</f>
        <v/>
      </c>
      <c r="C61" t="inlineStr">
        <is>
          <t>µg</t>
        </is>
      </c>
    </row>
    <row r="62">
      <c r="A62" t="inlineStr">
        <is>
          <t>cis-Lutein/Zeaxanthin</t>
        </is>
      </c>
      <c r="B62">
        <f>Ingredientes!BO9</f>
        <v/>
      </c>
      <c r="C62" t="inlineStr">
        <is>
          <t>µg</t>
        </is>
      </c>
    </row>
    <row r="63">
      <c r="A63" t="inlineStr">
        <is>
          <t>Lutein</t>
        </is>
      </c>
      <c r="B63">
        <f>Ingredientes!BP9</f>
        <v/>
      </c>
      <c r="C63" t="inlineStr">
        <is>
          <t>µg</t>
        </is>
      </c>
    </row>
    <row r="64">
      <c r="A64" t="inlineStr">
        <is>
          <t>Zeaxanthin</t>
        </is>
      </c>
      <c r="B64">
        <f>Ingredientes!BQ9</f>
        <v/>
      </c>
      <c r="C64" t="inlineStr">
        <is>
          <t>µg</t>
        </is>
      </c>
    </row>
    <row r="65">
      <c r="A65" t="inlineStr">
        <is>
          <t>Vitamin D (D2 + D3), International Units</t>
        </is>
      </c>
      <c r="B65">
        <f>Ingredientes!BR9</f>
        <v/>
      </c>
      <c r="C65" t="inlineStr">
        <is>
          <t>iu</t>
        </is>
      </c>
    </row>
    <row r="66">
      <c r="A66" t="inlineStr">
        <is>
          <t>Vitamin D (D2 + D3)</t>
        </is>
      </c>
      <c r="B66">
        <f>Ingredientes!BS9</f>
        <v/>
      </c>
      <c r="C66" t="inlineStr">
        <is>
          <t>µg</t>
        </is>
      </c>
    </row>
    <row r="67">
      <c r="A67" t="inlineStr">
        <is>
          <t>Vitamin D2 (ergocalciferol)</t>
        </is>
      </c>
      <c r="B67">
        <f>Ingredientes!BT9</f>
        <v/>
      </c>
      <c r="C67" t="inlineStr">
        <is>
          <t>µg</t>
        </is>
      </c>
    </row>
    <row r="68">
      <c r="A68" t="inlineStr">
        <is>
          <t>Vitamin D3 (cholecalciferol)</t>
        </is>
      </c>
      <c r="B68">
        <f>Ingredientes!BU9</f>
        <v/>
      </c>
      <c r="C68" t="inlineStr">
        <is>
          <t>µg</t>
        </is>
      </c>
    </row>
    <row r="69">
      <c r="A69" t="inlineStr">
        <is>
          <t>25-hydroxycholecalciferol</t>
        </is>
      </c>
      <c r="B69">
        <f>Ingredientes!BV9</f>
        <v/>
      </c>
      <c r="C69" t="inlineStr">
        <is>
          <t>µg</t>
        </is>
      </c>
    </row>
    <row r="70">
      <c r="A70" t="inlineStr">
        <is>
          <t>Vitamin K (phylloquinone)</t>
        </is>
      </c>
      <c r="B70">
        <f>Ingredientes!BW9</f>
        <v/>
      </c>
      <c r="C70" t="inlineStr">
        <is>
          <t>µg</t>
        </is>
      </c>
    </row>
    <row r="71">
      <c r="A71" t="inlineStr">
        <is>
          <t>Vitamin K (Dihydrophylloquinone)</t>
        </is>
      </c>
      <c r="B71">
        <f>Ingredientes!BX9</f>
        <v/>
      </c>
      <c r="C71" t="inlineStr">
        <is>
          <t>µg</t>
        </is>
      </c>
    </row>
    <row r="72">
      <c r="A72" t="inlineStr">
        <is>
          <t>Vitamin K (Menaquinone-4)</t>
        </is>
      </c>
      <c r="B72">
        <f>Ingredientes!BY9</f>
        <v/>
      </c>
      <c r="C72" t="inlineStr">
        <is>
          <t>µg</t>
        </is>
      </c>
    </row>
    <row r="73">
      <c r="A73" t="inlineStr">
        <is>
          <t>Vitamin E (alpha-tocopherol)</t>
        </is>
      </c>
      <c r="B73">
        <f>Ingredientes!BZ9</f>
        <v/>
      </c>
      <c r="C73" t="inlineStr">
        <is>
          <t>mg</t>
        </is>
      </c>
    </row>
    <row r="74">
      <c r="A74" t="inlineStr">
        <is>
          <t>Vitamin E, added</t>
        </is>
      </c>
      <c r="B74">
        <f>Ingredientes!CA9</f>
        <v/>
      </c>
      <c r="C74" t="inlineStr">
        <is>
          <t>mg</t>
        </is>
      </c>
    </row>
    <row r="75">
      <c r="A75" t="inlineStr">
        <is>
          <t>Tocopherol, beta</t>
        </is>
      </c>
      <c r="B75">
        <f>Ingredientes!CB9</f>
        <v/>
      </c>
      <c r="C75" t="inlineStr">
        <is>
          <t>mg</t>
        </is>
      </c>
    </row>
    <row r="76">
      <c r="A76" t="inlineStr">
        <is>
          <t>Tocopherol, gamma</t>
        </is>
      </c>
      <c r="B76">
        <f>Ingredientes!CC9</f>
        <v/>
      </c>
      <c r="C76" t="inlineStr">
        <is>
          <t>mg</t>
        </is>
      </c>
    </row>
    <row r="77">
      <c r="A77" t="inlineStr">
        <is>
          <t>Tocopherol, delta</t>
        </is>
      </c>
      <c r="B77">
        <f>Ingredientes!CD9</f>
        <v/>
      </c>
      <c r="C77" t="inlineStr">
        <is>
          <t>mg</t>
        </is>
      </c>
    </row>
    <row r="78">
      <c r="A78" t="inlineStr">
        <is>
          <t>Tocotrienol, alpha</t>
        </is>
      </c>
      <c r="B78">
        <f>Ingredientes!CE9</f>
        <v/>
      </c>
      <c r="C78" t="inlineStr">
        <is>
          <t>mg</t>
        </is>
      </c>
    </row>
    <row r="79">
      <c r="A79" t="inlineStr">
        <is>
          <t>Tocotrienol, beta</t>
        </is>
      </c>
      <c r="B79">
        <f>Ingredientes!CF9</f>
        <v/>
      </c>
      <c r="C79" t="inlineStr">
        <is>
          <t>mg</t>
        </is>
      </c>
    </row>
    <row r="80">
      <c r="A80" t="inlineStr">
        <is>
          <t>Tocotrienol, gamma</t>
        </is>
      </c>
      <c r="B80">
        <f>Ingredientes!CG9</f>
        <v/>
      </c>
      <c r="C80" t="inlineStr">
        <is>
          <t>mg</t>
        </is>
      </c>
    </row>
    <row r="81">
      <c r="A81" t="inlineStr">
        <is>
          <t>Tocotrienol, delta</t>
        </is>
      </c>
      <c r="B81">
        <f>Ingredientes!CH9</f>
        <v/>
      </c>
      <c r="C81" t="inlineStr">
        <is>
          <t>mg</t>
        </is>
      </c>
    </row>
    <row r="82">
      <c r="A82" t="inlineStr">
        <is>
          <t>Vitamin C, total ascorbic acid</t>
        </is>
      </c>
      <c r="B82">
        <f>Ingredientes!CI9</f>
        <v/>
      </c>
      <c r="C82" t="inlineStr">
        <is>
          <t>mg</t>
        </is>
      </c>
    </row>
    <row r="83">
      <c r="A83" t="inlineStr">
        <is>
          <t>Pantothenic acid</t>
        </is>
      </c>
      <c r="B83">
        <f>Ingredientes!CJ9</f>
        <v/>
      </c>
      <c r="C83" t="inlineStr">
        <is>
          <t>mg</t>
        </is>
      </c>
    </row>
    <row r="84">
      <c r="A84" t="inlineStr">
        <is>
          <t>Caffeine</t>
        </is>
      </c>
      <c r="B84">
        <f>Ingredientes!CK9</f>
        <v/>
      </c>
      <c r="C84" t="inlineStr">
        <is>
          <t>mg</t>
        </is>
      </c>
    </row>
    <row r="85">
      <c r="A85" t="inlineStr">
        <is>
          <t>Theobromine</t>
        </is>
      </c>
      <c r="B85">
        <f>Ingredientes!CL9</f>
        <v/>
      </c>
      <c r="C85" t="inlineStr">
        <is>
          <t>mg</t>
        </is>
      </c>
    </row>
    <row r="86">
      <c r="A86" t="inlineStr">
        <is>
          <t>Fatty acids, total saturated</t>
        </is>
      </c>
      <c r="B86">
        <f>Ingredientes!CM9</f>
        <v/>
      </c>
      <c r="C86" t="inlineStr">
        <is>
          <t>g</t>
        </is>
      </c>
    </row>
    <row r="87">
      <c r="A87" t="inlineStr">
        <is>
          <t>SFA 4:0</t>
        </is>
      </c>
      <c r="B87">
        <f>Ingredientes!CN9</f>
        <v/>
      </c>
      <c r="C87" t="inlineStr">
        <is>
          <t>g</t>
        </is>
      </c>
    </row>
    <row r="88">
      <c r="A88" t="inlineStr">
        <is>
          <t>SFA 5:0</t>
        </is>
      </c>
      <c r="B88">
        <f>Ingredientes!CO9</f>
        <v/>
      </c>
      <c r="C88" t="inlineStr">
        <is>
          <t>g</t>
        </is>
      </c>
    </row>
    <row r="89">
      <c r="A89" t="inlineStr">
        <is>
          <t>SFA 6:0</t>
        </is>
      </c>
      <c r="B89">
        <f>Ingredientes!CP9</f>
        <v/>
      </c>
      <c r="C89" t="inlineStr">
        <is>
          <t>g</t>
        </is>
      </c>
    </row>
    <row r="90">
      <c r="A90" t="inlineStr">
        <is>
          <t>SFA 7:0</t>
        </is>
      </c>
      <c r="B90">
        <f>Ingredientes!CQ9</f>
        <v/>
      </c>
      <c r="C90" t="inlineStr">
        <is>
          <t>g</t>
        </is>
      </c>
    </row>
    <row r="91">
      <c r="A91" t="inlineStr">
        <is>
          <t>SFA 8:0</t>
        </is>
      </c>
      <c r="B91">
        <f>Ingredientes!CR9</f>
        <v/>
      </c>
      <c r="C91" t="inlineStr">
        <is>
          <t>g</t>
        </is>
      </c>
    </row>
    <row r="92">
      <c r="A92" t="inlineStr">
        <is>
          <t>SFA 9:0</t>
        </is>
      </c>
      <c r="B92">
        <f>Ingredientes!CS9</f>
        <v/>
      </c>
      <c r="C92" t="inlineStr">
        <is>
          <t>g</t>
        </is>
      </c>
    </row>
    <row r="93">
      <c r="A93" t="inlineStr">
        <is>
          <t>SFA 10:0</t>
        </is>
      </c>
      <c r="B93">
        <f>Ingredientes!CT9</f>
        <v/>
      </c>
      <c r="C93" t="inlineStr">
        <is>
          <t>g</t>
        </is>
      </c>
    </row>
    <row r="94">
      <c r="A94" t="inlineStr">
        <is>
          <t>SFA 11:0</t>
        </is>
      </c>
      <c r="B94">
        <f>Ingredientes!CU9</f>
        <v/>
      </c>
      <c r="C94" t="inlineStr">
        <is>
          <t>g</t>
        </is>
      </c>
    </row>
    <row r="95">
      <c r="A95" t="inlineStr">
        <is>
          <t>SFA 12:0</t>
        </is>
      </c>
      <c r="B95">
        <f>Ingredientes!CV9</f>
        <v/>
      </c>
      <c r="C95" t="inlineStr">
        <is>
          <t>g</t>
        </is>
      </c>
    </row>
    <row r="96">
      <c r="A96" t="inlineStr">
        <is>
          <t>SFA 14:0</t>
        </is>
      </c>
      <c r="B96">
        <f>Ingredientes!CW9</f>
        <v/>
      </c>
      <c r="C96" t="inlineStr">
        <is>
          <t>g</t>
        </is>
      </c>
    </row>
    <row r="97">
      <c r="A97" t="inlineStr">
        <is>
          <t>SFA 15:0</t>
        </is>
      </c>
      <c r="B97">
        <f>Ingredientes!CX9</f>
        <v/>
      </c>
      <c r="C97" t="inlineStr">
        <is>
          <t>g</t>
        </is>
      </c>
    </row>
    <row r="98">
      <c r="A98" t="inlineStr">
        <is>
          <t>SFA 16:0</t>
        </is>
      </c>
      <c r="B98">
        <f>Ingredientes!CY9</f>
        <v/>
      </c>
      <c r="C98" t="inlineStr">
        <is>
          <t>g</t>
        </is>
      </c>
    </row>
    <row r="99">
      <c r="A99" t="inlineStr">
        <is>
          <t>SFA 17:0</t>
        </is>
      </c>
      <c r="B99">
        <f>Ingredientes!CZ9</f>
        <v/>
      </c>
      <c r="C99" t="inlineStr">
        <is>
          <t>g</t>
        </is>
      </c>
    </row>
    <row r="100">
      <c r="A100" t="inlineStr">
        <is>
          <t>SFA 18:0</t>
        </is>
      </c>
      <c r="B100">
        <f>Ingredientes!DA9</f>
        <v/>
      </c>
      <c r="C100" t="inlineStr">
        <is>
          <t>g</t>
        </is>
      </c>
    </row>
    <row r="101">
      <c r="A101" t="inlineStr">
        <is>
          <t>SFA 20:0</t>
        </is>
      </c>
      <c r="B101">
        <f>Ingredientes!DB9</f>
        <v/>
      </c>
      <c r="C101" t="inlineStr">
        <is>
          <t>g</t>
        </is>
      </c>
    </row>
    <row r="102">
      <c r="A102" t="inlineStr">
        <is>
          <t>SFA 21:0</t>
        </is>
      </c>
      <c r="B102">
        <f>Ingredientes!DC9</f>
        <v/>
      </c>
      <c r="C102" t="inlineStr">
        <is>
          <t>g</t>
        </is>
      </c>
    </row>
    <row r="103">
      <c r="A103" t="inlineStr">
        <is>
          <t>SFA 22:0</t>
        </is>
      </c>
      <c r="B103">
        <f>Ingredientes!DD9</f>
        <v/>
      </c>
      <c r="C103" t="inlineStr">
        <is>
          <t>g</t>
        </is>
      </c>
    </row>
    <row r="104">
      <c r="A104" t="inlineStr">
        <is>
          <t>SFA 23:0</t>
        </is>
      </c>
      <c r="B104">
        <f>Ingredientes!DE9</f>
        <v/>
      </c>
      <c r="C104" t="inlineStr">
        <is>
          <t>g</t>
        </is>
      </c>
    </row>
    <row r="105">
      <c r="A105" t="inlineStr">
        <is>
          <t>SFA 24:0</t>
        </is>
      </c>
      <c r="B105">
        <f>Ingredientes!DF9</f>
        <v/>
      </c>
      <c r="C105" t="inlineStr">
        <is>
          <t>g</t>
        </is>
      </c>
    </row>
    <row r="106">
      <c r="A106" t="inlineStr">
        <is>
          <t>Fatty acids, total monounsaturated</t>
        </is>
      </c>
      <c r="B106">
        <f>Ingredientes!DG9</f>
        <v/>
      </c>
      <c r="C106" t="inlineStr">
        <is>
          <t>g</t>
        </is>
      </c>
    </row>
    <row r="107">
      <c r="A107" t="inlineStr">
        <is>
          <t>MUFA 12:1</t>
        </is>
      </c>
      <c r="B107">
        <f>Ingredientes!DH9</f>
        <v/>
      </c>
      <c r="C107" t="inlineStr">
        <is>
          <t>g</t>
        </is>
      </c>
    </row>
    <row r="108">
      <c r="A108" t="inlineStr">
        <is>
          <t>MUFA 14:1</t>
        </is>
      </c>
      <c r="B108">
        <f>Ingredientes!DI9</f>
        <v/>
      </c>
      <c r="C108" t="inlineStr">
        <is>
          <t>g</t>
        </is>
      </c>
    </row>
    <row r="109">
      <c r="A109" t="inlineStr">
        <is>
          <t>MUFA 14:1 c</t>
        </is>
      </c>
      <c r="B109">
        <f>Ingredientes!DJ9</f>
        <v/>
      </c>
      <c r="C109" t="inlineStr">
        <is>
          <t>g</t>
        </is>
      </c>
    </row>
    <row r="110">
      <c r="A110" t="inlineStr">
        <is>
          <t>MUFA 15:1</t>
        </is>
      </c>
      <c r="B110">
        <f>Ingredientes!DK9</f>
        <v/>
      </c>
      <c r="C110" t="inlineStr">
        <is>
          <t>g</t>
        </is>
      </c>
    </row>
    <row r="111">
      <c r="A111" t="inlineStr">
        <is>
          <t>MUFA 16:1</t>
        </is>
      </c>
      <c r="B111">
        <f>Ingredientes!DL9</f>
        <v/>
      </c>
      <c r="C111" t="inlineStr">
        <is>
          <t>g</t>
        </is>
      </c>
    </row>
    <row r="112">
      <c r="A112" t="inlineStr">
        <is>
          <t>MUFA 16:1 c</t>
        </is>
      </c>
      <c r="B112">
        <f>Ingredientes!DM9</f>
        <v/>
      </c>
      <c r="C112" t="inlineStr">
        <is>
          <t>g</t>
        </is>
      </c>
    </row>
    <row r="113">
      <c r="A113" t="inlineStr">
        <is>
          <t>MUFA 17:1</t>
        </is>
      </c>
      <c r="B113">
        <f>Ingredientes!DN9</f>
        <v/>
      </c>
      <c r="C113" t="inlineStr">
        <is>
          <t>g</t>
        </is>
      </c>
    </row>
    <row r="114">
      <c r="A114" t="inlineStr">
        <is>
          <t>MUFA 17:1 c</t>
        </is>
      </c>
      <c r="B114">
        <f>Ingredientes!DO9</f>
        <v/>
      </c>
      <c r="C114" t="inlineStr">
        <is>
          <t>g</t>
        </is>
      </c>
    </row>
    <row r="115">
      <c r="A115" t="inlineStr">
        <is>
          <t>MUFA 18:1</t>
        </is>
      </c>
      <c r="B115">
        <f>Ingredientes!DP9</f>
        <v/>
      </c>
      <c r="C115" t="inlineStr">
        <is>
          <t>g</t>
        </is>
      </c>
    </row>
    <row r="116">
      <c r="A116" t="inlineStr">
        <is>
          <t>MUFA 18:1 c</t>
        </is>
      </c>
      <c r="B116">
        <f>Ingredientes!DQ9</f>
        <v/>
      </c>
      <c r="C116" t="inlineStr">
        <is>
          <t>g</t>
        </is>
      </c>
    </row>
    <row r="117">
      <c r="A117" t="inlineStr">
        <is>
          <t>MUFA 20:1</t>
        </is>
      </c>
      <c r="B117">
        <f>Ingredientes!DR9</f>
        <v/>
      </c>
      <c r="C117" t="inlineStr">
        <is>
          <t>g</t>
        </is>
      </c>
    </row>
    <row r="118">
      <c r="A118" t="inlineStr">
        <is>
          <t>MUFA 20:1 c</t>
        </is>
      </c>
      <c r="B118">
        <f>Ingredientes!DS9</f>
        <v/>
      </c>
      <c r="C118" t="inlineStr">
        <is>
          <t>g</t>
        </is>
      </c>
    </row>
    <row r="119">
      <c r="A119" t="inlineStr">
        <is>
          <t>MUFA 22:1</t>
        </is>
      </c>
      <c r="B119">
        <f>Ingredientes!DT9</f>
        <v/>
      </c>
      <c r="C119" t="inlineStr">
        <is>
          <t>g</t>
        </is>
      </c>
    </row>
    <row r="120">
      <c r="A120" t="inlineStr">
        <is>
          <t>MUFA 22:1 c</t>
        </is>
      </c>
      <c r="B120">
        <f>Ingredientes!DU9</f>
        <v/>
      </c>
      <c r="C120" t="inlineStr">
        <is>
          <t>g</t>
        </is>
      </c>
    </row>
    <row r="121">
      <c r="A121" t="inlineStr">
        <is>
          <t>MUFA 22:1 n-9</t>
        </is>
      </c>
      <c r="B121">
        <f>Ingredientes!DV9</f>
        <v/>
      </c>
      <c r="C121" t="inlineStr">
        <is>
          <t>g</t>
        </is>
      </c>
    </row>
    <row r="122">
      <c r="A122" t="inlineStr">
        <is>
          <t>MUFA 22:1 n-11</t>
        </is>
      </c>
      <c r="B122">
        <f>Ingredientes!DW9</f>
        <v/>
      </c>
      <c r="C122" t="inlineStr">
        <is>
          <t>g</t>
        </is>
      </c>
    </row>
    <row r="123">
      <c r="A123" t="inlineStr">
        <is>
          <t>MUFA 24:1 c</t>
        </is>
      </c>
      <c r="B123">
        <f>Ingredientes!DX9</f>
        <v/>
      </c>
      <c r="C123" t="inlineStr">
        <is>
          <t>g</t>
        </is>
      </c>
    </row>
    <row r="124">
      <c r="A124" t="inlineStr">
        <is>
          <t>Fatty acids, total polyunsaturated</t>
        </is>
      </c>
      <c r="B124">
        <f>Ingredientes!DY9</f>
        <v/>
      </c>
      <c r="C124" t="inlineStr">
        <is>
          <t>g</t>
        </is>
      </c>
    </row>
    <row r="125">
      <c r="A125" t="inlineStr">
        <is>
          <t>PUFA 18:2</t>
        </is>
      </c>
      <c r="B125">
        <f>Ingredientes!DZ9</f>
        <v/>
      </c>
      <c r="C125" t="inlineStr">
        <is>
          <t>g</t>
        </is>
      </c>
    </row>
    <row r="126">
      <c r="A126" t="inlineStr">
        <is>
          <t>PUFA 18:2 c</t>
        </is>
      </c>
      <c r="B126">
        <f>Ingredientes!EA9</f>
        <v/>
      </c>
      <c r="C126" t="inlineStr">
        <is>
          <t>g</t>
        </is>
      </c>
    </row>
    <row r="127">
      <c r="A127" t="inlineStr">
        <is>
          <t>PUFA 18:2 n-6 c,c</t>
        </is>
      </c>
      <c r="B127">
        <f>Ingredientes!EB9</f>
        <v/>
      </c>
      <c r="C127" t="inlineStr">
        <is>
          <t>g</t>
        </is>
      </c>
    </row>
    <row r="128">
      <c r="A128" t="inlineStr">
        <is>
          <t>PUFA 18:2 CLAs</t>
        </is>
      </c>
      <c r="B128">
        <f>Ingredientes!EC9</f>
        <v/>
      </c>
      <c r="C128" t="inlineStr">
        <is>
          <t>g</t>
        </is>
      </c>
    </row>
    <row r="129">
      <c r="A129" t="inlineStr">
        <is>
          <t>PUFA 18:3</t>
        </is>
      </c>
      <c r="B129">
        <f>Ingredientes!ED9</f>
        <v/>
      </c>
      <c r="C129" t="inlineStr">
        <is>
          <t>g</t>
        </is>
      </c>
    </row>
    <row r="130">
      <c r="A130" t="inlineStr">
        <is>
          <t>PUFA 18:3 c</t>
        </is>
      </c>
      <c r="B130">
        <f>Ingredientes!EE9</f>
        <v/>
      </c>
      <c r="C130" t="inlineStr">
        <is>
          <t>g</t>
        </is>
      </c>
    </row>
    <row r="131">
      <c r="A131" t="inlineStr">
        <is>
          <t>PUFA 18:3 n-3 c,c,c (ALA)</t>
        </is>
      </c>
      <c r="B131">
        <f>Ingredientes!EF9</f>
        <v/>
      </c>
      <c r="C131" t="inlineStr">
        <is>
          <t>g</t>
        </is>
      </c>
    </row>
    <row r="132">
      <c r="A132" t="inlineStr">
        <is>
          <t>PUFA 18:3 n-6 c,c,c</t>
        </is>
      </c>
      <c r="B132">
        <f>Ingredientes!EG9</f>
        <v/>
      </c>
      <c r="C132" t="inlineStr">
        <is>
          <t>g</t>
        </is>
      </c>
    </row>
    <row r="133">
      <c r="A133" t="inlineStr">
        <is>
          <t>PUFA 18:4</t>
        </is>
      </c>
      <c r="B133">
        <f>Ingredientes!EH9</f>
        <v/>
      </c>
      <c r="C133" t="inlineStr">
        <is>
          <t>g</t>
        </is>
      </c>
    </row>
    <row r="134">
      <c r="A134" t="inlineStr">
        <is>
          <t>PUFA 20:2 c</t>
        </is>
      </c>
      <c r="B134">
        <f>Ingredientes!EI9</f>
        <v/>
      </c>
      <c r="C134" t="inlineStr">
        <is>
          <t>g</t>
        </is>
      </c>
    </row>
    <row r="135">
      <c r="A135" t="inlineStr">
        <is>
          <t>PUFA 20:2 n-6 c,c</t>
        </is>
      </c>
      <c r="B135">
        <f>Ingredientes!EJ9</f>
        <v/>
      </c>
      <c r="C135" t="inlineStr">
        <is>
          <t>g</t>
        </is>
      </c>
    </row>
    <row r="136">
      <c r="A136" t="inlineStr">
        <is>
          <t>PUFA 20:3</t>
        </is>
      </c>
      <c r="B136">
        <f>Ingredientes!EK9</f>
        <v/>
      </c>
      <c r="C136" t="inlineStr">
        <is>
          <t>g</t>
        </is>
      </c>
    </row>
    <row r="137">
      <c r="A137" t="inlineStr">
        <is>
          <t>PUFA 20:3 c</t>
        </is>
      </c>
      <c r="B137">
        <f>Ingredientes!EL9</f>
        <v/>
      </c>
      <c r="C137" t="inlineStr">
        <is>
          <t>g</t>
        </is>
      </c>
    </row>
    <row r="138">
      <c r="A138" t="inlineStr">
        <is>
          <t>PUFA 20:3 n-3</t>
        </is>
      </c>
      <c r="B138">
        <f>Ingredientes!EM9</f>
        <v/>
      </c>
      <c r="C138" t="inlineStr">
        <is>
          <t>g</t>
        </is>
      </c>
    </row>
    <row r="139">
      <c r="A139" t="inlineStr">
        <is>
          <t>PUFA 20:3 n-6</t>
        </is>
      </c>
      <c r="B139">
        <f>Ingredientes!EN9</f>
        <v/>
      </c>
      <c r="C139" t="inlineStr">
        <is>
          <t>g</t>
        </is>
      </c>
    </row>
    <row r="140">
      <c r="A140" t="inlineStr">
        <is>
          <t>PUFA 20:3 n-9</t>
        </is>
      </c>
      <c r="B140">
        <f>Ingredientes!EO9</f>
        <v/>
      </c>
      <c r="C140" t="inlineStr">
        <is>
          <t>g</t>
        </is>
      </c>
    </row>
    <row r="141">
      <c r="A141" t="inlineStr">
        <is>
          <t>PUFA 20:4</t>
        </is>
      </c>
      <c r="B141">
        <f>Ingredientes!EP9</f>
        <v/>
      </c>
      <c r="C141" t="inlineStr">
        <is>
          <t>g</t>
        </is>
      </c>
    </row>
    <row r="142">
      <c r="A142" t="inlineStr">
        <is>
          <t>PUFA 20:4c</t>
        </is>
      </c>
      <c r="B142">
        <f>Ingredientes!EQ9</f>
        <v/>
      </c>
      <c r="C142" t="inlineStr">
        <is>
          <t>g</t>
        </is>
      </c>
    </row>
    <row r="143">
      <c r="A143" t="inlineStr">
        <is>
          <t>PUFA 20:5c</t>
        </is>
      </c>
      <c r="B143">
        <f>Ingredientes!ER9</f>
        <v/>
      </c>
      <c r="C143" t="inlineStr">
        <is>
          <t>g</t>
        </is>
      </c>
    </row>
    <row r="144">
      <c r="A144" t="inlineStr">
        <is>
          <t>PUFA 20:5 n-3 (EPA)</t>
        </is>
      </c>
      <c r="B144">
        <f>Ingredientes!ES9</f>
        <v/>
      </c>
      <c r="C144" t="inlineStr">
        <is>
          <t>g</t>
        </is>
      </c>
    </row>
    <row r="145">
      <c r="A145" t="inlineStr">
        <is>
          <t>PUFA 22:2</t>
        </is>
      </c>
      <c r="B145">
        <f>Ingredientes!ET9</f>
        <v/>
      </c>
      <c r="C145" t="inlineStr">
        <is>
          <t>g</t>
        </is>
      </c>
    </row>
    <row r="146">
      <c r="A146" t="inlineStr">
        <is>
          <t>PUFA 22:3</t>
        </is>
      </c>
      <c r="B146">
        <f>Ingredientes!EU9</f>
        <v/>
      </c>
      <c r="C146" t="inlineStr">
        <is>
          <t>g</t>
        </is>
      </c>
    </row>
    <row r="147">
      <c r="A147" t="inlineStr">
        <is>
          <t>PUFA 22:4</t>
        </is>
      </c>
      <c r="B147">
        <f>Ingredientes!EV9</f>
        <v/>
      </c>
      <c r="C147" t="inlineStr">
        <is>
          <t>g</t>
        </is>
      </c>
    </row>
    <row r="148">
      <c r="A148" t="inlineStr">
        <is>
          <t>PUFA 22:5 c</t>
        </is>
      </c>
      <c r="B148">
        <f>Ingredientes!EW9</f>
        <v/>
      </c>
      <c r="C148" t="inlineStr">
        <is>
          <t>g</t>
        </is>
      </c>
    </row>
    <row r="149">
      <c r="A149" t="inlineStr">
        <is>
          <t>PUFA 22:5 n-3 (DPA)</t>
        </is>
      </c>
      <c r="B149">
        <f>Ingredientes!EX9</f>
        <v/>
      </c>
      <c r="C149" t="inlineStr">
        <is>
          <t>g</t>
        </is>
      </c>
    </row>
    <row r="150">
      <c r="A150" t="inlineStr">
        <is>
          <t>PUFA 22:6 c</t>
        </is>
      </c>
      <c r="B150">
        <f>Ingredientes!EY9</f>
        <v/>
      </c>
      <c r="C150" t="inlineStr">
        <is>
          <t>g</t>
        </is>
      </c>
    </row>
    <row r="151">
      <c r="A151" t="inlineStr">
        <is>
          <t>PUFA 22:6 n-3 (DHA)</t>
        </is>
      </c>
      <c r="B151">
        <f>Ingredientes!EZ9</f>
        <v/>
      </c>
      <c r="C151" t="inlineStr">
        <is>
          <t>g</t>
        </is>
      </c>
    </row>
    <row r="152">
      <c r="A152" t="inlineStr">
        <is>
          <t>Fatty acids, total trans</t>
        </is>
      </c>
      <c r="B152">
        <f>Ingredientes!FA9</f>
        <v/>
      </c>
      <c r="C152" t="inlineStr">
        <is>
          <t>g</t>
        </is>
      </c>
    </row>
    <row r="153">
      <c r="A153" t="inlineStr">
        <is>
          <t>Fatty acids, total trans-monoenoic</t>
        </is>
      </c>
      <c r="B153">
        <f>Ingredientes!FB9</f>
        <v/>
      </c>
      <c r="C153" t="inlineStr">
        <is>
          <t>g</t>
        </is>
      </c>
    </row>
    <row r="154">
      <c r="A154" t="inlineStr">
        <is>
          <t>Fatty acids, total trans-dienoic</t>
        </is>
      </c>
      <c r="B154">
        <f>Ingredientes!FC9</f>
        <v/>
      </c>
      <c r="C154" t="inlineStr">
        <is>
          <t>g</t>
        </is>
      </c>
    </row>
    <row r="155">
      <c r="A155" t="inlineStr">
        <is>
          <t>Fatty acids, total trans-polyenoic</t>
        </is>
      </c>
      <c r="B155">
        <f>Ingredientes!FD9</f>
        <v/>
      </c>
      <c r="C155" t="inlineStr">
        <is>
          <t>g</t>
        </is>
      </c>
    </row>
    <row r="156">
      <c r="A156" t="inlineStr">
        <is>
          <t>TFA 14:1 t</t>
        </is>
      </c>
      <c r="B156">
        <f>Ingredientes!FE9</f>
        <v/>
      </c>
      <c r="C156" t="inlineStr">
        <is>
          <t>g</t>
        </is>
      </c>
    </row>
    <row r="157">
      <c r="A157" t="inlineStr">
        <is>
          <t>TFA 16:1 t</t>
        </is>
      </c>
      <c r="B157">
        <f>Ingredientes!FF9</f>
        <v/>
      </c>
      <c r="C157" t="inlineStr">
        <is>
          <t>g</t>
        </is>
      </c>
    </row>
    <row r="158">
      <c r="A158" t="inlineStr">
        <is>
          <t>TFA 18:1 t</t>
        </is>
      </c>
      <c r="B158">
        <f>Ingredientes!FG9</f>
        <v/>
      </c>
      <c r="C158" t="inlineStr">
        <is>
          <t>g</t>
        </is>
      </c>
    </row>
    <row r="159">
      <c r="A159" t="inlineStr">
        <is>
          <t>TFA 18:2 t,t</t>
        </is>
      </c>
      <c r="B159">
        <f>Ingredientes!FH9</f>
        <v/>
      </c>
      <c r="C159" t="inlineStr">
        <is>
          <t>g</t>
        </is>
      </c>
    </row>
    <row r="160">
      <c r="A160" t="inlineStr">
        <is>
          <t>TFA 18:2 t not further defined</t>
        </is>
      </c>
      <c r="B160">
        <f>Ingredientes!FI9</f>
        <v/>
      </c>
      <c r="C160" t="inlineStr">
        <is>
          <t>g</t>
        </is>
      </c>
    </row>
    <row r="161">
      <c r="A161" t="inlineStr">
        <is>
          <t>TFA 18:3 t</t>
        </is>
      </c>
      <c r="B161">
        <f>Ingredientes!FJ9</f>
        <v/>
      </c>
      <c r="C161" t="inlineStr">
        <is>
          <t>g</t>
        </is>
      </c>
    </row>
    <row r="162">
      <c r="A162" t="inlineStr">
        <is>
          <t>TFA 20:1 t</t>
        </is>
      </c>
      <c r="B162">
        <f>Ingredientes!FK9</f>
        <v/>
      </c>
      <c r="C162" t="inlineStr">
        <is>
          <t>g</t>
        </is>
      </c>
    </row>
    <row r="163">
      <c r="A163" t="inlineStr">
        <is>
          <t>TFA 22:1 t</t>
        </is>
      </c>
      <c r="B163">
        <f>Ingredientes!FL9</f>
        <v/>
      </c>
      <c r="C163" t="inlineStr">
        <is>
          <t>g</t>
        </is>
      </c>
    </row>
    <row r="164">
      <c r="A164" t="inlineStr">
        <is>
          <t>Cholesterol</t>
        </is>
      </c>
      <c r="B164">
        <f>Ingredientes!FM9</f>
        <v/>
      </c>
      <c r="C164" t="inlineStr">
        <is>
          <t>mg</t>
        </is>
      </c>
    </row>
    <row r="165">
      <c r="A165" t="inlineStr">
        <is>
          <t>Tryptophan</t>
        </is>
      </c>
      <c r="B165">
        <f>Ingredientes!FN9</f>
        <v/>
      </c>
      <c r="C165" t="inlineStr">
        <is>
          <t>g</t>
        </is>
      </c>
    </row>
    <row r="166">
      <c r="A166" t="inlineStr">
        <is>
          <t>Threonine</t>
        </is>
      </c>
      <c r="B166">
        <f>Ingredientes!FO9</f>
        <v/>
      </c>
      <c r="C166" t="inlineStr">
        <is>
          <t>g</t>
        </is>
      </c>
    </row>
    <row r="167">
      <c r="A167" t="inlineStr">
        <is>
          <t>Isoleucine</t>
        </is>
      </c>
      <c r="B167">
        <f>Ingredientes!FP9</f>
        <v/>
      </c>
      <c r="C167" t="inlineStr">
        <is>
          <t>g</t>
        </is>
      </c>
    </row>
    <row r="168">
      <c r="A168" t="inlineStr">
        <is>
          <t>Leucine</t>
        </is>
      </c>
      <c r="B168">
        <f>Ingredientes!FQ9</f>
        <v/>
      </c>
      <c r="C168" t="inlineStr">
        <is>
          <t>g</t>
        </is>
      </c>
    </row>
    <row r="169">
      <c r="A169" t="inlineStr">
        <is>
          <t>Lysine</t>
        </is>
      </c>
      <c r="B169">
        <f>Ingredientes!FR9</f>
        <v/>
      </c>
      <c r="C169" t="inlineStr">
        <is>
          <t>g</t>
        </is>
      </c>
    </row>
    <row r="170">
      <c r="A170" t="inlineStr">
        <is>
          <t>Methionine</t>
        </is>
      </c>
      <c r="B170">
        <f>Ingredientes!FS9</f>
        <v/>
      </c>
      <c r="C170" t="inlineStr">
        <is>
          <t>g</t>
        </is>
      </c>
    </row>
    <row r="171">
      <c r="A171" t="inlineStr">
        <is>
          <t>Phenylalanine</t>
        </is>
      </c>
      <c r="B171">
        <f>Ingredientes!FT9</f>
        <v/>
      </c>
      <c r="C171" t="inlineStr">
        <is>
          <t>g</t>
        </is>
      </c>
    </row>
    <row r="172">
      <c r="A172" t="inlineStr">
        <is>
          <t>Tyrosine</t>
        </is>
      </c>
      <c r="B172">
        <f>Ingredientes!FU9</f>
        <v/>
      </c>
      <c r="C172" t="inlineStr">
        <is>
          <t>g</t>
        </is>
      </c>
    </row>
    <row r="173">
      <c r="A173" t="inlineStr">
        <is>
          <t>Valine</t>
        </is>
      </c>
      <c r="B173">
        <f>Ingredientes!FV9</f>
        <v/>
      </c>
      <c r="C173" t="inlineStr">
        <is>
          <t>g</t>
        </is>
      </c>
    </row>
    <row r="174">
      <c r="A174" t="inlineStr">
        <is>
          <t>Arginine</t>
        </is>
      </c>
      <c r="B174">
        <f>Ingredientes!FW9</f>
        <v/>
      </c>
      <c r="C174" t="inlineStr">
        <is>
          <t>g</t>
        </is>
      </c>
    </row>
    <row r="175">
      <c r="A175" t="inlineStr">
        <is>
          <t>Histidine</t>
        </is>
      </c>
      <c r="B175">
        <f>Ingredientes!FX9</f>
        <v/>
      </c>
      <c r="C175" t="inlineStr">
        <is>
          <t>g</t>
        </is>
      </c>
    </row>
    <row r="176">
      <c r="A176" t="inlineStr">
        <is>
          <t>Alanine</t>
        </is>
      </c>
      <c r="B176">
        <f>Ingredientes!FY9</f>
        <v/>
      </c>
      <c r="C176" t="inlineStr">
        <is>
          <t>g</t>
        </is>
      </c>
    </row>
    <row r="177">
      <c r="A177" t="inlineStr">
        <is>
          <t>Aspartic acid</t>
        </is>
      </c>
      <c r="B177">
        <f>Ingredientes!FZ9</f>
        <v/>
      </c>
      <c r="C177" t="inlineStr">
        <is>
          <t>g</t>
        </is>
      </c>
    </row>
    <row r="178">
      <c r="A178" t="inlineStr">
        <is>
          <t>Glutamic acid</t>
        </is>
      </c>
      <c r="B178">
        <f>Ingredientes!GA9</f>
        <v/>
      </c>
      <c r="C178" t="inlineStr">
        <is>
          <t>g</t>
        </is>
      </c>
    </row>
    <row r="179">
      <c r="A179" t="inlineStr">
        <is>
          <t>Glycine</t>
        </is>
      </c>
      <c r="B179">
        <f>Ingredientes!GB9</f>
        <v/>
      </c>
      <c r="C179" t="inlineStr">
        <is>
          <t>g</t>
        </is>
      </c>
    </row>
    <row r="180">
      <c r="A180" t="inlineStr">
        <is>
          <t>Proline</t>
        </is>
      </c>
      <c r="B180">
        <f>Ingredientes!GC9</f>
        <v/>
      </c>
      <c r="C180" t="inlineStr">
        <is>
          <t>g</t>
        </is>
      </c>
    </row>
    <row r="181">
      <c r="A181" t="inlineStr">
        <is>
          <t>Serine</t>
        </is>
      </c>
      <c r="B181">
        <f>Ingredientes!GD9</f>
        <v/>
      </c>
      <c r="C181" t="inlineStr">
        <is>
          <t>g</t>
        </is>
      </c>
    </row>
    <row r="182">
      <c r="A182" t="inlineStr">
        <is>
          <t>Hydroxyproline</t>
        </is>
      </c>
      <c r="B182">
        <f>Ingredientes!GE9</f>
        <v/>
      </c>
      <c r="C182" t="inlineStr">
        <is>
          <t>g</t>
        </is>
      </c>
    </row>
    <row r="183">
      <c r="A183" t="inlineStr">
        <is>
          <t>Cysteine</t>
        </is>
      </c>
      <c r="B183">
        <f>Ingredientes!GF9</f>
        <v/>
      </c>
      <c r="C183" t="inlineStr">
        <is>
          <t>g</t>
        </is>
      </c>
    </row>
    <row r="184">
      <c r="A184" t="inlineStr">
        <is>
          <t>Phytosterols</t>
        </is>
      </c>
      <c r="B184">
        <f>Ingredientes!GG9</f>
        <v/>
      </c>
      <c r="C184" t="inlineStr">
        <is>
          <t>mg</t>
        </is>
      </c>
    </row>
    <row r="185">
      <c r="A185" t="inlineStr">
        <is>
          <t>Beta-sitosterol</t>
        </is>
      </c>
      <c r="B185">
        <f>Ingredientes!GH9</f>
        <v/>
      </c>
      <c r="C185" t="inlineStr">
        <is>
          <t>mg</t>
        </is>
      </c>
    </row>
    <row r="186">
      <c r="A186" t="inlineStr">
        <is>
          <t>Campesterol</t>
        </is>
      </c>
      <c r="B186">
        <f>Ingredientes!GI9</f>
        <v/>
      </c>
      <c r="C186" t="inlineStr">
        <is>
          <t>mg</t>
        </is>
      </c>
    </row>
    <row r="187">
      <c r="A187" t="inlineStr">
        <is>
          <t>Stigmasterol</t>
        </is>
      </c>
      <c r="B187">
        <f>Ingredientes!GJ9</f>
        <v/>
      </c>
      <c r="C187" t="inlineStr">
        <is>
          <t>mg</t>
        </is>
      </c>
    </row>
    <row r="188">
      <c r="A188" t="inlineStr">
        <is>
          <t>Citric acid</t>
        </is>
      </c>
      <c r="B188">
        <f>Ingredientes!GK9</f>
        <v/>
      </c>
      <c r="C188" t="inlineStr">
        <is>
          <t>mg</t>
        </is>
      </c>
    </row>
    <row r="189">
      <c r="A189" t="inlineStr">
        <is>
          <t>Malic acid</t>
        </is>
      </c>
      <c r="B189">
        <f>Ingredientes!GL9</f>
        <v/>
      </c>
      <c r="C189" t="inlineStr">
        <is>
          <t>mg</t>
        </is>
      </c>
    </row>
    <row r="190">
      <c r="A190" t="inlineStr">
        <is>
          <t>Oxalic acid</t>
        </is>
      </c>
      <c r="B190">
        <f>Ingredientes!GM9</f>
        <v/>
      </c>
      <c r="C190" t="inlineStr">
        <is>
          <t>mg</t>
        </is>
      </c>
    </row>
    <row r="191">
      <c r="A191" t="inlineStr">
        <is>
          <t>Quinic acid</t>
        </is>
      </c>
      <c r="B191">
        <f>Ingredientes!GN9</f>
        <v/>
      </c>
      <c r="C191" t="inlineStr">
        <is>
          <t>mg</t>
        </is>
      </c>
    </row>
    <row r="192">
      <c r="A192" t="inlineStr">
        <is>
          <t>Alcohol, ethyl</t>
        </is>
      </c>
      <c r="B192">
        <f>Ingredientes!GO9</f>
        <v/>
      </c>
      <c r="C19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2025-12-09T04:27:09Z</dcterms:created>
  <dcterms:modified xsi:type="dcterms:W3CDTF">2025-12-09T04:27:09Z</dcterms:modified>
</cp:coreProperties>
</file>