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0" documentId="11_A2616DEF22F41C3F37BDFEB4205BDA163643A331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V16" i="1" l="1"/>
  <c r="B173" i="2" s="1"/>
  <c r="AG16" i="1"/>
  <c r="B28" i="2" s="1"/>
  <c r="E16" i="1"/>
  <c r="F15" i="1"/>
  <c r="F14" i="1"/>
  <c r="F13" i="1"/>
  <c r="F12" i="1"/>
  <c r="F11" i="1"/>
  <c r="F10" i="1"/>
  <c r="F9" i="1"/>
  <c r="F8" i="1"/>
  <c r="F7" i="1"/>
  <c r="GN16" i="1" s="1"/>
  <c r="B191" i="2" s="1"/>
  <c r="F6" i="1"/>
  <c r="F5" i="1"/>
  <c r="F4" i="1"/>
  <c r="F3" i="1"/>
  <c r="GR16" i="1" s="1"/>
  <c r="B195" i="2" s="1"/>
  <c r="BE16" i="1" l="1"/>
  <c r="B52" i="2" s="1"/>
  <c r="DM16" i="1"/>
  <c r="B112" i="2" s="1"/>
  <c r="GG16" i="1"/>
  <c r="B184" i="2" s="1"/>
  <c r="I16" i="1"/>
  <c r="B4" i="2" s="1"/>
  <c r="CD16" i="1"/>
  <c r="B77" i="2" s="1"/>
  <c r="J16" i="1"/>
  <c r="B5" i="2" s="1"/>
  <c r="BR16" i="1"/>
  <c r="B65" i="2" s="1"/>
  <c r="EL16" i="1"/>
  <c r="B137" i="2" s="1"/>
  <c r="EM16" i="1"/>
  <c r="B138" i="2" s="1"/>
  <c r="BT16" i="1"/>
  <c r="B67" i="2" s="1"/>
  <c r="EB16" i="1"/>
  <c r="B127" i="2" s="1"/>
  <c r="GV16" i="1"/>
  <c r="B199" i="2" s="1"/>
  <c r="AS16" i="1"/>
  <c r="B40" i="2" s="1"/>
  <c r="CO16" i="1"/>
  <c r="B88" i="2" s="1"/>
  <c r="EK16" i="1"/>
  <c r="B136" i="2" s="1"/>
  <c r="FU16" i="1"/>
  <c r="B172" i="2" s="1"/>
  <c r="GT16" i="1"/>
  <c r="B197" i="2" s="1"/>
  <c r="K16" i="1"/>
  <c r="B6" i="2" s="1"/>
  <c r="BS16" i="1"/>
  <c r="B66" i="2" s="1"/>
  <c r="DC16" i="1"/>
  <c r="B102" i="2" s="1"/>
  <c r="DO16" i="1"/>
  <c r="B114" i="2" s="1"/>
  <c r="EA16" i="1"/>
  <c r="B126" i="2" s="1"/>
  <c r="EY16" i="1"/>
  <c r="B150" i="2" s="1"/>
  <c r="FW16" i="1"/>
  <c r="B174" i="2" s="1"/>
  <c r="GU16" i="1"/>
  <c r="B198" i="2" s="1"/>
  <c r="L16" i="1"/>
  <c r="B7" i="2" s="1"/>
  <c r="AV16" i="1"/>
  <c r="B43" i="2" s="1"/>
  <c r="BH16" i="1"/>
  <c r="B55" i="2" s="1"/>
  <c r="DD16" i="1"/>
  <c r="B103" i="2" s="1"/>
  <c r="DP16" i="1"/>
  <c r="B115" i="2" s="1"/>
  <c r="FL16" i="1"/>
  <c r="B163" i="2" s="1"/>
  <c r="FX16" i="1"/>
  <c r="B175" i="2" s="1"/>
  <c r="GJ16" i="1"/>
  <c r="B187" i="2" s="1"/>
  <c r="M16" i="1"/>
  <c r="B8" i="2" s="1"/>
  <c r="Y16" i="1"/>
  <c r="B20" i="2" s="1"/>
  <c r="AK16" i="1"/>
  <c r="B32" i="2" s="1"/>
  <c r="AW16" i="1"/>
  <c r="B44" i="2" s="1"/>
  <c r="BI16" i="1"/>
  <c r="B56" i="2" s="1"/>
  <c r="BU16" i="1"/>
  <c r="B68" i="2" s="1"/>
  <c r="CG16" i="1"/>
  <c r="B80" i="2" s="1"/>
  <c r="CS16" i="1"/>
  <c r="B92" i="2" s="1"/>
  <c r="DE16" i="1"/>
  <c r="B104" i="2" s="1"/>
  <c r="DQ16" i="1"/>
  <c r="B116" i="2" s="1"/>
  <c r="EC16" i="1"/>
  <c r="B128" i="2" s="1"/>
  <c r="EO16" i="1"/>
  <c r="B140" i="2" s="1"/>
  <c r="FA16" i="1"/>
  <c r="B152" i="2" s="1"/>
  <c r="FM16" i="1"/>
  <c r="B164" i="2" s="1"/>
  <c r="FY16" i="1"/>
  <c r="B176" i="2" s="1"/>
  <c r="GK16" i="1"/>
  <c r="B188" i="2" s="1"/>
  <c r="GW16" i="1"/>
  <c r="B200" i="2" s="1"/>
  <c r="BQ16" i="1"/>
  <c r="B64" i="2" s="1"/>
  <c r="DY16" i="1"/>
  <c r="B124" i="2" s="1"/>
  <c r="FI16" i="1"/>
  <c r="B160" i="2" s="1"/>
  <c r="AT16" i="1"/>
  <c r="B41" i="2" s="1"/>
  <c r="DN16" i="1"/>
  <c r="B113" i="2" s="1"/>
  <c r="GH16" i="1"/>
  <c r="B185" i="2" s="1"/>
  <c r="CQ16" i="1"/>
  <c r="B90" i="2" s="1"/>
  <c r="GI16" i="1"/>
  <c r="B186" i="2" s="1"/>
  <c r="AJ16" i="1"/>
  <c r="B31" i="2" s="1"/>
  <c r="CR16" i="1"/>
  <c r="B91" i="2" s="1"/>
  <c r="EZ16" i="1"/>
  <c r="B151" i="2" s="1"/>
  <c r="N16" i="1"/>
  <c r="B9" i="2" s="1"/>
  <c r="Z16" i="1"/>
  <c r="B21" i="2" s="1"/>
  <c r="AL16" i="1"/>
  <c r="B33" i="2" s="1"/>
  <c r="AX16" i="1"/>
  <c r="B45" i="2" s="1"/>
  <c r="BJ16" i="1"/>
  <c r="B57" i="2" s="1"/>
  <c r="BV16" i="1"/>
  <c r="B69" i="2" s="1"/>
  <c r="CH16" i="1"/>
  <c r="B81" i="2" s="1"/>
  <c r="CT16" i="1"/>
  <c r="B93" i="2" s="1"/>
  <c r="DF16" i="1"/>
  <c r="B105" i="2" s="1"/>
  <c r="DR16" i="1"/>
  <c r="B117" i="2" s="1"/>
  <c r="ED16" i="1"/>
  <c r="B129" i="2" s="1"/>
  <c r="EP16" i="1"/>
  <c r="B141" i="2" s="1"/>
  <c r="FB16" i="1"/>
  <c r="B153" i="2" s="1"/>
  <c r="FN16" i="1"/>
  <c r="B165" i="2" s="1"/>
  <c r="FZ16" i="1"/>
  <c r="B177" i="2" s="1"/>
  <c r="GL16" i="1"/>
  <c r="B189" i="2" s="1"/>
  <c r="DA16" i="1"/>
  <c r="B100" i="2" s="1"/>
  <c r="V16" i="1"/>
  <c r="B17" i="2" s="1"/>
  <c r="CP16" i="1"/>
  <c r="B89" i="2" s="1"/>
  <c r="EX16" i="1"/>
  <c r="B149" i="2" s="1"/>
  <c r="W16" i="1"/>
  <c r="B18" i="2" s="1"/>
  <c r="FK16" i="1"/>
  <c r="B162" i="2" s="1"/>
  <c r="X16" i="1"/>
  <c r="B19" i="2" s="1"/>
  <c r="CF16" i="1"/>
  <c r="B79" i="2" s="1"/>
  <c r="EN16" i="1"/>
  <c r="B139" i="2" s="1"/>
  <c r="O16" i="1"/>
  <c r="B10" i="2" s="1"/>
  <c r="AA16" i="1"/>
  <c r="B22" i="2" s="1"/>
  <c r="AM16" i="1"/>
  <c r="B34" i="2" s="1"/>
  <c r="AY16" i="1"/>
  <c r="B46" i="2" s="1"/>
  <c r="BK16" i="1"/>
  <c r="B58" i="2" s="1"/>
  <c r="BW16" i="1"/>
  <c r="B70" i="2" s="1"/>
  <c r="CI16" i="1"/>
  <c r="B82" i="2" s="1"/>
  <c r="CU16" i="1"/>
  <c r="B94" i="2" s="1"/>
  <c r="DG16" i="1"/>
  <c r="B106" i="2" s="1"/>
  <c r="DS16" i="1"/>
  <c r="B118" i="2" s="1"/>
  <c r="EE16" i="1"/>
  <c r="B130" i="2" s="1"/>
  <c r="EQ16" i="1"/>
  <c r="B142" i="2" s="1"/>
  <c r="FC16" i="1"/>
  <c r="B154" i="2" s="1"/>
  <c r="FO16" i="1"/>
  <c r="B166" i="2" s="1"/>
  <c r="GA16" i="1"/>
  <c r="B178" i="2" s="1"/>
  <c r="GM16" i="1"/>
  <c r="B190" i="2" s="1"/>
  <c r="CE16" i="1"/>
  <c r="B78" i="2" s="1"/>
  <c r="P16" i="1"/>
  <c r="B11" i="2" s="1"/>
  <c r="CJ16" i="1"/>
  <c r="B83" i="2" s="1"/>
  <c r="EF16" i="1"/>
  <c r="B131" i="2" s="1"/>
  <c r="FP16" i="1"/>
  <c r="B167" i="2" s="1"/>
  <c r="Q16" i="1"/>
  <c r="B12" i="2" s="1"/>
  <c r="AC16" i="1"/>
  <c r="B24" i="2" s="1"/>
  <c r="AO16" i="1"/>
  <c r="B36" i="2" s="1"/>
  <c r="BA16" i="1"/>
  <c r="B48" i="2" s="1"/>
  <c r="BM16" i="1"/>
  <c r="B60" i="2" s="1"/>
  <c r="BY16" i="1"/>
  <c r="B72" i="2" s="1"/>
  <c r="CK16" i="1"/>
  <c r="B84" i="2" s="1"/>
  <c r="CW16" i="1"/>
  <c r="B96" i="2" s="1"/>
  <c r="DI16" i="1"/>
  <c r="B108" i="2" s="1"/>
  <c r="DU16" i="1"/>
  <c r="B120" i="2" s="1"/>
  <c r="EG16" i="1"/>
  <c r="B132" i="2" s="1"/>
  <c r="ES16" i="1"/>
  <c r="B144" i="2" s="1"/>
  <c r="FE16" i="1"/>
  <c r="B156" i="2" s="1"/>
  <c r="FQ16" i="1"/>
  <c r="B168" i="2" s="1"/>
  <c r="GC16" i="1"/>
  <c r="B180" i="2" s="1"/>
  <c r="GO16" i="1"/>
  <c r="B192" i="2" s="1"/>
  <c r="CC16" i="1"/>
  <c r="B76" i="2" s="1"/>
  <c r="GS16" i="1"/>
  <c r="B196" i="2" s="1"/>
  <c r="AU16" i="1"/>
  <c r="B42" i="2" s="1"/>
  <c r="AB16" i="1"/>
  <c r="B23" i="2" s="1"/>
  <c r="BL16" i="1"/>
  <c r="B59" i="2" s="1"/>
  <c r="DT16" i="1"/>
  <c r="B119" i="2" s="1"/>
  <c r="GB16" i="1"/>
  <c r="B179" i="2" s="1"/>
  <c r="R16" i="1"/>
  <c r="B13" i="2" s="1"/>
  <c r="AD16" i="1"/>
  <c r="B25" i="2" s="1"/>
  <c r="AP16" i="1"/>
  <c r="B37" i="2" s="1"/>
  <c r="BB16" i="1"/>
  <c r="B49" i="2" s="1"/>
  <c r="BN16" i="1"/>
  <c r="B61" i="2" s="1"/>
  <c r="BZ16" i="1"/>
  <c r="B73" i="2" s="1"/>
  <c r="CL16" i="1"/>
  <c r="B85" i="2" s="1"/>
  <c r="CX16" i="1"/>
  <c r="B97" i="2" s="1"/>
  <c r="DJ16" i="1"/>
  <c r="B109" i="2" s="1"/>
  <c r="DV16" i="1"/>
  <c r="B121" i="2" s="1"/>
  <c r="EH16" i="1"/>
  <c r="B133" i="2" s="1"/>
  <c r="ET16" i="1"/>
  <c r="B145" i="2" s="1"/>
  <c r="FF16" i="1"/>
  <c r="B157" i="2" s="1"/>
  <c r="FR16" i="1"/>
  <c r="B169" i="2" s="1"/>
  <c r="GD16" i="1"/>
  <c r="B181" i="2" s="1"/>
  <c r="GP16" i="1"/>
  <c r="B193" i="2" s="1"/>
  <c r="BF16" i="1"/>
  <c r="B53" i="2" s="1"/>
  <c r="BG16" i="1"/>
  <c r="B54" i="2" s="1"/>
  <c r="AN16" i="1"/>
  <c r="B35" i="2" s="1"/>
  <c r="BX16" i="1"/>
  <c r="B71" i="2" s="1"/>
  <c r="DH16" i="1"/>
  <c r="B107" i="2" s="1"/>
  <c r="FD16" i="1"/>
  <c r="B155" i="2" s="1"/>
  <c r="G16" i="1"/>
  <c r="B2" i="2" s="1"/>
  <c r="S16" i="1"/>
  <c r="B14" i="2" s="1"/>
  <c r="AE16" i="1"/>
  <c r="B26" i="2" s="1"/>
  <c r="AQ16" i="1"/>
  <c r="B38" i="2" s="1"/>
  <c r="BC16" i="1"/>
  <c r="B50" i="2" s="1"/>
  <c r="BO16" i="1"/>
  <c r="B62" i="2" s="1"/>
  <c r="CA16" i="1"/>
  <c r="B74" i="2" s="1"/>
  <c r="CM16" i="1"/>
  <c r="B86" i="2" s="1"/>
  <c r="CY16" i="1"/>
  <c r="B98" i="2" s="1"/>
  <c r="DK16" i="1"/>
  <c r="B110" i="2" s="1"/>
  <c r="DW16" i="1"/>
  <c r="B122" i="2" s="1"/>
  <c r="EI16" i="1"/>
  <c r="B134" i="2" s="1"/>
  <c r="EU16" i="1"/>
  <c r="B146" i="2" s="1"/>
  <c r="FG16" i="1"/>
  <c r="B158" i="2" s="1"/>
  <c r="FS16" i="1"/>
  <c r="B170" i="2" s="1"/>
  <c r="GE16" i="1"/>
  <c r="B182" i="2" s="1"/>
  <c r="GQ16" i="1"/>
  <c r="B194" i="2" s="1"/>
  <c r="U16" i="1"/>
  <c r="B16" i="2" s="1"/>
  <c r="EW16" i="1"/>
  <c r="B148" i="2" s="1"/>
  <c r="AH16" i="1"/>
  <c r="B29" i="2" s="1"/>
  <c r="DB16" i="1"/>
  <c r="B101" i="2" s="1"/>
  <c r="DZ16" i="1"/>
  <c r="B125" i="2" s="1"/>
  <c r="FJ16" i="1"/>
  <c r="B161" i="2" s="1"/>
  <c r="AI16" i="1"/>
  <c r="B30" i="2" s="1"/>
  <c r="AZ16" i="1"/>
  <c r="B47" i="2" s="1"/>
  <c r="CV16" i="1"/>
  <c r="B95" i="2" s="1"/>
  <c r="ER16" i="1"/>
  <c r="B143" i="2" s="1"/>
  <c r="H16" i="1"/>
  <c r="B3" i="2" s="1"/>
  <c r="T16" i="1"/>
  <c r="B15" i="2" s="1"/>
  <c r="AF16" i="1"/>
  <c r="B27" i="2" s="1"/>
  <c r="AR16" i="1"/>
  <c r="B39" i="2" s="1"/>
  <c r="BD16" i="1"/>
  <c r="B51" i="2" s="1"/>
  <c r="BP16" i="1"/>
  <c r="B63" i="2" s="1"/>
  <c r="CB16" i="1"/>
  <c r="B75" i="2" s="1"/>
  <c r="CN16" i="1"/>
  <c r="B87" i="2" s="1"/>
  <c r="CZ16" i="1"/>
  <c r="B99" i="2" s="1"/>
  <c r="DL16" i="1"/>
  <c r="B111" i="2" s="1"/>
  <c r="DX16" i="1"/>
  <c r="B123" i="2" s="1"/>
  <c r="EJ16" i="1"/>
  <c r="B135" i="2" s="1"/>
  <c r="EV16" i="1"/>
  <c r="B147" i="2" s="1"/>
  <c r="FH16" i="1"/>
  <c r="B159" i="2" s="1"/>
  <c r="FT16" i="1"/>
  <c r="B171" i="2" s="1"/>
  <c r="GF16" i="1"/>
  <c r="B183" i="2" s="1"/>
</calcChain>
</file>

<file path=xl/sharedStrings.xml><?xml version="1.0" encoding="utf-8"?>
<sst xmlns="http://schemas.openxmlformats.org/spreadsheetml/2006/main" count="648" uniqueCount="440">
  <si>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</si>
  <si>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</si>
  <si>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</si>
  <si>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</si>
  <si>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</si>
  <si>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</si>
  <si>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</si>
  <si>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Vitamin A</t>
  </si>
  <si>
    <t>Isoflavones</t>
  </si>
  <si>
    <t>Oligosaccharides</t>
  </si>
  <si>
    <t>Organic acids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</si>
  <si>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</si>
  <si>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</si>
  <si>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</si>
  <si>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</si>
  <si>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</si>
  <si>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</si>
  <si>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</si>
  <si>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(Atwater General Factors) (kcal)</t>
  </si>
  <si>
    <t>Energy (Atwater Specific Factors) (kcal)</t>
  </si>
  <si>
    <t>Energy (kcal)</t>
  </si>
  <si>
    <t>Energy (kJ)</t>
  </si>
  <si>
    <t>Nitrogen (g)</t>
  </si>
  <si>
    <t>Protein (g)</t>
  </si>
  <si>
    <t>Total fat (NLEA) (g)</t>
  </si>
  <si>
    <t>Total lipid (fat) (g)</t>
  </si>
  <si>
    <t>Ash (g)</t>
  </si>
  <si>
    <t>Carbohydrate, by difference (g)</t>
  </si>
  <si>
    <t>Fiber, total dietary (g)</t>
  </si>
  <si>
    <t>Sugars, Total (g)</t>
  </si>
  <si>
    <t>Sucrose (g)</t>
  </si>
  <si>
    <t>Glucose (g)</t>
  </si>
  <si>
    <t>Fructose (g)</t>
  </si>
  <si>
    <t>Lactose (g)</t>
  </si>
  <si>
    <t>Maltose (g)</t>
  </si>
  <si>
    <t>Galactose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</si>
  <si>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</si>
  <si>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</si>
  <si>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</si>
  <si>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</si>
  <si>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</si>
  <si>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</si>
  <si>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</si>
  <si>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</si>
  <si>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</si>
  <si>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</si>
  <si>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</si>
  <si>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Molybdenum, Mo (µg)</t>
  </si>
  <si>
    <t>Vitamin C, total ascorbic acid (mg)</t>
  </si>
  <si>
    <t>Thiamin (mg)</t>
  </si>
  <si>
    <t>Riboflavin (mg)</t>
  </si>
  <si>
    <t>Niacin (mg)</t>
  </si>
  <si>
    <t>Pantothenic acid (mg)</t>
  </si>
  <si>
    <t>Vitamin B-6 (mg)</t>
  </si>
  <si>
    <t>Biotin (µg)</t>
  </si>
  <si>
    <t>Folate, total (µg)</t>
  </si>
  <si>
    <t>Folic acid (µg)</t>
  </si>
  <si>
    <t>Folate, food (µg)</t>
  </si>
  <si>
    <t>Folate, DFE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</si>
  <si>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</si>
  <si>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</si>
  <si>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</si>
  <si>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</si>
  <si>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</si>
  <si>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</si>
  <si>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</si>
  <si>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</si>
  <si>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B-12, added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</si>
  <si>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</si>
  <si>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</si>
  <si>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</si>
  <si>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</si>
  <si>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</si>
  <si>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</si>
  <si>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Carotene, gamma (µg)</t>
  </si>
  <si>
    <t>Cryptoxanthin, beta (µg)</t>
  </si>
  <si>
    <t>Cryptoxanthin, alpha (µg)</t>
  </si>
  <si>
    <t>Vitamin A, IU (iu)</t>
  </si>
  <si>
    <t>Lycopene (µg)</t>
  </si>
  <si>
    <t>cis-Lycopene (µg)</t>
  </si>
  <si>
    <t>trans-Lycopene (µg)</t>
  </si>
  <si>
    <t>Lutein + zeaxanthin (µg)</t>
  </si>
  <si>
    <t>cis-Lutein/Zeaxanthin (µg)</t>
  </si>
  <si>
    <t>Lutein (µg)</t>
  </si>
  <si>
    <t>Zeaxanthin (µg)</t>
  </si>
  <si>
    <t>Vitamin E (alpha-tocopherol) (mg)</t>
  </si>
  <si>
    <t>Vitamin E, added (mg)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</si>
  <si>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</si>
  <si>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</si>
  <si>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</si>
  <si>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</si>
  <si>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</si>
  <si>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</si>
  <si>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</si>
  <si>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D (D2 + D3), International Units (iu)</t>
  </si>
  <si>
    <t>Vitamin D (D2 + D3) (µg)</t>
  </si>
  <si>
    <t>Vitamin D3 (cholecalciferol) (µg)</t>
  </si>
  <si>
    <t>25-hydroxycholecalciferol (µg)</t>
  </si>
  <si>
    <t>Vitamin K (phylloquinone) (µg)</t>
  </si>
  <si>
    <t>Vitamin K (Dihydrophylloquinone) (µg)</t>
  </si>
  <si>
    <t>Vitamin K (Menaquinone-4) (µg)</t>
  </si>
  <si>
    <t>Fatty acids, total saturated (g)</t>
  </si>
  <si>
    <t>SFA 4:0 (g)</t>
  </si>
  <si>
    <t>SFA 5:0 (g)</t>
  </si>
  <si>
    <t>SFA 6:0 (g)</t>
  </si>
  <si>
    <t>SFA 7:0 (g)</t>
  </si>
  <si>
    <t>SFA 8:0 (g)</t>
  </si>
  <si>
    <t>SFA 9:0 (g)</t>
  </si>
  <si>
    <t>SFA 10:0 (g)</t>
  </si>
  <si>
    <t>SFA 11:0 (g)</t>
  </si>
  <si>
    <t>SFA 12:0 (g)</t>
  </si>
  <si>
    <t>SFA 13:0 (g)</t>
  </si>
  <si>
    <t>SFA 14:0 (g)</t>
  </si>
  <si>
    <t>SFA 15:0 (g)</t>
  </si>
  <si>
    <t>SFA 16:0 (g)</t>
  </si>
  <si>
    <t>SFA 17:0 (g)</t>
  </si>
  <si>
    <t>SFA 18:0 (g)</t>
  </si>
  <si>
    <t>SFA 20:0 (g)</t>
  </si>
  <si>
    <t>SFA 21:0 (g)</t>
  </si>
  <si>
    <t>SFA 22:0 (g)</t>
  </si>
  <si>
    <t>SFA 23:0 (g)</t>
  </si>
  <si>
    <t>SFA 24:0 (g)</t>
  </si>
  <si>
    <t>Fatty acids, total monounsaturated (g)</t>
  </si>
  <si>
    <t>MUFA 12:1 (g)</t>
  </si>
  <si>
    <t>MUFA 14:1 (g)</t>
  </si>
  <si>
    <t>MUFA 14:1 c (g)</t>
  </si>
  <si>
    <t>MUFA 15:1 (g)</t>
  </si>
  <si>
    <t>MUFA 16:1 (g)</t>
  </si>
  <si>
    <t>MUFA 16:1 c (g)</t>
  </si>
  <si>
    <t>MUFA 17:1 (g)</t>
  </si>
  <si>
    <t>MUFA 17:1 c (g)</t>
  </si>
  <si>
    <t>MUFA 18:1 (g)</t>
  </si>
  <si>
    <t>MUFA 18:1 c (g)</t>
  </si>
  <si>
    <t>MUFA 20:1 (g)</t>
  </si>
  <si>
    <t>MUFA 20:1 c (g)</t>
  </si>
  <si>
    <t>MUFA 22:1 (g)</t>
  </si>
  <si>
    <t>MUFA 22:1 c (g)</t>
  </si>
  <si>
    <t>MUFA 22:1 n-9 (g)</t>
  </si>
  <si>
    <t>MUFA 22:1 n-11 (g)</t>
  </si>
  <si>
    <t>MUFA 24:1 c (g)</t>
  </si>
  <si>
    <t>Fatty acids, total polyunsaturated (g)</t>
  </si>
  <si>
    <t>PUFA 18:2 (g)</t>
  </si>
  <si>
    <t>PUFA 18:2 c (g)</t>
  </si>
  <si>
    <t>PUFA 18:2 n-6 c,c (g)</t>
  </si>
  <si>
    <t>PUFA 18:2 CLAs (g)</t>
  </si>
  <si>
    <t>PUFA 18:3 (g)</t>
  </si>
  <si>
    <t>PUFA 18:3 c (g)</t>
  </si>
  <si>
    <t>PUFA 18:3 n-3 c,c,c (ALA) (g)</t>
  </si>
  <si>
    <t>PUFA 18:3 n-6 c,c,c (g)</t>
  </si>
  <si>
    <t>PUFA 18:4 (g)</t>
  </si>
  <si>
    <t>PUFA 20:2 c (g)</t>
  </si>
  <si>
    <t>PUFA 20:2 n-6 c,c (g)</t>
  </si>
  <si>
    <t>PUFA 20:3 c (g)</t>
  </si>
  <si>
    <t>PUFA 20:3 n-3 (g)</t>
  </si>
  <si>
    <t>PUFA 20:3 n-6 (g)</t>
  </si>
  <si>
    <t>PUFA 20:3 n-9 (g)</t>
  </si>
  <si>
    <t>PUFA 22:3 (g)</t>
  </si>
  <si>
    <t>PUFA 20:4 (g)</t>
  </si>
  <si>
    <t>PUFA 20:4c (g)</t>
  </si>
  <si>
    <t>PUFA 20:5c (g)</t>
  </si>
  <si>
    <t>PUFA 20:5 n-3 (EPA) (g)</t>
  </si>
  <si>
    <t>PUFA 22:2 (g)</t>
  </si>
  <si>
    <t>PUFA 22:5 c (g)</t>
  </si>
  <si>
    <t>PUFA 22:4 (g)</t>
  </si>
  <si>
    <t>PUFA 22:5 n-3 (DPA) (g)</t>
  </si>
  <si>
    <t>PUFA 22:6 c (g)</t>
  </si>
  <si>
    <t>PUFA 22:6 n-3 (DHA) (g)</t>
  </si>
  <si>
    <t>Fatty acids, total trans (g)</t>
  </si>
  <si>
    <t>Fatty acids, total trans-monoenoic (g)</t>
  </si>
  <si>
    <t>TFA 14:1 t (g)</t>
  </si>
  <si>
    <t>TFA 16:1 t (g)</t>
  </si>
  <si>
    <t>TFA 18:1 t (g)</t>
  </si>
  <si>
    <t>TFA 20:1 t (g)</t>
  </si>
  <si>
    <t>TFA 22:1 t (g)</t>
  </si>
  <si>
    <t>Fatty acids, total trans-dienoic (g)</t>
  </si>
  <si>
    <t>TFA 18:2 t not further defined (g)</t>
  </si>
  <si>
    <t>TFA 18:2 t (g)</t>
  </si>
  <si>
    <t>Fatty acids, total trans-polyenoic (g)</t>
  </si>
  <si>
    <t>TFA 18:3 t (g)</t>
  </si>
  <si>
    <t>Cholesterol (mg)</t>
  </si>
  <si>
    <t>Tryptophan (g)</t>
  </si>
  <si>
    <t>Threonine (g)</t>
  </si>
  <si>
    <t>Isoleucine (g)</t>
  </si>
  <si>
    <t>Leucine (g)</t>
  </si>
  <si>
    <t>Lysine (g)</t>
  </si>
  <si>
    <t>Methionine (g)</t>
  </si>
  <si>
    <t>Cystine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</si>
  <si>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</si>
  <si>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</si>
  <si>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</si>
  <si>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</si>
  <si>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</si>
  <si>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</si>
  <si>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</si>
  <si>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</si>
  <si>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</si>
  <si>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</si>
  <si>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</si>
  <si>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</si>
  <si>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</si>
  <si>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</si>
  <si>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</si>
  <si>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</si>
  <si>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Vitamin D2 (ergocalciferol) (µg)</t>
  </si>
  <si>
    <t>Daidzein (mg)</t>
  </si>
  <si>
    <t>Genistein (mg)</t>
  </si>
  <si>
    <t>Daidzin (mg)</t>
  </si>
  <si>
    <t>Genistin (mg)</t>
  </si>
  <si>
    <t>Glycitin (mg)</t>
  </si>
  <si>
    <t>Raffinose (g)</t>
  </si>
  <si>
    <t>Stachyose (g)</t>
  </si>
  <si>
    <t>Verbascose (g)</t>
  </si>
  <si>
    <t>Citric acid (mg)</t>
  </si>
  <si>
    <t>Malic acid (mg)</t>
  </si>
  <si>
    <t>Oxalic acid (mg)</t>
  </si>
  <si>
    <t>Quinic acid (mg)</t>
  </si>
  <si>
    <t>Cheese, ricotta, whole milk</t>
  </si>
  <si>
    <t>Foundation</t>
  </si>
  <si>
    <t>Milk, lowfat, fluid, 1% milkfat, with added vitamin A and vitamin D</t>
  </si>
  <si>
    <t>Milk, nonfat, fluid, with added vitamin A and vitamin D (fat free or skim)</t>
  </si>
  <si>
    <t>Milk, reduced fat, fluid, 2% milkfat, with added vitamin A and vitamin D</t>
  </si>
  <si>
    <t>Milk, whole, 3.25% milkfat, with added vitamin D</t>
  </si>
  <si>
    <t>Oat milk, unsweetened, plain, refrigerated</t>
  </si>
  <si>
    <t>Soy milk, sweetened, plain, refrigerated</t>
  </si>
  <si>
    <t>Soy milk, unsweetened, plain, shelf stable</t>
  </si>
  <si>
    <t>Yogurt, Greek, plain, whole milk</t>
  </si>
  <si>
    <t>Yogurt, plain, whole milk</t>
  </si>
  <si>
    <t>Babyfood, cereal, barley, prepared with whole milk</t>
  </si>
  <si>
    <t>SR Legacy</t>
  </si>
  <si>
    <t>Babyfood, cereal, high protein, prepared with whole milk</t>
  </si>
  <si>
    <t>Orange juice, no pulp, not fortified, from concentrate, refrigerated</t>
  </si>
  <si>
    <t>Total</t>
  </si>
  <si>
    <t>Formulado</t>
  </si>
  <si>
    <t>100%</t>
  </si>
  <si>
    <t>Nutriente</t>
  </si>
  <si>
    <t>Unidad</t>
  </si>
  <si>
    <t>Water</t>
  </si>
  <si>
    <t>g</t>
  </si>
  <si>
    <t>Energy (Atwater General Factors)</t>
  </si>
  <si>
    <t>kcal</t>
  </si>
  <si>
    <t>Energy (Atwater Specific Factors)</t>
  </si>
  <si>
    <t>Energy</t>
  </si>
  <si>
    <t>kJ</t>
  </si>
  <si>
    <t>Nitrogen</t>
  </si>
  <si>
    <t>Protein</t>
  </si>
  <si>
    <t>Total fat (NLEA)</t>
  </si>
  <si>
    <t>Total lipid (fat)</t>
  </si>
  <si>
    <t>Ash</t>
  </si>
  <si>
    <t>Carbohydrate, by difference</t>
  </si>
  <si>
    <t>Fiber, total dietary</t>
  </si>
  <si>
    <t>Sugars, Total</t>
  </si>
  <si>
    <t>Sucrose</t>
  </si>
  <si>
    <t>Glucose</t>
  </si>
  <si>
    <t>Fructose</t>
  </si>
  <si>
    <t>Lactose</t>
  </si>
  <si>
    <t>Maltose</t>
  </si>
  <si>
    <t>Galactose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</si>
  <si>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</si>
  <si>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</si>
  <si>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</si>
  <si>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</si>
  <si>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</si>
  <si>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</si>
  <si>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</si>
  <si>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</si>
  <si>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</si>
  <si>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</si>
  <si>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</si>
  <si>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</si>
  <si>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</si>
  <si>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Molybdenum, Mo</t>
  </si>
  <si>
    <t>Vitamin C, total ascorbic acid</t>
  </si>
  <si>
    <t>Thiamin</t>
  </si>
  <si>
    <t>Riboflavin</t>
  </si>
  <si>
    <t>Niacin</t>
  </si>
  <si>
    <t>Pantothenic acid</t>
  </si>
  <si>
    <t>Vitamin B-6</t>
  </si>
  <si>
    <t>Biotin</t>
  </si>
  <si>
    <t>Folate, total</t>
  </si>
  <si>
    <t>Folic acid</t>
  </si>
  <si>
    <t>Folate, food</t>
  </si>
  <si>
    <t>Folate, DFE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</si>
  <si>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</si>
  <si>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</si>
  <si>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</si>
  <si>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</si>
  <si>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</si>
  <si>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</si>
  <si>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</si>
  <si>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</si>
  <si>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B-12, added</t>
  </si>
  <si>
    <t>Vitamin A, RAE</t>
  </si>
  <si>
    <t>Retinol</t>
  </si>
  <si>
    <t>Carotene, beta</t>
  </si>
  <si>
    <t>cis-beta-Carotene</t>
  </si>
  <si>
    <t>trans-beta-Carotene</t>
  </si>
  <si>
    <t>Carotene, alpha</t>
  </si>
  <si>
    <t>Carotene, gamma</t>
  </si>
  <si>
    <t>Cryptoxanthin, beta</t>
  </si>
  <si>
    <t>Cryptoxanthin, alpha</t>
  </si>
  <si>
    <t>Vitamin A, IU</t>
  </si>
  <si>
    <t>iu</t>
  </si>
  <si>
    <t>Lycopene</t>
  </si>
  <si>
    <t>cis-Lycopene</t>
  </si>
  <si>
    <t>trans-Lycopene</t>
  </si>
  <si>
    <t>Lutein + zeaxanthin</t>
  </si>
  <si>
    <t>cis-Lutein/Zeaxanthin</t>
  </si>
  <si>
    <t>Lutein</t>
  </si>
  <si>
    <t>Zeaxanthin</t>
  </si>
  <si>
    <t>Vitamin E (alpha-tocopherol)</t>
  </si>
  <si>
    <t>Vitamin E, added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</si>
  <si>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</si>
  <si>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</si>
  <si>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</si>
  <si>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</si>
  <si>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</si>
  <si>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</si>
  <si>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</si>
  <si>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D (D2 + D3), International Units</t>
  </si>
  <si>
    <t>Vitamin D (D2 + D3)</t>
  </si>
  <si>
    <t>Vitamin D3 (cholecalciferol)</t>
  </si>
  <si>
    <t>25-hydroxycholecalciferol</t>
  </si>
  <si>
    <t>Vitamin K (phylloquinone)</t>
  </si>
  <si>
    <t>Vitamin K (Dihydrophylloquinone)</t>
  </si>
  <si>
    <t>Vitamin K (Menaquinone-4)</t>
  </si>
  <si>
    <t>Fatty acids, total saturated</t>
  </si>
  <si>
    <t>SFA 4:0</t>
  </si>
  <si>
    <t>SFA 5:0</t>
  </si>
  <si>
    <t>SFA 6:0</t>
  </si>
  <si>
    <t>SFA 7:0</t>
  </si>
  <si>
    <t>SFA 8:0</t>
  </si>
  <si>
    <t>SFA 9:0</t>
  </si>
  <si>
    <t>SFA 10:0</t>
  </si>
  <si>
    <t>SFA 11:0</t>
  </si>
  <si>
    <t>SFA 12:0</t>
  </si>
  <si>
    <t>SFA 13:0</t>
  </si>
  <si>
    <t>SFA 14:0</t>
  </si>
  <si>
    <t>SFA 15:0</t>
  </si>
  <si>
    <t>SFA 16:0</t>
  </si>
  <si>
    <t>SFA 17:0</t>
  </si>
  <si>
    <t>SFA 18:0</t>
  </si>
  <si>
    <t>SFA 20:0</t>
  </si>
  <si>
    <t>SFA 21:0</t>
  </si>
  <si>
    <t>SFA 22:0</t>
  </si>
  <si>
    <t>SFA 23:0</t>
  </si>
  <si>
    <t>SFA 24:0</t>
  </si>
  <si>
    <t>Fatty acids, total monounsaturated</t>
  </si>
  <si>
    <t>MUFA 12:1</t>
  </si>
  <si>
    <t>MUFA 14:1</t>
  </si>
  <si>
    <t>MUFA 14:1 c</t>
  </si>
  <si>
    <t>MUFA 15:1</t>
  </si>
  <si>
    <t>MUFA 16:1</t>
  </si>
  <si>
    <t>MUFA 16:1 c</t>
  </si>
  <si>
    <t>MUFA 17:1</t>
  </si>
  <si>
    <t>MUFA 17:1 c</t>
  </si>
  <si>
    <t>MUFA 18:1</t>
  </si>
  <si>
    <t>MUFA 18:1 c</t>
  </si>
  <si>
    <t>MUFA 20:1</t>
  </si>
  <si>
    <t>MUFA 20:1 c</t>
  </si>
  <si>
    <t>MUFA 22:1</t>
  </si>
  <si>
    <t>MUFA 22:1 c</t>
  </si>
  <si>
    <t>MUFA 22:1 n-9</t>
  </si>
  <si>
    <t>MUFA 22:1 n-11</t>
  </si>
  <si>
    <t>MUFA 24:1 c</t>
  </si>
  <si>
    <t>Fatty acids, total polyunsaturated</t>
  </si>
  <si>
    <t>PUFA 18:2</t>
  </si>
  <si>
    <t>PUFA 18:2 c</t>
  </si>
  <si>
    <t>PUFA 18:2 n-6 c,c</t>
  </si>
  <si>
    <t>PUFA 18:2 CLAs</t>
  </si>
  <si>
    <t>PUFA 18:3</t>
  </si>
  <si>
    <t>PUFA 18:3 c</t>
  </si>
  <si>
    <t>PUFA 18:3 n-3 c,c,c (ALA)</t>
  </si>
  <si>
    <t>PUFA 18:3 n-6 c,c,c</t>
  </si>
  <si>
    <t>PUFA 18:4</t>
  </si>
  <si>
    <t>PUFA 20:2 c</t>
  </si>
  <si>
    <t>PUFA 20:2 n-6 c,c</t>
  </si>
  <si>
    <t>PUFA 20:3 c</t>
  </si>
  <si>
    <t>PUFA 20:3 n-3</t>
  </si>
  <si>
    <t>PUFA 20:3 n-6</t>
  </si>
  <si>
    <t>PUFA 20:3 n-9</t>
  </si>
  <si>
    <t>PUFA 22:3</t>
  </si>
  <si>
    <t>PUFA 20:4</t>
  </si>
  <si>
    <t>PUFA 20:4c</t>
  </si>
  <si>
    <t>PUFA 20:5c</t>
  </si>
  <si>
    <t>PUFA 20:5 n-3 (EPA)</t>
  </si>
  <si>
    <t>PUFA 22:2</t>
  </si>
  <si>
    <t>PUFA 22:5 c</t>
  </si>
  <si>
    <t>PUFA 22:4</t>
  </si>
  <si>
    <t>PUFA 22:5 n-3 (DPA)</t>
  </si>
  <si>
    <t>PUFA 22:6 c</t>
  </si>
  <si>
    <t>PUFA 22:6 n-3 (DHA)</t>
  </si>
  <si>
    <t>Fatty acids, total trans</t>
  </si>
  <si>
    <t>Fatty acids, total trans-monoenoic</t>
  </si>
  <si>
    <t>TFA 14:1 t</t>
  </si>
  <si>
    <t>TFA 16:1 t</t>
  </si>
  <si>
    <t>TFA 18:1 t</t>
  </si>
  <si>
    <t>TFA 20:1 t</t>
  </si>
  <si>
    <t>TFA 22:1 t</t>
  </si>
  <si>
    <t>Fatty acids, total trans-dienoic</t>
  </si>
  <si>
    <t>TFA 18:2 t not further defined</t>
  </si>
  <si>
    <t>TFA 18:2 t</t>
  </si>
  <si>
    <t>Fatty acids, total trans-polyenoic</t>
  </si>
  <si>
    <t>TFA 18:3 t</t>
  </si>
  <si>
    <t>Cholesterol</t>
  </si>
  <si>
    <t>Tryptophan</t>
  </si>
  <si>
    <t>Threonine</t>
  </si>
  <si>
    <t>Isoleucine</t>
  </si>
  <si>
    <t>Leucine</t>
  </si>
  <si>
    <t>Lysine</t>
  </si>
  <si>
    <t>Methionine</t>
  </si>
  <si>
    <t>Cystine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</si>
  <si>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</si>
  <si>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</si>
  <si>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</si>
  <si>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</si>
  <si>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</si>
  <si>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</si>
  <si>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</si>
  <si>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</si>
  <si>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</si>
  <si>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</si>
  <si>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</si>
  <si>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</si>
  <si>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</si>
  <si>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</si>
  <si>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</si>
  <si>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</si>
  <si>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Vitamin D2 (ergocalciferol)</t>
  </si>
  <si>
    <t>Daidzein</t>
  </si>
  <si>
    <t>Genistein</t>
  </si>
  <si>
    <t>Daidzin</t>
  </si>
  <si>
    <t>Genistin</t>
  </si>
  <si>
    <t>Glycitin</t>
  </si>
  <si>
    <t>Raffinose</t>
  </si>
  <si>
    <t>Stachyose</t>
  </si>
  <si>
    <t>Verbascose</t>
  </si>
  <si>
    <t>Citric acid</t>
  </si>
  <si>
    <t>Malic acid</t>
  </si>
  <si>
    <t>Oxalic acid</t>
  </si>
  <si>
    <t>Quinic 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</si>
</sst>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3" borderId="0" xfId="0" applyFill="1" applyAlignment="1">
      <alignment horizontal="center" vertical="center"/>
    </xf>
    <xf numFmtId="0" fontId="0" fillId="0" borderId="0" xfId="0"/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W16"/>
  <sheetViews>
    <sheetView tabSelected="1" workbookViewId="0">
      <pane xSplit="6" ySplit="2" topLeftCell="FO3" activePane="bottomRight" state="frozen"/>
      <selection pane="topRight"/>
      <selection pane="bottomLeft"/>
      <selection pane="bottomRight" activeCell="FT2" sqref="FT2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205" x14ac:dyDescent="0.3">
      <c r="A1" s="18" t="s">
        <v>0</v>
      </c>
      <c r="B1" s="14"/>
      <c r="C1" s="14"/>
      <c r="D1" s="14"/>
      <c r="E1" s="14"/>
      <c r="F1" s="14"/>
      <c r="G1" s="20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13" t="s">
        <v>2</v>
      </c>
      <c r="R1" s="14"/>
      <c r="S1" s="14"/>
      <c r="T1" s="14"/>
      <c r="U1" s="14"/>
      <c r="V1" s="14"/>
      <c r="W1" s="14"/>
      <c r="X1" s="14"/>
      <c r="Y1" s="14"/>
      <c r="Z1" s="15" t="s">
        <v>3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21" t="s">
        <v>4</v>
      </c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6" t="s">
        <v>5</v>
      </c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4"/>
      <c r="FN1" s="19" t="s">
        <v>6</v>
      </c>
      <c r="FO1" s="14"/>
      <c r="FP1" s="14"/>
      <c r="FQ1" s="14"/>
      <c r="FR1" s="14"/>
      <c r="FS1" s="14"/>
      <c r="FT1" s="14"/>
      <c r="FU1" s="14"/>
      <c r="FV1" s="14"/>
      <c r="FW1" s="14"/>
      <c r="FX1" s="14"/>
      <c r="FY1" s="14"/>
      <c r="FZ1" s="14"/>
      <c r="GA1" s="14"/>
      <c r="GB1" s="14"/>
      <c r="GC1" s="14"/>
      <c r="GD1" s="14"/>
      <c r="GE1" s="14"/>
      <c r="GF1" s="14"/>
      <c r="GG1" s="14"/>
      <c r="GH1" s="14"/>
      <c r="GI1" s="14"/>
      <c r="GJ1" s="14"/>
      <c r="GK1" s="17" t="s">
        <v>7</v>
      </c>
      <c r="GL1" s="17" t="s">
        <v>8</v>
      </c>
      <c r="GM1" s="14"/>
      <c r="GN1" s="14"/>
      <c r="GO1" s="14"/>
      <c r="GP1" s="14"/>
      <c r="GQ1" s="17" t="s">
        <v>9</v>
      </c>
      <c r="GR1" s="14"/>
      <c r="GS1" s="14"/>
      <c r="GT1" s="17" t="s">
        <v>10</v>
      </c>
      <c r="GU1" s="14"/>
      <c r="GV1" s="14"/>
      <c r="GW1" s="14"/>
    </row>
    <row r="2" spans="1:205" x14ac:dyDescent="0.3">
      <c r="A2" s="7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23</v>
      </c>
      <c r="N2" s="1" t="s">
        <v>24</v>
      </c>
      <c r="O2" s="1" t="s">
        <v>25</v>
      </c>
      <c r="P2" s="1" t="s">
        <v>26</v>
      </c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  <c r="W2" s="2" t="s">
        <v>33</v>
      </c>
      <c r="X2" s="2" t="s">
        <v>34</v>
      </c>
      <c r="Y2" s="2" t="s">
        <v>35</v>
      </c>
      <c r="Z2" s="3" t="s">
        <v>36</v>
      </c>
      <c r="AA2" s="3" t="s">
        <v>37</v>
      </c>
      <c r="AB2" s="3" t="s">
        <v>38</v>
      </c>
      <c r="AC2" s="3" t="s">
        <v>39</v>
      </c>
      <c r="AD2" s="3" t="s">
        <v>40</v>
      </c>
      <c r="AE2" s="3" t="s">
        <v>41</v>
      </c>
      <c r="AF2" s="3" t="s">
        <v>42</v>
      </c>
      <c r="AG2" s="3" t="s">
        <v>43</v>
      </c>
      <c r="AH2" s="3" t="s">
        <v>44</v>
      </c>
      <c r="AI2" s="3" t="s">
        <v>45</v>
      </c>
      <c r="AJ2" s="3" t="s">
        <v>46</v>
      </c>
      <c r="AK2" s="3" t="s">
        <v>47</v>
      </c>
      <c r="AL2" s="4" t="s">
        <v>48</v>
      </c>
      <c r="AM2" s="4" t="s">
        <v>49</v>
      </c>
      <c r="AN2" s="4" t="s">
        <v>50</v>
      </c>
      <c r="AO2" s="4" t="s">
        <v>51</v>
      </c>
      <c r="AP2" s="4" t="s">
        <v>52</v>
      </c>
      <c r="AQ2" s="4" t="s">
        <v>53</v>
      </c>
      <c r="AR2" s="4" t="s">
        <v>54</v>
      </c>
      <c r="AS2" s="4" t="s">
        <v>55</v>
      </c>
      <c r="AT2" s="4" t="s">
        <v>56</v>
      </c>
      <c r="AU2" s="4" t="s">
        <v>57</v>
      </c>
      <c r="AV2" s="4" t="s">
        <v>58</v>
      </c>
      <c r="AW2" s="4" t="s">
        <v>59</v>
      </c>
      <c r="AX2" s="4" t="s">
        <v>60</v>
      </c>
      <c r="AY2" s="4" t="s">
        <v>61</v>
      </c>
      <c r="AZ2" s="4" t="s">
        <v>62</v>
      </c>
      <c r="BA2" s="4" t="s">
        <v>63</v>
      </c>
      <c r="BB2" s="4" t="s">
        <v>64</v>
      </c>
      <c r="BC2" s="4" t="s">
        <v>65</v>
      </c>
      <c r="BD2" s="4" t="s">
        <v>66</v>
      </c>
      <c r="BE2" s="4" t="s">
        <v>67</v>
      </c>
      <c r="BF2" s="4" t="s">
        <v>68</v>
      </c>
      <c r="BG2" s="4" t="s">
        <v>69</v>
      </c>
      <c r="BH2" s="4" t="s">
        <v>70</v>
      </c>
      <c r="BI2" s="4" t="s">
        <v>71</v>
      </c>
      <c r="BJ2" s="4" t="s">
        <v>72</v>
      </c>
      <c r="BK2" s="4" t="s">
        <v>73</v>
      </c>
      <c r="BL2" s="4" t="s">
        <v>74</v>
      </c>
      <c r="BM2" s="4" t="s">
        <v>75</v>
      </c>
      <c r="BN2" s="4" t="s">
        <v>76</v>
      </c>
      <c r="BO2" s="4" t="s">
        <v>77</v>
      </c>
      <c r="BP2" s="4" t="s">
        <v>78</v>
      </c>
      <c r="BQ2" s="4" t="s">
        <v>79</v>
      </c>
      <c r="BR2" s="4" t="s">
        <v>80</v>
      </c>
      <c r="BS2" s="4" t="s">
        <v>81</v>
      </c>
      <c r="BT2" s="4" t="s">
        <v>82</v>
      </c>
      <c r="BU2" s="4" t="s">
        <v>83</v>
      </c>
      <c r="BV2" s="4" t="s">
        <v>84</v>
      </c>
      <c r="BW2" s="4" t="s">
        <v>85</v>
      </c>
      <c r="BX2" s="4" t="s">
        <v>86</v>
      </c>
      <c r="BY2" s="4" t="s">
        <v>87</v>
      </c>
      <c r="BZ2" s="4" t="s">
        <v>88</v>
      </c>
      <c r="CA2" s="4" t="s">
        <v>89</v>
      </c>
      <c r="CB2" s="4" t="s">
        <v>90</v>
      </c>
      <c r="CC2" s="4" t="s">
        <v>91</v>
      </c>
      <c r="CD2" s="4" t="s">
        <v>92</v>
      </c>
      <c r="CE2" s="4" t="s">
        <v>93</v>
      </c>
      <c r="CF2" s="4" t="s">
        <v>94</v>
      </c>
      <c r="CG2" s="4" t="s">
        <v>95</v>
      </c>
      <c r="CH2" s="4" t="s">
        <v>96</v>
      </c>
      <c r="CI2" s="4" t="s">
        <v>97</v>
      </c>
      <c r="CJ2" s="4" t="s">
        <v>98</v>
      </c>
      <c r="CK2" s="4" t="s">
        <v>99</v>
      </c>
      <c r="CL2" s="4" t="s">
        <v>100</v>
      </c>
      <c r="CM2" s="5" t="s">
        <v>101</v>
      </c>
      <c r="CN2" s="5" t="s">
        <v>102</v>
      </c>
      <c r="CO2" s="5" t="s">
        <v>103</v>
      </c>
      <c r="CP2" s="5" t="s">
        <v>104</v>
      </c>
      <c r="CQ2" s="5" t="s">
        <v>105</v>
      </c>
      <c r="CR2" s="5" t="s">
        <v>106</v>
      </c>
      <c r="CS2" s="5" t="s">
        <v>107</v>
      </c>
      <c r="CT2" s="5" t="s">
        <v>108</v>
      </c>
      <c r="CU2" s="5" t="s">
        <v>109</v>
      </c>
      <c r="CV2" s="5" t="s">
        <v>110</v>
      </c>
      <c r="CW2" s="5" t="s">
        <v>111</v>
      </c>
      <c r="CX2" s="5" t="s">
        <v>112</v>
      </c>
      <c r="CY2" s="5" t="s">
        <v>113</v>
      </c>
      <c r="CZ2" s="5" t="s">
        <v>114</v>
      </c>
      <c r="DA2" s="5" t="s">
        <v>115</v>
      </c>
      <c r="DB2" s="5" t="s">
        <v>116</v>
      </c>
      <c r="DC2" s="5" t="s">
        <v>117</v>
      </c>
      <c r="DD2" s="5" t="s">
        <v>118</v>
      </c>
      <c r="DE2" s="5" t="s">
        <v>119</v>
      </c>
      <c r="DF2" s="5" t="s">
        <v>120</v>
      </c>
      <c r="DG2" s="5" t="s">
        <v>121</v>
      </c>
      <c r="DH2" s="5" t="s">
        <v>122</v>
      </c>
      <c r="DI2" s="5" t="s">
        <v>123</v>
      </c>
      <c r="DJ2" s="5" t="s">
        <v>124</v>
      </c>
      <c r="DK2" s="5" t="s">
        <v>125</v>
      </c>
      <c r="DL2" s="5" t="s">
        <v>126</v>
      </c>
      <c r="DM2" s="5" t="s">
        <v>127</v>
      </c>
      <c r="DN2" s="5" t="s">
        <v>128</v>
      </c>
      <c r="DO2" s="5" t="s">
        <v>129</v>
      </c>
      <c r="DP2" s="5" t="s">
        <v>130</v>
      </c>
      <c r="DQ2" s="5" t="s">
        <v>131</v>
      </c>
      <c r="DR2" s="5" t="s">
        <v>132</v>
      </c>
      <c r="DS2" s="5" t="s">
        <v>133</v>
      </c>
      <c r="DT2" s="5" t="s">
        <v>134</v>
      </c>
      <c r="DU2" s="5" t="s">
        <v>135</v>
      </c>
      <c r="DV2" s="5" t="s">
        <v>136</v>
      </c>
      <c r="DW2" s="5" t="s">
        <v>137</v>
      </c>
      <c r="DX2" s="5" t="s">
        <v>138</v>
      </c>
      <c r="DY2" s="5" t="s">
        <v>139</v>
      </c>
      <c r="DZ2" s="5" t="s">
        <v>140</v>
      </c>
      <c r="EA2" s="5" t="s">
        <v>141</v>
      </c>
      <c r="EB2" s="5" t="s">
        <v>142</v>
      </c>
      <c r="EC2" s="5" t="s">
        <v>143</v>
      </c>
      <c r="ED2" s="5" t="s">
        <v>144</v>
      </c>
      <c r="EE2" s="5" t="s">
        <v>145</v>
      </c>
      <c r="EF2" s="5" t="s">
        <v>146</v>
      </c>
      <c r="EG2" s="5" t="s">
        <v>147</v>
      </c>
      <c r="EH2" s="5" t="s">
        <v>148</v>
      </c>
      <c r="EI2" s="5" t="s">
        <v>149</v>
      </c>
      <c r="EJ2" s="5" t="s">
        <v>150</v>
      </c>
      <c r="EK2" s="5" t="s">
        <v>151</v>
      </c>
      <c r="EL2" s="5" t="s">
        <v>152</v>
      </c>
      <c r="EM2" s="5" t="s">
        <v>153</v>
      </c>
      <c r="EN2" s="5" t="s">
        <v>154</v>
      </c>
      <c r="EO2" s="5" t="s">
        <v>155</v>
      </c>
      <c r="EP2" s="5" t="s">
        <v>156</v>
      </c>
      <c r="EQ2" s="5" t="s">
        <v>157</v>
      </c>
      <c r="ER2" s="5" t="s">
        <v>158</v>
      </c>
      <c r="ES2" s="5" t="s">
        <v>159</v>
      </c>
      <c r="ET2" s="5" t="s">
        <v>160</v>
      </c>
      <c r="EU2" s="5" t="s">
        <v>161</v>
      </c>
      <c r="EV2" s="5" t="s">
        <v>162</v>
      </c>
      <c r="EW2" s="5" t="s">
        <v>163</v>
      </c>
      <c r="EX2" s="5" t="s">
        <v>164</v>
      </c>
      <c r="EY2" s="5" t="s">
        <v>165</v>
      </c>
      <c r="EZ2" s="5" t="s">
        <v>166</v>
      </c>
      <c r="FA2" s="5" t="s">
        <v>167</v>
      </c>
      <c r="FB2" s="5" t="s">
        <v>168</v>
      </c>
      <c r="FC2" s="5" t="s">
        <v>169</v>
      </c>
      <c r="FD2" s="5" t="s">
        <v>170</v>
      </c>
      <c r="FE2" s="5" t="s">
        <v>171</v>
      </c>
      <c r="FF2" s="5" t="s">
        <v>172</v>
      </c>
      <c r="FG2" s="5" t="s">
        <v>173</v>
      </c>
      <c r="FH2" s="5" t="s">
        <v>174</v>
      </c>
      <c r="FI2" s="5" t="s">
        <v>175</v>
      </c>
      <c r="FJ2" s="5" t="s">
        <v>176</v>
      </c>
      <c r="FK2" s="5" t="s">
        <v>177</v>
      </c>
      <c r="FL2" s="5" t="s">
        <v>178</v>
      </c>
      <c r="FM2" s="5" t="s">
        <v>179</v>
      </c>
      <c r="FN2" s="6" t="s">
        <v>180</v>
      </c>
      <c r="FO2" s="6" t="s">
        <v>181</v>
      </c>
      <c r="FP2" s="6" t="s">
        <v>182</v>
      </c>
      <c r="FQ2" s="6" t="s">
        <v>183</v>
      </c>
      <c r="FR2" s="6" t="s">
        <v>184</v>
      </c>
      <c r="FS2" s="6" t="s">
        <v>185</v>
      </c>
      <c r="FT2" s="6" t="s">
        <v>186</v>
      </c>
      <c r="FU2" s="6" t="s">
        <v>187</v>
      </c>
      <c r="FV2" s="6" t="s">
        <v>188</v>
      </c>
      <c r="FW2" s="6" t="s">
        <v>189</v>
      </c>
      <c r="FX2" s="6" t="s">
        <v>190</v>
      </c>
      <c r="FY2" s="6" t="s">
        <v>191</v>
      </c>
      <c r="FZ2" s="6" t="s">
        <v>192</v>
      </c>
      <c r="GA2" s="6" t="s">
        <v>193</v>
      </c>
      <c r="GB2" s="6" t="s">
        <v>194</v>
      </c>
      <c r="GC2" s="6" t="s">
        <v>195</v>
      </c>
      <c r="GD2" s="6" t="s">
        <v>196</v>
      </c>
      <c r="GE2" s="6" t="s">
        <v>197</v>
      </c>
      <c r="GF2" s="6" t="s">
        <v>198</v>
      </c>
      <c r="GG2" s="6" t="s">
        <v>199</v>
      </c>
      <c r="GH2" s="6" t="s">
        <v>200</v>
      </c>
      <c r="GI2" s="6" t="s">
        <v>201</v>
      </c>
      <c r="GJ2" s="6" t="s">
        <v>202</v>
      </c>
      <c r="GK2" s="7" t="s">
        <v>203</v>
      </c>
      <c r="GL2" s="7" t="s">
        <v>204</v>
      </c>
      <c r="GM2" s="7" t="s">
        <v>205</v>
      </c>
      <c r="GN2" s="7" t="s">
        <v>206</v>
      </c>
      <c r="GO2" s="7" t="s">
        <v>207</v>
      </c>
      <c r="GP2" s="7" t="s">
        <v>208</v>
      </c>
      <c r="GQ2" s="7" t="s">
        <v>209</v>
      </c>
      <c r="GR2" s="7" t="s">
        <v>210</v>
      </c>
      <c r="GS2" s="7" t="s">
        <v>211</v>
      </c>
      <c r="GT2" s="7" t="s">
        <v>212</v>
      </c>
      <c r="GU2" s="7" t="s">
        <v>213</v>
      </c>
      <c r="GV2" s="7" t="s">
        <v>214</v>
      </c>
      <c r="GW2" s="7" t="s">
        <v>215</v>
      </c>
    </row>
    <row r="3" spans="1:205" x14ac:dyDescent="0.3">
      <c r="A3">
        <v>746766</v>
      </c>
      <c r="B3" t="s">
        <v>216</v>
      </c>
      <c r="D3" t="s">
        <v>217</v>
      </c>
      <c r="E3" s="8">
        <v>100</v>
      </c>
      <c r="F3" s="9">
        <f t="shared" ref="F3:F15" si="0">E3/SUM($E$3:$E$15)</f>
        <v>7.6923076923076927E-2</v>
      </c>
      <c r="G3">
        <v>72.900000000000006</v>
      </c>
      <c r="J3">
        <v>157</v>
      </c>
      <c r="K3">
        <v>657</v>
      </c>
      <c r="L3">
        <v>1.22</v>
      </c>
      <c r="M3">
        <v>7.81</v>
      </c>
      <c r="N3">
        <v>10.3</v>
      </c>
      <c r="O3">
        <v>11</v>
      </c>
      <c r="P3">
        <v>1.36</v>
      </c>
      <c r="Q3">
        <v>6.86</v>
      </c>
      <c r="Z3">
        <v>224</v>
      </c>
      <c r="AA3">
        <v>0.1</v>
      </c>
      <c r="AB3">
        <v>19.7</v>
      </c>
      <c r="AC3">
        <v>162</v>
      </c>
      <c r="AD3">
        <v>230</v>
      </c>
      <c r="AE3">
        <v>105</v>
      </c>
      <c r="AF3">
        <v>0.56000000000000005</v>
      </c>
      <c r="AG3">
        <v>0</v>
      </c>
      <c r="AH3">
        <v>0</v>
      </c>
      <c r="AJ3">
        <v>5.5</v>
      </c>
      <c r="AM3">
        <v>4.2999999999999997E-2</v>
      </c>
      <c r="AN3">
        <v>0.32700000000000001</v>
      </c>
      <c r="AO3">
        <v>0.16800000000000001</v>
      </c>
      <c r="AP3">
        <v>0.67300000000000004</v>
      </c>
      <c r="AQ3">
        <v>9.9000000000000005E-2</v>
      </c>
      <c r="AS3">
        <v>4</v>
      </c>
      <c r="BD3">
        <v>0.78</v>
      </c>
      <c r="BF3">
        <v>127</v>
      </c>
      <c r="BG3">
        <v>127</v>
      </c>
      <c r="BW3">
        <v>0.27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J3">
        <v>0.6</v>
      </c>
      <c r="CK3">
        <v>0</v>
      </c>
      <c r="CL3">
        <v>3.1</v>
      </c>
      <c r="CM3">
        <v>6.97</v>
      </c>
      <c r="CN3">
        <v>0.251</v>
      </c>
      <c r="CP3">
        <v>0.19900000000000001</v>
      </c>
      <c r="CR3">
        <v>0.125</v>
      </c>
      <c r="CT3">
        <v>0.30599999999999999</v>
      </c>
      <c r="CU3">
        <v>0</v>
      </c>
      <c r="CV3">
        <v>0.36</v>
      </c>
      <c r="CX3">
        <v>1.1499999999999999</v>
      </c>
      <c r="CY3">
        <v>0.11600000000000001</v>
      </c>
      <c r="CZ3">
        <v>3.36</v>
      </c>
      <c r="DA3">
        <v>6.7000000000000004E-2</v>
      </c>
      <c r="DB3">
        <v>1.02</v>
      </c>
      <c r="DC3">
        <v>1.4E-2</v>
      </c>
      <c r="DE3">
        <v>6.0000000000000001E-3</v>
      </c>
      <c r="DG3">
        <v>4.0000000000000001E-3</v>
      </c>
      <c r="DH3">
        <v>2.56</v>
      </c>
      <c r="DK3">
        <v>0.11700000000000001</v>
      </c>
      <c r="DL3">
        <v>0</v>
      </c>
      <c r="DN3">
        <v>0.184</v>
      </c>
      <c r="DO3">
        <v>2.1000000000000001E-2</v>
      </c>
      <c r="DP3">
        <v>2.1000000000000001E-2</v>
      </c>
      <c r="DR3">
        <v>2.2200000000000002</v>
      </c>
      <c r="DT3">
        <v>0.02</v>
      </c>
      <c r="DV3">
        <v>2E-3</v>
      </c>
      <c r="DW3">
        <v>2E-3</v>
      </c>
      <c r="DY3">
        <v>0</v>
      </c>
      <c r="DZ3">
        <v>0.38900000000000001</v>
      </c>
      <c r="EB3">
        <v>0.308</v>
      </c>
      <c r="EC3">
        <v>0.25900000000000001</v>
      </c>
      <c r="ED3">
        <v>4.9000000000000002E-2</v>
      </c>
      <c r="EF3">
        <v>4.2000000000000003E-2</v>
      </c>
      <c r="EG3">
        <v>4.2000000000000003E-2</v>
      </c>
      <c r="EH3">
        <v>0</v>
      </c>
      <c r="EI3">
        <v>1E-3</v>
      </c>
      <c r="EJ3">
        <v>1E-3</v>
      </c>
      <c r="EK3">
        <v>1E-3</v>
      </c>
      <c r="EL3">
        <v>1.2E-2</v>
      </c>
      <c r="EM3">
        <v>0</v>
      </c>
      <c r="EN3">
        <v>1.2E-2</v>
      </c>
      <c r="EO3">
        <v>0</v>
      </c>
      <c r="EQ3">
        <v>1.4999999999999999E-2</v>
      </c>
      <c r="ER3">
        <v>1.4999999999999999E-2</v>
      </c>
      <c r="ES3">
        <v>5.0000000000000001E-3</v>
      </c>
      <c r="ET3">
        <v>5.0000000000000001E-3</v>
      </c>
      <c r="EU3">
        <v>0</v>
      </c>
      <c r="EV3">
        <v>7.0000000000000001E-3</v>
      </c>
      <c r="EW3">
        <v>3.0000000000000001E-3</v>
      </c>
      <c r="EX3">
        <v>7.0000000000000001E-3</v>
      </c>
      <c r="EY3">
        <v>0</v>
      </c>
      <c r="EZ3">
        <v>0</v>
      </c>
      <c r="FA3">
        <v>0.35099999999999998</v>
      </c>
      <c r="FB3">
        <v>0.28299999999999997</v>
      </c>
      <c r="FD3">
        <v>3.2000000000000001E-2</v>
      </c>
      <c r="FE3">
        <v>0.251</v>
      </c>
      <c r="FG3">
        <v>0</v>
      </c>
      <c r="FH3">
        <v>6.8000000000000005E-2</v>
      </c>
      <c r="FI3">
        <v>6.8000000000000005E-2</v>
      </c>
      <c r="FK3">
        <v>1E-3</v>
      </c>
      <c r="FL3">
        <v>1E-3</v>
      </c>
      <c r="FM3">
        <v>48</v>
      </c>
      <c r="FN3">
        <v>0.115</v>
      </c>
      <c r="FO3">
        <v>0.39500000000000002</v>
      </c>
      <c r="FP3">
        <v>0.36499999999999999</v>
      </c>
      <c r="FQ3">
        <v>0.78500000000000003</v>
      </c>
      <c r="FR3">
        <v>0.65500000000000003</v>
      </c>
      <c r="FS3">
        <v>0.17</v>
      </c>
      <c r="FU3">
        <v>0.27</v>
      </c>
      <c r="FV3">
        <v>0.25</v>
      </c>
      <c r="FW3">
        <v>0.32500000000000001</v>
      </c>
      <c r="FX3">
        <v>0.21</v>
      </c>
      <c r="FY3">
        <v>0.17499999999999999</v>
      </c>
      <c r="FZ3">
        <v>0.32500000000000001</v>
      </c>
      <c r="GA3">
        <v>0.73499999999999999</v>
      </c>
      <c r="GB3">
        <v>1.3</v>
      </c>
      <c r="GC3">
        <v>0.13500000000000001</v>
      </c>
      <c r="GD3">
        <v>0.56499999999999995</v>
      </c>
      <c r="GE3">
        <v>0.36499999999999999</v>
      </c>
      <c r="GF3">
        <v>0</v>
      </c>
      <c r="GG3">
        <v>0.18</v>
      </c>
    </row>
    <row r="4" spans="1:205" x14ac:dyDescent="0.3">
      <c r="A4">
        <v>746772</v>
      </c>
      <c r="B4" t="s">
        <v>218</v>
      </c>
      <c r="D4" t="s">
        <v>217</v>
      </c>
      <c r="E4" s="8">
        <v>100</v>
      </c>
      <c r="F4" s="9">
        <f t="shared" si="0"/>
        <v>7.6923076923076927E-2</v>
      </c>
      <c r="G4">
        <v>89.7</v>
      </c>
      <c r="J4">
        <v>43</v>
      </c>
      <c r="K4">
        <v>179</v>
      </c>
      <c r="L4">
        <v>0.53</v>
      </c>
      <c r="M4">
        <v>3.38</v>
      </c>
      <c r="N4">
        <v>0.85</v>
      </c>
      <c r="O4">
        <v>0.95</v>
      </c>
      <c r="P4">
        <v>0.8</v>
      </c>
      <c r="Q4">
        <v>5.18</v>
      </c>
      <c r="S4">
        <v>4.96</v>
      </c>
      <c r="T4">
        <v>0</v>
      </c>
      <c r="U4">
        <v>0</v>
      </c>
      <c r="V4">
        <v>0</v>
      </c>
      <c r="W4">
        <v>4.96</v>
      </c>
      <c r="X4">
        <v>0</v>
      </c>
      <c r="Y4">
        <v>0</v>
      </c>
      <c r="Z4">
        <v>126</v>
      </c>
      <c r="AA4">
        <v>0</v>
      </c>
      <c r="AB4">
        <v>12</v>
      </c>
      <c r="AC4">
        <v>103</v>
      </c>
      <c r="AD4">
        <v>159</v>
      </c>
      <c r="AE4">
        <v>39</v>
      </c>
      <c r="AF4">
        <v>0.43</v>
      </c>
      <c r="AG4">
        <v>1E-3</v>
      </c>
      <c r="AH4">
        <v>0</v>
      </c>
      <c r="AI4">
        <v>36.200000000000003</v>
      </c>
      <c r="AJ4">
        <v>2.1</v>
      </c>
      <c r="AM4">
        <v>5.7000000000000002E-2</v>
      </c>
      <c r="AN4">
        <v>0.14000000000000001</v>
      </c>
      <c r="AO4">
        <v>0.113</v>
      </c>
      <c r="AP4">
        <v>0.36799999999999999</v>
      </c>
      <c r="AQ4">
        <v>0.06</v>
      </c>
      <c r="AS4">
        <v>2</v>
      </c>
      <c r="AW4">
        <v>17.399999999999999</v>
      </c>
      <c r="AX4">
        <v>3</v>
      </c>
      <c r="AY4">
        <v>0.9</v>
      </c>
      <c r="AZ4">
        <v>1.8</v>
      </c>
      <c r="BA4">
        <v>10.9</v>
      </c>
      <c r="BB4">
        <v>0.8</v>
      </c>
      <c r="BC4">
        <v>0.9</v>
      </c>
      <c r="BD4">
        <v>0.61</v>
      </c>
      <c r="BF4">
        <v>58</v>
      </c>
      <c r="BG4">
        <v>58</v>
      </c>
      <c r="BH4">
        <v>1</v>
      </c>
      <c r="BI4">
        <v>0</v>
      </c>
      <c r="BJ4">
        <v>1</v>
      </c>
      <c r="BK4">
        <v>0</v>
      </c>
      <c r="BM4">
        <v>0</v>
      </c>
      <c r="BN4">
        <v>0</v>
      </c>
      <c r="BP4">
        <v>0</v>
      </c>
      <c r="BQ4">
        <v>0</v>
      </c>
      <c r="BR4">
        <v>0</v>
      </c>
      <c r="BT4">
        <v>0</v>
      </c>
      <c r="BU4">
        <v>0</v>
      </c>
      <c r="BV4">
        <v>0</v>
      </c>
      <c r="BW4">
        <v>0.02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42.4</v>
      </c>
      <c r="CG4">
        <v>1.06</v>
      </c>
      <c r="CH4">
        <v>1.06</v>
      </c>
      <c r="CI4">
        <v>0</v>
      </c>
      <c r="CM4">
        <v>0.56799999999999995</v>
      </c>
      <c r="CN4">
        <v>2.1999999999999999E-2</v>
      </c>
      <c r="CO4">
        <v>0</v>
      </c>
      <c r="CP4">
        <v>1.4999999999999999E-2</v>
      </c>
      <c r="CQ4">
        <v>0</v>
      </c>
      <c r="CR4">
        <v>1.0999999999999999E-2</v>
      </c>
      <c r="CS4">
        <v>0</v>
      </c>
      <c r="CT4">
        <v>2.3E-2</v>
      </c>
      <c r="CU4">
        <v>0</v>
      </c>
      <c r="CV4">
        <v>2.5999999999999999E-2</v>
      </c>
      <c r="CX4">
        <v>9.2999999999999999E-2</v>
      </c>
      <c r="CY4">
        <v>0.01</v>
      </c>
      <c r="CZ4">
        <v>0.26500000000000001</v>
      </c>
      <c r="DA4">
        <v>6.0000000000000001E-3</v>
      </c>
      <c r="DB4">
        <v>9.6000000000000002E-2</v>
      </c>
      <c r="DC4">
        <v>1E-3</v>
      </c>
      <c r="DD4">
        <v>0</v>
      </c>
      <c r="DE4">
        <v>0</v>
      </c>
      <c r="DF4">
        <v>0</v>
      </c>
      <c r="DG4">
        <v>0</v>
      </c>
      <c r="DH4">
        <v>0.21</v>
      </c>
      <c r="DI4">
        <v>0</v>
      </c>
      <c r="DK4">
        <v>7.0000000000000001E-3</v>
      </c>
      <c r="DL4">
        <v>0</v>
      </c>
      <c r="DN4">
        <v>1.2E-2</v>
      </c>
      <c r="DO4">
        <v>2E-3</v>
      </c>
      <c r="DP4">
        <v>2E-3</v>
      </c>
      <c r="DR4">
        <v>0.187</v>
      </c>
      <c r="DT4">
        <v>1E-3</v>
      </c>
      <c r="DV4">
        <v>0</v>
      </c>
      <c r="DW4">
        <v>0</v>
      </c>
      <c r="DX4">
        <v>0</v>
      </c>
      <c r="DY4">
        <v>0</v>
      </c>
      <c r="DZ4">
        <v>3.2000000000000001E-2</v>
      </c>
      <c r="EB4">
        <v>2.9000000000000001E-2</v>
      </c>
      <c r="EC4">
        <v>2.5999999999999999E-2</v>
      </c>
      <c r="ED4">
        <v>4.0000000000000001E-3</v>
      </c>
      <c r="EF4">
        <v>4.0000000000000001E-3</v>
      </c>
      <c r="EG4">
        <v>4.0000000000000001E-3</v>
      </c>
      <c r="EH4">
        <v>0</v>
      </c>
      <c r="EI4">
        <v>0</v>
      </c>
      <c r="EJ4">
        <v>0</v>
      </c>
      <c r="EK4">
        <v>0</v>
      </c>
      <c r="EL4">
        <v>1E-3</v>
      </c>
      <c r="EM4">
        <v>0</v>
      </c>
      <c r="EN4">
        <v>1E-3</v>
      </c>
      <c r="EO4">
        <v>0</v>
      </c>
      <c r="EP4">
        <v>0</v>
      </c>
      <c r="EQ4">
        <v>1E-3</v>
      </c>
      <c r="ER4">
        <v>1E-3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3.5999999999999997E-2</v>
      </c>
      <c r="FB4">
        <v>3.1E-2</v>
      </c>
      <c r="FC4">
        <v>1E-3</v>
      </c>
      <c r="FD4">
        <v>2E-3</v>
      </c>
      <c r="FE4">
        <v>2.7E-2</v>
      </c>
      <c r="FF4">
        <v>0</v>
      </c>
      <c r="FG4">
        <v>0</v>
      </c>
      <c r="FH4">
        <v>4.0000000000000001E-3</v>
      </c>
      <c r="FI4">
        <v>4.0000000000000001E-3</v>
      </c>
      <c r="FK4">
        <v>0</v>
      </c>
      <c r="FL4">
        <v>0</v>
      </c>
      <c r="FM4">
        <v>5</v>
      </c>
      <c r="FN4">
        <v>4.4999999999999998E-2</v>
      </c>
      <c r="FO4">
        <v>0.158</v>
      </c>
      <c r="FP4">
        <v>0.17399999999999999</v>
      </c>
      <c r="FQ4">
        <v>0.34200000000000003</v>
      </c>
      <c r="FR4">
        <v>0.308</v>
      </c>
      <c r="FS4">
        <v>9.1999999999999998E-2</v>
      </c>
      <c r="FU4">
        <v>0.16800000000000001</v>
      </c>
      <c r="FV4">
        <v>0.16700000000000001</v>
      </c>
      <c r="FW4">
        <v>0.21</v>
      </c>
      <c r="FX4">
        <v>0.128</v>
      </c>
      <c r="FY4">
        <v>9.9000000000000005E-2</v>
      </c>
      <c r="FZ4">
        <v>0.111</v>
      </c>
      <c r="GA4">
        <v>0.28599999999999998</v>
      </c>
      <c r="GB4">
        <v>0.80900000000000005</v>
      </c>
      <c r="GC4">
        <v>6.9000000000000006E-2</v>
      </c>
      <c r="GD4">
        <v>0.34899999999999998</v>
      </c>
      <c r="GE4">
        <v>0.19400000000000001</v>
      </c>
      <c r="GF4">
        <v>0</v>
      </c>
      <c r="GG4">
        <v>3.5999999999999997E-2</v>
      </c>
      <c r="GK4">
        <v>0</v>
      </c>
    </row>
    <row r="5" spans="1:205" x14ac:dyDescent="0.3">
      <c r="A5">
        <v>746776</v>
      </c>
      <c r="B5" t="s">
        <v>219</v>
      </c>
      <c r="D5" t="s">
        <v>217</v>
      </c>
      <c r="E5" s="8">
        <v>100</v>
      </c>
      <c r="F5" s="9">
        <f t="shared" si="0"/>
        <v>7.6923076923076927E-2</v>
      </c>
      <c r="G5">
        <v>90.8</v>
      </c>
      <c r="J5">
        <v>34</v>
      </c>
      <c r="K5">
        <v>144</v>
      </c>
      <c r="L5">
        <v>0.54</v>
      </c>
      <c r="M5">
        <v>3.43</v>
      </c>
      <c r="N5">
        <v>7.0000000000000007E-2</v>
      </c>
      <c r="O5">
        <v>0.08</v>
      </c>
      <c r="P5">
        <v>0.77</v>
      </c>
      <c r="Q5">
        <v>4.92</v>
      </c>
      <c r="S5">
        <v>5.05</v>
      </c>
      <c r="T5">
        <v>0</v>
      </c>
      <c r="U5">
        <v>0</v>
      </c>
      <c r="V5">
        <v>0</v>
      </c>
      <c r="W5">
        <v>5.05</v>
      </c>
      <c r="X5">
        <v>0</v>
      </c>
      <c r="Y5">
        <v>0</v>
      </c>
      <c r="Z5">
        <v>132</v>
      </c>
      <c r="AA5">
        <v>0</v>
      </c>
      <c r="AB5">
        <v>12.5</v>
      </c>
      <c r="AC5">
        <v>107</v>
      </c>
      <c r="AD5">
        <v>167</v>
      </c>
      <c r="AE5">
        <v>41</v>
      </c>
      <c r="AF5">
        <v>0.45</v>
      </c>
      <c r="AG5">
        <v>2E-3</v>
      </c>
      <c r="AH5">
        <v>1E-3</v>
      </c>
      <c r="AI5">
        <v>35.700000000000003</v>
      </c>
      <c r="AJ5">
        <v>2</v>
      </c>
      <c r="AM5">
        <v>5.6000000000000001E-2</v>
      </c>
      <c r="AN5">
        <v>0.13100000000000001</v>
      </c>
      <c r="AO5">
        <v>0.11799999999999999</v>
      </c>
      <c r="AP5">
        <v>0.38800000000000001</v>
      </c>
      <c r="AQ5">
        <v>5.8000000000000003E-2</v>
      </c>
      <c r="AS5">
        <v>2</v>
      </c>
      <c r="AW5">
        <v>18.2</v>
      </c>
      <c r="AX5">
        <v>3.1</v>
      </c>
      <c r="AY5">
        <v>0.8</v>
      </c>
      <c r="AZ5">
        <v>2</v>
      </c>
      <c r="BA5">
        <v>11.5</v>
      </c>
      <c r="BB5">
        <v>0.9</v>
      </c>
      <c r="BC5">
        <v>0.9</v>
      </c>
      <c r="BD5">
        <v>0.57999999999999996</v>
      </c>
      <c r="BF5">
        <v>64</v>
      </c>
      <c r="BG5">
        <v>64</v>
      </c>
      <c r="BH5">
        <v>2</v>
      </c>
      <c r="BI5">
        <v>1</v>
      </c>
      <c r="BJ5">
        <v>1</v>
      </c>
      <c r="BK5">
        <v>0</v>
      </c>
      <c r="BM5">
        <v>0</v>
      </c>
      <c r="BN5">
        <v>0</v>
      </c>
      <c r="BP5">
        <v>0</v>
      </c>
      <c r="BQ5">
        <v>0</v>
      </c>
      <c r="BR5">
        <v>0</v>
      </c>
      <c r="BT5">
        <v>0</v>
      </c>
      <c r="BU5">
        <v>1</v>
      </c>
      <c r="BV5">
        <v>0</v>
      </c>
      <c r="BW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44</v>
      </c>
      <c r="CG5">
        <v>1.1000000000000001</v>
      </c>
      <c r="CH5">
        <v>1.1000000000000001</v>
      </c>
      <c r="CI5">
        <v>0</v>
      </c>
      <c r="CM5">
        <v>4.9000000000000002E-2</v>
      </c>
      <c r="CN5">
        <v>3.0000000000000001E-3</v>
      </c>
      <c r="CO5">
        <v>0</v>
      </c>
      <c r="CP5">
        <v>1E-3</v>
      </c>
      <c r="CQ5">
        <v>0</v>
      </c>
      <c r="CR5">
        <v>1E-3</v>
      </c>
      <c r="CS5">
        <v>0</v>
      </c>
      <c r="CT5">
        <v>2E-3</v>
      </c>
      <c r="CU5">
        <v>0</v>
      </c>
      <c r="CV5">
        <v>2E-3</v>
      </c>
      <c r="CX5">
        <v>8.0000000000000002E-3</v>
      </c>
      <c r="CY5">
        <v>1E-3</v>
      </c>
      <c r="CZ5">
        <v>2.1000000000000001E-2</v>
      </c>
      <c r="DA5">
        <v>1E-3</v>
      </c>
      <c r="DB5">
        <v>8.9999999999999993E-3</v>
      </c>
      <c r="DC5">
        <v>0</v>
      </c>
      <c r="DD5">
        <v>0</v>
      </c>
      <c r="DE5">
        <v>0</v>
      </c>
      <c r="DF5">
        <v>0</v>
      </c>
      <c r="DG5">
        <v>0</v>
      </c>
      <c r="DH5">
        <v>1.7000000000000001E-2</v>
      </c>
      <c r="DI5">
        <v>0</v>
      </c>
      <c r="DK5">
        <v>0</v>
      </c>
      <c r="DL5">
        <v>0</v>
      </c>
      <c r="DN5">
        <v>1E-3</v>
      </c>
      <c r="DO5">
        <v>0</v>
      </c>
      <c r="DP5">
        <v>0</v>
      </c>
      <c r="DR5">
        <v>1.7000000000000001E-2</v>
      </c>
      <c r="DT5">
        <v>0</v>
      </c>
      <c r="DV5">
        <v>0</v>
      </c>
      <c r="DW5">
        <v>0</v>
      </c>
      <c r="DX5">
        <v>0</v>
      </c>
      <c r="DY5">
        <v>0</v>
      </c>
      <c r="DZ5">
        <v>6.0000000000000001E-3</v>
      </c>
      <c r="EB5">
        <v>5.0000000000000001E-3</v>
      </c>
      <c r="EC5">
        <v>5.0000000000000001E-3</v>
      </c>
      <c r="ED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1E-3</v>
      </c>
      <c r="FC5">
        <v>0</v>
      </c>
      <c r="FD5">
        <v>0</v>
      </c>
      <c r="FE5">
        <v>1E-3</v>
      </c>
      <c r="FF5">
        <v>0</v>
      </c>
      <c r="FG5">
        <v>0</v>
      </c>
      <c r="FH5">
        <v>0</v>
      </c>
      <c r="FI5">
        <v>0</v>
      </c>
      <c r="FK5">
        <v>0</v>
      </c>
      <c r="FL5">
        <v>0</v>
      </c>
      <c r="FM5">
        <v>3</v>
      </c>
      <c r="FN5">
        <v>4.8000000000000001E-2</v>
      </c>
      <c r="FO5">
        <v>0.16600000000000001</v>
      </c>
      <c r="FP5">
        <v>0.182</v>
      </c>
      <c r="FQ5">
        <v>0.34699999999999998</v>
      </c>
      <c r="FR5">
        <v>0.30199999999999999</v>
      </c>
      <c r="FS5">
        <v>9.2999999999999999E-2</v>
      </c>
      <c r="FU5">
        <v>0.16800000000000001</v>
      </c>
      <c r="FV5">
        <v>0.16800000000000001</v>
      </c>
      <c r="FW5">
        <v>0.222</v>
      </c>
      <c r="FX5">
        <v>0.13100000000000001</v>
      </c>
      <c r="FY5">
        <v>0.10100000000000001</v>
      </c>
      <c r="FZ5">
        <v>0.11799999999999999</v>
      </c>
      <c r="GA5">
        <v>0.29899999999999999</v>
      </c>
      <c r="GB5">
        <v>0.83199999999999996</v>
      </c>
      <c r="GC5">
        <v>7.0999999999999994E-2</v>
      </c>
      <c r="GD5">
        <v>0.34799999999999998</v>
      </c>
      <c r="GE5">
        <v>0.20200000000000001</v>
      </c>
      <c r="GF5">
        <v>0</v>
      </c>
      <c r="GG5">
        <v>3.7999999999999999E-2</v>
      </c>
      <c r="GK5">
        <v>0</v>
      </c>
    </row>
    <row r="6" spans="1:205" x14ac:dyDescent="0.3">
      <c r="A6">
        <v>746778</v>
      </c>
      <c r="B6" t="s">
        <v>220</v>
      </c>
      <c r="D6" t="s">
        <v>217</v>
      </c>
      <c r="E6" s="8">
        <v>100</v>
      </c>
      <c r="F6" s="9">
        <f t="shared" si="0"/>
        <v>7.6923076923076927E-2</v>
      </c>
      <c r="G6">
        <v>89.1</v>
      </c>
      <c r="J6">
        <v>50</v>
      </c>
      <c r="K6">
        <v>209</v>
      </c>
      <c r="L6">
        <v>0.53</v>
      </c>
      <c r="M6">
        <v>3.36</v>
      </c>
      <c r="N6">
        <v>1.64</v>
      </c>
      <c r="O6">
        <v>1.9</v>
      </c>
      <c r="P6">
        <v>0.75</v>
      </c>
      <c r="Q6">
        <v>4.9000000000000004</v>
      </c>
      <c r="S6">
        <v>4.8899999999999997</v>
      </c>
      <c r="T6">
        <v>0</v>
      </c>
      <c r="U6">
        <v>0</v>
      </c>
      <c r="V6">
        <v>0</v>
      </c>
      <c r="W6">
        <v>4.8899999999999997</v>
      </c>
      <c r="X6">
        <v>0</v>
      </c>
      <c r="Y6">
        <v>0</v>
      </c>
      <c r="Z6">
        <v>126</v>
      </c>
      <c r="AA6">
        <v>0</v>
      </c>
      <c r="AB6">
        <v>12</v>
      </c>
      <c r="AC6">
        <v>103</v>
      </c>
      <c r="AD6">
        <v>159</v>
      </c>
      <c r="AE6">
        <v>39</v>
      </c>
      <c r="AF6">
        <v>0.43</v>
      </c>
      <c r="AG6">
        <v>1E-3</v>
      </c>
      <c r="AH6">
        <v>1E-3</v>
      </c>
      <c r="AI6">
        <v>39.6</v>
      </c>
      <c r="AJ6">
        <v>1.8</v>
      </c>
      <c r="AM6">
        <v>5.8999999999999997E-2</v>
      </c>
      <c r="AN6">
        <v>0.13700000000000001</v>
      </c>
      <c r="AO6">
        <v>0.112</v>
      </c>
      <c r="AP6">
        <v>0.39</v>
      </c>
      <c r="AQ6">
        <v>6.0999999999999999E-2</v>
      </c>
      <c r="AS6">
        <v>2</v>
      </c>
      <c r="AW6">
        <v>18.2</v>
      </c>
      <c r="AX6">
        <v>3.1</v>
      </c>
      <c r="AY6">
        <v>1.1000000000000001</v>
      </c>
      <c r="AZ6">
        <v>1.9</v>
      </c>
      <c r="BA6">
        <v>11</v>
      </c>
      <c r="BB6">
        <v>1.2</v>
      </c>
      <c r="BC6">
        <v>0.7</v>
      </c>
      <c r="BD6">
        <v>0.55000000000000004</v>
      </c>
      <c r="BF6">
        <v>83</v>
      </c>
      <c r="BG6">
        <v>83</v>
      </c>
      <c r="BH6">
        <v>3</v>
      </c>
      <c r="BI6">
        <v>1</v>
      </c>
      <c r="BJ6">
        <v>2</v>
      </c>
      <c r="BK6">
        <v>0</v>
      </c>
      <c r="BM6">
        <v>0</v>
      </c>
      <c r="BN6">
        <v>0</v>
      </c>
      <c r="BP6">
        <v>0</v>
      </c>
      <c r="BQ6">
        <v>0</v>
      </c>
      <c r="BR6">
        <v>0</v>
      </c>
      <c r="BT6">
        <v>0</v>
      </c>
      <c r="BU6">
        <v>0</v>
      </c>
      <c r="BV6">
        <v>0</v>
      </c>
      <c r="BW6">
        <v>0.03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45.2</v>
      </c>
      <c r="CG6">
        <v>1.1299999999999999</v>
      </c>
      <c r="CH6">
        <v>1.1299999999999999</v>
      </c>
      <c r="CI6">
        <v>0</v>
      </c>
      <c r="CM6">
        <v>1.1100000000000001</v>
      </c>
      <c r="CN6">
        <v>4.1000000000000002E-2</v>
      </c>
      <c r="CO6">
        <v>0</v>
      </c>
      <c r="CP6">
        <v>3.2000000000000001E-2</v>
      </c>
      <c r="CQ6">
        <v>0</v>
      </c>
      <c r="CR6">
        <v>2.1000000000000001E-2</v>
      </c>
      <c r="CS6">
        <v>0</v>
      </c>
      <c r="CT6">
        <v>4.9000000000000002E-2</v>
      </c>
      <c r="CU6">
        <v>0</v>
      </c>
      <c r="CV6">
        <v>5.8000000000000003E-2</v>
      </c>
      <c r="CX6">
        <v>0.18099999999999999</v>
      </c>
      <c r="CY6">
        <v>1.9E-2</v>
      </c>
      <c r="CZ6">
        <v>0.51200000000000001</v>
      </c>
      <c r="DA6">
        <v>1.0999999999999999E-2</v>
      </c>
      <c r="DB6">
        <v>0.184</v>
      </c>
      <c r="DC6">
        <v>2E-3</v>
      </c>
      <c r="DD6">
        <v>0</v>
      </c>
      <c r="DE6">
        <v>1E-3</v>
      </c>
      <c r="DF6">
        <v>0</v>
      </c>
      <c r="DG6">
        <v>0</v>
      </c>
      <c r="DH6">
        <v>0.4</v>
      </c>
      <c r="DI6">
        <v>1E-3</v>
      </c>
      <c r="DK6">
        <v>1.4E-2</v>
      </c>
      <c r="DL6">
        <v>0</v>
      </c>
      <c r="DN6">
        <v>2.4E-2</v>
      </c>
      <c r="DO6">
        <v>3.0000000000000001E-3</v>
      </c>
      <c r="DP6">
        <v>3.0000000000000001E-3</v>
      </c>
      <c r="DR6">
        <v>0.35799999999999998</v>
      </c>
      <c r="DT6">
        <v>2E-3</v>
      </c>
      <c r="DV6">
        <v>0</v>
      </c>
      <c r="DW6">
        <v>0</v>
      </c>
      <c r="DX6">
        <v>0</v>
      </c>
      <c r="DY6">
        <v>0</v>
      </c>
      <c r="DZ6">
        <v>5.8000000000000003E-2</v>
      </c>
      <c r="EB6">
        <v>5.1999999999999998E-2</v>
      </c>
      <c r="EC6">
        <v>4.4999999999999998E-2</v>
      </c>
      <c r="ED6">
        <v>7.0000000000000001E-3</v>
      </c>
      <c r="EF6">
        <v>7.0000000000000001E-3</v>
      </c>
      <c r="EG6">
        <v>7.0000000000000001E-3</v>
      </c>
      <c r="EH6">
        <v>0</v>
      </c>
      <c r="EI6">
        <v>0</v>
      </c>
      <c r="EJ6">
        <v>0</v>
      </c>
      <c r="EK6">
        <v>0</v>
      </c>
      <c r="EL6">
        <v>2E-3</v>
      </c>
      <c r="EM6">
        <v>0</v>
      </c>
      <c r="EN6">
        <v>2E-3</v>
      </c>
      <c r="EO6">
        <v>0</v>
      </c>
      <c r="EP6">
        <v>0</v>
      </c>
      <c r="EQ6">
        <v>3.0000000000000001E-3</v>
      </c>
      <c r="ER6">
        <v>3.0000000000000001E-3</v>
      </c>
      <c r="ES6">
        <v>0</v>
      </c>
      <c r="ET6">
        <v>0</v>
      </c>
      <c r="EU6">
        <v>0</v>
      </c>
      <c r="EV6">
        <v>1E-3</v>
      </c>
      <c r="EW6">
        <v>0</v>
      </c>
      <c r="EX6">
        <v>1E-3</v>
      </c>
      <c r="EY6">
        <v>0</v>
      </c>
      <c r="EZ6">
        <v>0</v>
      </c>
      <c r="FA6">
        <v>7.0000000000000007E-2</v>
      </c>
      <c r="FB6">
        <v>0.06</v>
      </c>
      <c r="FC6">
        <v>3.0000000000000001E-3</v>
      </c>
      <c r="FD6">
        <v>5.0000000000000001E-3</v>
      </c>
      <c r="FE6">
        <v>5.1999999999999998E-2</v>
      </c>
      <c r="FF6">
        <v>0</v>
      </c>
      <c r="FG6">
        <v>0</v>
      </c>
      <c r="FH6">
        <v>8.9999999999999993E-3</v>
      </c>
      <c r="FI6">
        <v>8.9999999999999993E-3</v>
      </c>
      <c r="FK6">
        <v>0</v>
      </c>
      <c r="FL6">
        <v>0</v>
      </c>
      <c r="FM6">
        <v>8</v>
      </c>
      <c r="FN6">
        <v>4.2000000000000003E-2</v>
      </c>
      <c r="FO6">
        <v>0.16200000000000001</v>
      </c>
      <c r="FP6">
        <v>0.17299999999999999</v>
      </c>
      <c r="FQ6">
        <v>0.33500000000000002</v>
      </c>
      <c r="FR6">
        <v>0.29299999999999998</v>
      </c>
      <c r="FS6">
        <v>8.8999999999999996E-2</v>
      </c>
      <c r="FU6">
        <v>0.16300000000000001</v>
      </c>
      <c r="FV6">
        <v>0.16500000000000001</v>
      </c>
      <c r="FW6">
        <v>0.21299999999999999</v>
      </c>
      <c r="FX6">
        <v>0.125</v>
      </c>
      <c r="FY6">
        <v>9.9000000000000005E-2</v>
      </c>
      <c r="FZ6">
        <v>0.113</v>
      </c>
      <c r="GA6">
        <v>0.29099999999999998</v>
      </c>
      <c r="GB6">
        <v>0.80100000000000005</v>
      </c>
      <c r="GC6">
        <v>6.8000000000000005E-2</v>
      </c>
      <c r="GD6">
        <v>0.33200000000000002</v>
      </c>
      <c r="GE6">
        <v>0.19700000000000001</v>
      </c>
      <c r="GF6">
        <v>0</v>
      </c>
      <c r="GG6">
        <v>3.5000000000000003E-2</v>
      </c>
      <c r="GK6">
        <v>0</v>
      </c>
    </row>
    <row r="7" spans="1:205" x14ac:dyDescent="0.3">
      <c r="A7">
        <v>746782</v>
      </c>
      <c r="B7" t="s">
        <v>221</v>
      </c>
      <c r="D7" t="s">
        <v>217</v>
      </c>
      <c r="E7" s="8">
        <v>100</v>
      </c>
      <c r="F7" s="9">
        <f t="shared" si="0"/>
        <v>7.6923076923076927E-2</v>
      </c>
      <c r="G7">
        <v>88.1</v>
      </c>
      <c r="J7">
        <v>60</v>
      </c>
      <c r="K7">
        <v>251</v>
      </c>
      <c r="L7">
        <v>0.51</v>
      </c>
      <c r="M7">
        <v>3.27</v>
      </c>
      <c r="N7">
        <v>2.77</v>
      </c>
      <c r="O7">
        <v>3.2</v>
      </c>
      <c r="P7">
        <v>0.8</v>
      </c>
      <c r="Q7">
        <v>4.63</v>
      </c>
      <c r="S7">
        <v>4.8099999999999996</v>
      </c>
      <c r="T7">
        <v>0</v>
      </c>
      <c r="U7">
        <v>0</v>
      </c>
      <c r="V7">
        <v>0</v>
      </c>
      <c r="W7">
        <v>4.8099999999999996</v>
      </c>
      <c r="X7">
        <v>0</v>
      </c>
      <c r="Y7">
        <v>0</v>
      </c>
      <c r="Z7">
        <v>123</v>
      </c>
      <c r="AA7">
        <v>0</v>
      </c>
      <c r="AB7">
        <v>11.9</v>
      </c>
      <c r="AC7">
        <v>101</v>
      </c>
      <c r="AD7">
        <v>150</v>
      </c>
      <c r="AE7">
        <v>38</v>
      </c>
      <c r="AF7">
        <v>0.42</v>
      </c>
      <c r="AG7">
        <v>1E-3</v>
      </c>
      <c r="AH7">
        <v>0</v>
      </c>
      <c r="AI7">
        <v>37.9</v>
      </c>
      <c r="AJ7">
        <v>1.9</v>
      </c>
      <c r="AM7">
        <v>5.6000000000000001E-2</v>
      </c>
      <c r="AN7">
        <v>0.13800000000000001</v>
      </c>
      <c r="AO7">
        <v>0.105</v>
      </c>
      <c r="AP7">
        <v>0.36199999999999999</v>
      </c>
      <c r="AQ7">
        <v>6.0999999999999999E-2</v>
      </c>
      <c r="AS7">
        <v>0</v>
      </c>
      <c r="AW7">
        <v>17.8</v>
      </c>
      <c r="AX7">
        <v>3</v>
      </c>
      <c r="AY7">
        <v>1.3</v>
      </c>
      <c r="AZ7">
        <v>1.8</v>
      </c>
      <c r="BA7">
        <v>10.3</v>
      </c>
      <c r="BB7">
        <v>1.4</v>
      </c>
      <c r="BC7">
        <v>0.7</v>
      </c>
      <c r="BD7">
        <v>0.54</v>
      </c>
      <c r="BF7">
        <v>32</v>
      </c>
      <c r="BG7">
        <v>31</v>
      </c>
      <c r="BH7">
        <v>7</v>
      </c>
      <c r="BI7">
        <v>2</v>
      </c>
      <c r="BJ7">
        <v>5</v>
      </c>
      <c r="BK7">
        <v>0</v>
      </c>
      <c r="BM7">
        <v>0</v>
      </c>
      <c r="BN7">
        <v>0</v>
      </c>
      <c r="BP7">
        <v>0</v>
      </c>
      <c r="BQ7">
        <v>0</v>
      </c>
      <c r="BR7">
        <v>0</v>
      </c>
      <c r="BT7">
        <v>0</v>
      </c>
      <c r="BU7">
        <v>5</v>
      </c>
      <c r="BV7">
        <v>1</v>
      </c>
      <c r="BW7">
        <v>0.05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38.4</v>
      </c>
      <c r="CG7">
        <v>0.96</v>
      </c>
      <c r="CH7">
        <v>0.96</v>
      </c>
      <c r="CI7">
        <v>0</v>
      </c>
      <c r="CM7">
        <v>1.86</v>
      </c>
      <c r="CN7">
        <v>6.7000000000000004E-2</v>
      </c>
      <c r="CO7">
        <v>0</v>
      </c>
      <c r="CP7">
        <v>5.3999999999999999E-2</v>
      </c>
      <c r="CQ7">
        <v>0</v>
      </c>
      <c r="CR7">
        <v>3.4000000000000002E-2</v>
      </c>
      <c r="CS7">
        <v>0</v>
      </c>
      <c r="CT7">
        <v>8.4000000000000005E-2</v>
      </c>
      <c r="CU7">
        <v>0</v>
      </c>
      <c r="CV7">
        <v>9.7000000000000003E-2</v>
      </c>
      <c r="CX7">
        <v>0.30299999999999999</v>
      </c>
      <c r="CY7">
        <v>3.2000000000000001E-2</v>
      </c>
      <c r="CZ7">
        <v>0.85699999999999998</v>
      </c>
      <c r="DA7">
        <v>1.7999999999999999E-2</v>
      </c>
      <c r="DB7">
        <v>0.309</v>
      </c>
      <c r="DC7">
        <v>4.0000000000000001E-3</v>
      </c>
      <c r="DD7">
        <v>0</v>
      </c>
      <c r="DE7">
        <v>2E-3</v>
      </c>
      <c r="DF7">
        <v>0</v>
      </c>
      <c r="DG7">
        <v>1E-3</v>
      </c>
      <c r="DH7">
        <v>0.68799999999999994</v>
      </c>
      <c r="DI7">
        <v>1E-3</v>
      </c>
      <c r="DK7">
        <v>2.4E-2</v>
      </c>
      <c r="DL7">
        <v>0</v>
      </c>
      <c r="DN7">
        <v>3.9E-2</v>
      </c>
      <c r="DO7">
        <v>5.0000000000000001E-3</v>
      </c>
      <c r="DP7">
        <v>5.0000000000000001E-3</v>
      </c>
      <c r="DR7">
        <v>0.61199999999999999</v>
      </c>
      <c r="DT7">
        <v>4.0000000000000001E-3</v>
      </c>
      <c r="DV7">
        <v>0</v>
      </c>
      <c r="DW7">
        <v>0</v>
      </c>
      <c r="DX7">
        <v>0</v>
      </c>
      <c r="DY7">
        <v>0</v>
      </c>
      <c r="DZ7">
        <v>0.108</v>
      </c>
      <c r="EB7">
        <v>9.7000000000000003E-2</v>
      </c>
      <c r="EC7">
        <v>8.4000000000000005E-2</v>
      </c>
      <c r="ED7">
        <v>1.2999999999999999E-2</v>
      </c>
      <c r="EF7">
        <v>1.2999999999999999E-2</v>
      </c>
      <c r="EG7">
        <v>1.2E-2</v>
      </c>
      <c r="EH7">
        <v>1E-3</v>
      </c>
      <c r="EI7">
        <v>0</v>
      </c>
      <c r="EJ7">
        <v>1E-3</v>
      </c>
      <c r="EK7">
        <v>1E-3</v>
      </c>
      <c r="EL7">
        <v>4.0000000000000001E-3</v>
      </c>
      <c r="EM7">
        <v>0</v>
      </c>
      <c r="EN7">
        <v>4.0000000000000001E-3</v>
      </c>
      <c r="EO7">
        <v>0</v>
      </c>
      <c r="EP7">
        <v>0</v>
      </c>
      <c r="EQ7">
        <v>4.0000000000000001E-3</v>
      </c>
      <c r="ER7">
        <v>4.0000000000000001E-3</v>
      </c>
      <c r="ES7">
        <v>1E-3</v>
      </c>
      <c r="ET7">
        <v>1E-3</v>
      </c>
      <c r="EU7">
        <v>0</v>
      </c>
      <c r="EV7">
        <v>2E-3</v>
      </c>
      <c r="EW7">
        <v>1E-3</v>
      </c>
      <c r="EX7">
        <v>2E-3</v>
      </c>
      <c r="EY7">
        <v>0</v>
      </c>
      <c r="EZ7">
        <v>0</v>
      </c>
      <c r="FA7">
        <v>0.112</v>
      </c>
      <c r="FB7">
        <v>9.5000000000000001E-2</v>
      </c>
      <c r="FC7">
        <v>5.0000000000000001E-3</v>
      </c>
      <c r="FD7">
        <v>8.0000000000000002E-3</v>
      </c>
      <c r="FE7">
        <v>8.2000000000000003E-2</v>
      </c>
      <c r="FF7">
        <v>0</v>
      </c>
      <c r="FG7">
        <v>0</v>
      </c>
      <c r="FH7">
        <v>1.7999999999999999E-2</v>
      </c>
      <c r="FI7">
        <v>1.7999999999999999E-2</v>
      </c>
      <c r="FK7">
        <v>0</v>
      </c>
      <c r="FL7">
        <v>0</v>
      </c>
      <c r="FM7">
        <v>12</v>
      </c>
      <c r="FN7">
        <v>4.2999999999999997E-2</v>
      </c>
      <c r="FO7">
        <v>0.154</v>
      </c>
      <c r="FP7">
        <v>0.17299999999999999</v>
      </c>
      <c r="FQ7">
        <v>0.33300000000000002</v>
      </c>
      <c r="FR7">
        <v>0.29799999999999999</v>
      </c>
      <c r="FS7">
        <v>0.09</v>
      </c>
      <c r="FU7">
        <v>0.161</v>
      </c>
      <c r="FV7">
        <v>0.16200000000000001</v>
      </c>
      <c r="FW7">
        <v>0.20699999999999999</v>
      </c>
      <c r="FX7">
        <v>0.127</v>
      </c>
      <c r="FY7">
        <v>9.7000000000000003E-2</v>
      </c>
      <c r="FZ7">
        <v>0.11</v>
      </c>
      <c r="GA7">
        <v>0.27900000000000003</v>
      </c>
      <c r="GB7">
        <v>0.78800000000000003</v>
      </c>
      <c r="GC7">
        <v>6.9000000000000006E-2</v>
      </c>
      <c r="GD7">
        <v>0.33300000000000002</v>
      </c>
      <c r="GE7">
        <v>0.188</v>
      </c>
      <c r="GF7">
        <v>0</v>
      </c>
      <c r="GG7">
        <v>3.7999999999999999E-2</v>
      </c>
      <c r="GK7">
        <v>0</v>
      </c>
    </row>
    <row r="8" spans="1:205" x14ac:dyDescent="0.3">
      <c r="A8">
        <v>2257046</v>
      </c>
      <c r="B8" t="s">
        <v>222</v>
      </c>
      <c r="D8" t="s">
        <v>217</v>
      </c>
      <c r="E8" s="8">
        <v>100</v>
      </c>
      <c r="F8" s="9">
        <f t="shared" si="0"/>
        <v>7.6923076923076927E-2</v>
      </c>
      <c r="G8">
        <v>90.56</v>
      </c>
      <c r="H8">
        <v>48.329799999999999</v>
      </c>
      <c r="J8">
        <v>48.329799999999999</v>
      </c>
      <c r="K8">
        <v>202.21188319999999</v>
      </c>
      <c r="L8">
        <v>0.1275</v>
      </c>
      <c r="M8">
        <v>0.796875</v>
      </c>
      <c r="N8">
        <v>2.7490000000000001</v>
      </c>
      <c r="O8">
        <v>2.7490000000000001</v>
      </c>
      <c r="P8">
        <v>0.79379999999999995</v>
      </c>
      <c r="Q8">
        <v>5.1003249999999998</v>
      </c>
      <c r="R8">
        <v>0</v>
      </c>
      <c r="S8">
        <v>2.3216000000000001</v>
      </c>
      <c r="T8">
        <v>0</v>
      </c>
      <c r="U8">
        <v>0.77059999999999995</v>
      </c>
      <c r="V8">
        <v>0</v>
      </c>
      <c r="W8">
        <v>0</v>
      </c>
      <c r="X8">
        <v>1.5509999999999999</v>
      </c>
      <c r="Y8">
        <v>0</v>
      </c>
      <c r="Z8">
        <v>148.5</v>
      </c>
      <c r="AA8">
        <v>0.26119999999999999</v>
      </c>
      <c r="AB8">
        <v>5.9089999999999998</v>
      </c>
      <c r="AC8">
        <v>89.18</v>
      </c>
      <c r="AD8">
        <v>148.4</v>
      </c>
      <c r="AE8">
        <v>41.98</v>
      </c>
      <c r="AF8">
        <v>9.0620000000000006E-2</v>
      </c>
      <c r="AG8">
        <v>2.7119999999999998E-2</v>
      </c>
      <c r="AH8">
        <v>0.12620000000000001</v>
      </c>
      <c r="AJ8">
        <v>0</v>
      </c>
      <c r="AK8">
        <v>10.09</v>
      </c>
      <c r="AM8">
        <v>0.04</v>
      </c>
      <c r="AN8">
        <v>0.28070000000000001</v>
      </c>
      <c r="AO8">
        <v>9.6250000000000002E-2</v>
      </c>
      <c r="AQ8">
        <v>6.4999999999999997E-3</v>
      </c>
      <c r="AR8">
        <v>1.4059999999999999</v>
      </c>
      <c r="AS8">
        <v>0</v>
      </c>
      <c r="BD8">
        <v>0.50639999999999996</v>
      </c>
      <c r="BG8">
        <v>84.73</v>
      </c>
      <c r="CF8">
        <v>68</v>
      </c>
      <c r="CG8">
        <v>1.7</v>
      </c>
      <c r="CH8">
        <v>7.6920000000000001E-3</v>
      </c>
      <c r="CJ8">
        <v>0.4</v>
      </c>
      <c r="CK8">
        <v>0</v>
      </c>
      <c r="CL8">
        <v>0</v>
      </c>
      <c r="FN8">
        <v>8.7500000000000008E-3</v>
      </c>
      <c r="FO8">
        <v>2.2499999999999999E-2</v>
      </c>
      <c r="FP8">
        <v>2.5000000000000001E-2</v>
      </c>
      <c r="FQ8">
        <v>8.1250000000000003E-2</v>
      </c>
      <c r="FR8">
        <v>6.1249999999999999E-2</v>
      </c>
      <c r="FS8">
        <v>0.01</v>
      </c>
      <c r="FU8">
        <v>7.2499999999999995E-2</v>
      </c>
      <c r="FV8">
        <v>4.1250000000000002E-2</v>
      </c>
      <c r="FW8">
        <v>3.2500000000000001E-2</v>
      </c>
      <c r="FX8">
        <v>8.2500000000000004E-2</v>
      </c>
      <c r="FY8">
        <v>1.7500000000000002E-2</v>
      </c>
      <c r="FZ8">
        <v>3.7499999999999999E-2</v>
      </c>
      <c r="GA8">
        <v>8.2500000000000004E-2</v>
      </c>
      <c r="GB8">
        <v>0.15</v>
      </c>
      <c r="GC8">
        <v>5.6250000000000001E-2</v>
      </c>
      <c r="GD8">
        <v>7.2499999999999995E-2</v>
      </c>
      <c r="GE8">
        <v>5.6250000000000001E-2</v>
      </c>
      <c r="GF8">
        <v>0</v>
      </c>
      <c r="GG8">
        <v>2.5000000000000001E-2</v>
      </c>
      <c r="GK8">
        <v>1.694</v>
      </c>
    </row>
    <row r="9" spans="1:205" x14ac:dyDescent="0.3">
      <c r="A9">
        <v>2257044</v>
      </c>
      <c r="B9" t="s">
        <v>223</v>
      </c>
      <c r="D9" t="s">
        <v>217</v>
      </c>
      <c r="E9" s="8">
        <v>100</v>
      </c>
      <c r="F9" s="9">
        <f t="shared" si="0"/>
        <v>7.6923076923076927E-2</v>
      </c>
      <c r="G9">
        <v>91.52</v>
      </c>
      <c r="H9">
        <v>40.704999999999998</v>
      </c>
      <c r="J9">
        <v>40.704999999999998</v>
      </c>
      <c r="K9">
        <v>170.30972</v>
      </c>
      <c r="L9">
        <v>0.44429999999999997</v>
      </c>
      <c r="M9">
        <v>2.776875</v>
      </c>
      <c r="N9">
        <v>1.9570000000000001</v>
      </c>
      <c r="O9">
        <v>1.9570000000000001</v>
      </c>
      <c r="P9">
        <v>0.75</v>
      </c>
      <c r="Q9">
        <v>2.9961250000000001</v>
      </c>
      <c r="R9">
        <v>0</v>
      </c>
      <c r="T9">
        <v>2.577</v>
      </c>
      <c r="U9">
        <v>0</v>
      </c>
      <c r="V9">
        <v>0</v>
      </c>
      <c r="W9">
        <v>0</v>
      </c>
      <c r="X9">
        <v>0</v>
      </c>
      <c r="Y9">
        <v>0</v>
      </c>
      <c r="Z9">
        <v>154.80000000000001</v>
      </c>
      <c r="AA9">
        <v>0.36659999999999998</v>
      </c>
      <c r="AB9">
        <v>17.46</v>
      </c>
      <c r="AC9">
        <v>45.96</v>
      </c>
      <c r="AD9">
        <v>117.9</v>
      </c>
      <c r="AE9">
        <v>39.44</v>
      </c>
      <c r="AF9">
        <v>0.2636</v>
      </c>
      <c r="AG9">
        <v>9.5610000000000001E-2</v>
      </c>
      <c r="AH9">
        <v>0.15959999999999999</v>
      </c>
      <c r="AJ9">
        <v>0</v>
      </c>
      <c r="AK9">
        <v>32.29</v>
      </c>
      <c r="AM9">
        <v>4.3569999999999998E-2</v>
      </c>
      <c r="AN9">
        <v>0.33069999999999999</v>
      </c>
      <c r="AO9">
        <v>0.13289999999999999</v>
      </c>
      <c r="AQ9">
        <v>3.6429999999999997E-2</v>
      </c>
      <c r="AR9">
        <v>2.157</v>
      </c>
      <c r="AS9">
        <v>15.81</v>
      </c>
      <c r="BD9">
        <v>1.327</v>
      </c>
      <c r="BG9">
        <v>89.43</v>
      </c>
      <c r="CF9">
        <v>185</v>
      </c>
      <c r="CG9">
        <v>4.63</v>
      </c>
      <c r="CH9">
        <v>2.0140000000000002E-2</v>
      </c>
      <c r="CJ9">
        <v>2.8</v>
      </c>
      <c r="CK9">
        <v>0</v>
      </c>
      <c r="CL9">
        <v>0</v>
      </c>
      <c r="FN9">
        <v>3.4290000000000001E-2</v>
      </c>
      <c r="FO9">
        <v>0.1</v>
      </c>
      <c r="FP9">
        <v>0.1</v>
      </c>
      <c r="FQ9">
        <v>0.2</v>
      </c>
      <c r="FR9">
        <v>0.2</v>
      </c>
      <c r="FS9">
        <v>3.286E-2</v>
      </c>
      <c r="FU9">
        <v>0.15709999999999999</v>
      </c>
      <c r="FV9">
        <v>0.1</v>
      </c>
      <c r="FW9">
        <v>0.1014</v>
      </c>
      <c r="FX9">
        <v>0.2</v>
      </c>
      <c r="FY9">
        <v>0.1</v>
      </c>
      <c r="FZ9">
        <v>0.1</v>
      </c>
      <c r="GA9">
        <v>0.3286</v>
      </c>
      <c r="GB9">
        <v>0.48570000000000002</v>
      </c>
      <c r="GC9">
        <v>0.1</v>
      </c>
      <c r="GD9">
        <v>0.1143</v>
      </c>
      <c r="GE9">
        <v>0.1714</v>
      </c>
      <c r="GF9">
        <v>0</v>
      </c>
      <c r="GG9">
        <v>4.8570000000000002E-2</v>
      </c>
      <c r="GK9">
        <v>4.6100000000000003</v>
      </c>
      <c r="GL9">
        <v>0.13930000000000001</v>
      </c>
      <c r="GM9">
        <v>0.2364</v>
      </c>
      <c r="GN9">
        <v>7.9610000000000003</v>
      </c>
      <c r="GO9">
        <v>14.71</v>
      </c>
      <c r="GP9">
        <v>0.36430000000000001</v>
      </c>
    </row>
    <row r="10" spans="1:205" x14ac:dyDescent="0.3">
      <c r="A10">
        <v>1999630</v>
      </c>
      <c r="B10" t="s">
        <v>224</v>
      </c>
      <c r="D10" t="s">
        <v>217</v>
      </c>
      <c r="E10" s="8">
        <v>100</v>
      </c>
      <c r="F10" s="9">
        <f t="shared" si="0"/>
        <v>7.6923076923076927E-2</v>
      </c>
      <c r="G10">
        <v>92.4</v>
      </c>
      <c r="H10">
        <v>38.484999999999999</v>
      </c>
      <c r="I10">
        <v>38.484999999999999</v>
      </c>
      <c r="J10">
        <v>38.484999999999999</v>
      </c>
      <c r="K10">
        <v>161.02124000000001</v>
      </c>
      <c r="L10">
        <v>0.5675</v>
      </c>
      <c r="M10">
        <v>3.546875</v>
      </c>
      <c r="N10">
        <v>1.8841000000000001</v>
      </c>
      <c r="O10">
        <v>2.125</v>
      </c>
      <c r="P10">
        <v>0.63500000000000001</v>
      </c>
      <c r="Q10">
        <v>1.2931250000000001</v>
      </c>
      <c r="R10">
        <v>0</v>
      </c>
      <c r="S10">
        <v>0.55689999999999995</v>
      </c>
      <c r="T10">
        <v>0.55689999999999995</v>
      </c>
      <c r="U10">
        <v>0</v>
      </c>
      <c r="V10">
        <v>0</v>
      </c>
      <c r="W10">
        <v>0</v>
      </c>
      <c r="X10">
        <v>0</v>
      </c>
      <c r="Y10">
        <v>0</v>
      </c>
      <c r="Z10">
        <v>101</v>
      </c>
      <c r="AA10">
        <v>0.54159999999999997</v>
      </c>
      <c r="AB10">
        <v>21.54</v>
      </c>
      <c r="AC10">
        <v>68.650000000000006</v>
      </c>
      <c r="AD10">
        <v>158.19999999999999</v>
      </c>
      <c r="AE10">
        <v>34.28</v>
      </c>
      <c r="AF10">
        <v>0.31180000000000002</v>
      </c>
      <c r="AG10">
        <v>0.10780000000000001</v>
      </c>
      <c r="AH10">
        <v>0.2077</v>
      </c>
      <c r="AI10">
        <v>0</v>
      </c>
      <c r="AJ10">
        <v>1.9419999999999999</v>
      </c>
      <c r="AK10">
        <v>58.38</v>
      </c>
      <c r="AM10">
        <v>6.3189999999999996E-2</v>
      </c>
      <c r="AN10">
        <v>8.4000000000000005E-2</v>
      </c>
      <c r="AO10">
        <v>0.2356</v>
      </c>
      <c r="AQ10">
        <v>5.525E-2</v>
      </c>
      <c r="AR10">
        <v>3.3380000000000001</v>
      </c>
      <c r="AS10">
        <v>19.690000000000001</v>
      </c>
      <c r="BD10">
        <v>0.3931</v>
      </c>
      <c r="BF10">
        <v>58.2</v>
      </c>
      <c r="BG10">
        <v>58.23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P10">
        <v>0</v>
      </c>
      <c r="BQ10">
        <v>0</v>
      </c>
      <c r="BR10">
        <v>0</v>
      </c>
      <c r="BS10">
        <v>8.2245000000000008</v>
      </c>
      <c r="BT10">
        <v>0.96550000000000002</v>
      </c>
      <c r="BV10">
        <v>7.2590000000000003</v>
      </c>
      <c r="BW10">
        <v>0.15570000000000001</v>
      </c>
      <c r="BY10">
        <v>0</v>
      </c>
      <c r="BZ10">
        <v>1.42</v>
      </c>
      <c r="CA10">
        <v>0.87419999999999998</v>
      </c>
      <c r="CB10">
        <v>0</v>
      </c>
      <c r="CC10">
        <v>0</v>
      </c>
      <c r="CD10">
        <v>0</v>
      </c>
      <c r="CE10">
        <v>0</v>
      </c>
      <c r="CF10">
        <v>27.2</v>
      </c>
      <c r="CG10">
        <v>0.68100000000000005</v>
      </c>
      <c r="CH10">
        <v>0</v>
      </c>
      <c r="CM10">
        <v>0.31380000000000002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X10">
        <v>3.813E-3</v>
      </c>
      <c r="CY10">
        <v>1.688E-3</v>
      </c>
      <c r="CZ10">
        <v>0.21820000000000001</v>
      </c>
      <c r="DA10">
        <v>2E-3</v>
      </c>
      <c r="DB10">
        <v>7.281E-2</v>
      </c>
      <c r="DC10">
        <v>5.6249999999999998E-3</v>
      </c>
      <c r="DD10">
        <v>0</v>
      </c>
      <c r="DE10">
        <v>6.7499999999999999E-3</v>
      </c>
      <c r="DF10">
        <v>0</v>
      </c>
      <c r="DG10">
        <v>2.313E-3</v>
      </c>
      <c r="DH10">
        <v>0.4163</v>
      </c>
      <c r="DI10">
        <v>0</v>
      </c>
      <c r="DK10">
        <v>0</v>
      </c>
      <c r="DL10">
        <v>0</v>
      </c>
      <c r="DN10">
        <v>1.9380000000000001E-3</v>
      </c>
      <c r="DO10">
        <v>1E-3</v>
      </c>
      <c r="DP10">
        <v>1E-3</v>
      </c>
      <c r="DR10">
        <v>0.40920000000000001</v>
      </c>
      <c r="DT10">
        <v>4.8129999999999996E-3</v>
      </c>
      <c r="DV10">
        <v>0</v>
      </c>
      <c r="DW10">
        <v>0</v>
      </c>
      <c r="DX10">
        <v>0</v>
      </c>
      <c r="DY10">
        <v>0</v>
      </c>
      <c r="DZ10">
        <v>1.1539999999999999</v>
      </c>
      <c r="EB10">
        <v>0.98780000000000001</v>
      </c>
      <c r="EC10">
        <v>0.98780000000000001</v>
      </c>
      <c r="ED10">
        <v>0</v>
      </c>
      <c r="EF10">
        <v>0.16639999999999999</v>
      </c>
      <c r="EG10">
        <v>0.16639999999999999</v>
      </c>
      <c r="EH10">
        <v>0</v>
      </c>
      <c r="EI10">
        <v>0</v>
      </c>
      <c r="EJ10">
        <v>5.6249999999999996E-4</v>
      </c>
      <c r="EK10">
        <v>5.6249999999999996E-4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8.1249999999999996E-4</v>
      </c>
      <c r="FC10">
        <v>0</v>
      </c>
      <c r="FD10">
        <v>0</v>
      </c>
      <c r="FE10">
        <v>8.1249999999999996E-4</v>
      </c>
      <c r="FF10">
        <v>0</v>
      </c>
      <c r="FG10">
        <v>0</v>
      </c>
      <c r="FI10">
        <v>1.1249999999999999E-3</v>
      </c>
      <c r="FJ10">
        <v>1.1249999999999999E-3</v>
      </c>
      <c r="FK10">
        <v>0</v>
      </c>
      <c r="FL10">
        <v>0</v>
      </c>
      <c r="FN10">
        <v>4.6249999999999999E-2</v>
      </c>
      <c r="FO10">
        <v>0.12809999999999999</v>
      </c>
      <c r="FP10">
        <v>0.14499999999999999</v>
      </c>
      <c r="FQ10">
        <v>0.24940000000000001</v>
      </c>
      <c r="FR10">
        <v>0.22059999999999999</v>
      </c>
      <c r="FS10">
        <v>4.6249999999999999E-2</v>
      </c>
      <c r="FU10">
        <v>0.17499999999999999</v>
      </c>
      <c r="FV10">
        <v>0.12379999999999999</v>
      </c>
      <c r="FW10">
        <v>0.1419</v>
      </c>
      <c r="FX10">
        <v>0.26879999999999998</v>
      </c>
      <c r="FY10">
        <v>9.7500000000000003E-2</v>
      </c>
      <c r="FZ10">
        <v>0.1394</v>
      </c>
      <c r="GA10">
        <v>0.39629999999999999</v>
      </c>
      <c r="GB10">
        <v>0.61939999999999995</v>
      </c>
      <c r="GC10">
        <v>0.14130000000000001</v>
      </c>
      <c r="GD10">
        <v>0.13700000000000001</v>
      </c>
      <c r="GE10">
        <v>0.16750000000000001</v>
      </c>
      <c r="GF10">
        <v>0</v>
      </c>
      <c r="GG10">
        <v>5.7500000000000002E-2</v>
      </c>
      <c r="GK10">
        <v>0.68140000000000001</v>
      </c>
      <c r="GL10">
        <v>0.45689999999999997</v>
      </c>
      <c r="GM10">
        <v>0.38009999999999999</v>
      </c>
      <c r="GN10">
        <v>12.91</v>
      </c>
      <c r="GO10">
        <v>18.809999999999999</v>
      </c>
      <c r="GP10">
        <v>1.365</v>
      </c>
      <c r="GQ10">
        <v>6.6530000000000006E-2</v>
      </c>
      <c r="GR10">
        <v>0.43440000000000001</v>
      </c>
      <c r="GS10">
        <v>2.6249999999999999E-2</v>
      </c>
    </row>
    <row r="11" spans="1:205" x14ac:dyDescent="0.3">
      <c r="A11">
        <v>2259794</v>
      </c>
      <c r="B11" t="s">
        <v>225</v>
      </c>
      <c r="D11" t="s">
        <v>217</v>
      </c>
      <c r="E11" s="8">
        <v>100</v>
      </c>
      <c r="F11" s="9">
        <f t="shared" si="0"/>
        <v>7.6923076923076927E-2</v>
      </c>
      <c r="G11">
        <v>81.319999999999993</v>
      </c>
      <c r="H11">
        <v>93.677599999999998</v>
      </c>
      <c r="I11">
        <v>94.507135000000005</v>
      </c>
      <c r="J11">
        <v>93.677599999999984</v>
      </c>
      <c r="K11">
        <v>391.94707840000001</v>
      </c>
      <c r="L11">
        <v>1.3759999999999999</v>
      </c>
      <c r="M11">
        <v>8.7788799999999991</v>
      </c>
      <c r="N11">
        <v>4.3940000000000001</v>
      </c>
      <c r="O11">
        <v>4.3940000000000001</v>
      </c>
      <c r="P11">
        <v>0.75309999999999999</v>
      </c>
      <c r="Q11">
        <v>4.7540199999999997</v>
      </c>
      <c r="S11">
        <v>3.2473999999999998</v>
      </c>
      <c r="T11">
        <v>0</v>
      </c>
      <c r="U11">
        <v>0</v>
      </c>
      <c r="V11">
        <v>0</v>
      </c>
      <c r="W11">
        <v>2.6080000000000001</v>
      </c>
      <c r="X11">
        <v>0</v>
      </c>
      <c r="Y11">
        <v>0.63939999999999997</v>
      </c>
      <c r="Z11">
        <v>110.9</v>
      </c>
      <c r="AA11">
        <v>0</v>
      </c>
      <c r="AB11">
        <v>10.7</v>
      </c>
      <c r="AC11">
        <v>125.9</v>
      </c>
      <c r="AD11">
        <v>146.9</v>
      </c>
      <c r="AE11">
        <v>33.76</v>
      </c>
      <c r="AF11">
        <v>0.47299999999999998</v>
      </c>
      <c r="AG11">
        <v>9.5130000000000006E-3</v>
      </c>
      <c r="AH11">
        <v>5.738E-3</v>
      </c>
      <c r="AI11">
        <v>42.28</v>
      </c>
      <c r="AM11">
        <v>5.525E-2</v>
      </c>
      <c r="AN11">
        <v>0.24440000000000001</v>
      </c>
      <c r="AO11">
        <v>0.22689999999999999</v>
      </c>
      <c r="AQ11">
        <v>4.394E-2</v>
      </c>
      <c r="AR11">
        <v>0</v>
      </c>
      <c r="BG11">
        <v>38.130000000000003</v>
      </c>
      <c r="CF11">
        <v>0</v>
      </c>
      <c r="CG11">
        <v>0</v>
      </c>
      <c r="CH11">
        <v>0</v>
      </c>
      <c r="CJ11">
        <v>0.2</v>
      </c>
      <c r="CK11">
        <v>0</v>
      </c>
      <c r="CL11">
        <v>1</v>
      </c>
      <c r="CM11">
        <v>2.3929999999999998</v>
      </c>
      <c r="CV11">
        <v>0.12959999999999999</v>
      </c>
      <c r="CX11">
        <v>0.41839999999999999</v>
      </c>
      <c r="CZ11">
        <v>1.0840000000000001</v>
      </c>
      <c r="DB11">
        <v>0.33760000000000001</v>
      </c>
      <c r="DH11">
        <v>0.95750000000000002</v>
      </c>
      <c r="DR11">
        <v>0.83589999999999998</v>
      </c>
      <c r="EC11">
        <v>0.1055</v>
      </c>
      <c r="FM11">
        <v>16.84</v>
      </c>
      <c r="GK11">
        <v>0</v>
      </c>
    </row>
    <row r="12" spans="1:205" x14ac:dyDescent="0.3">
      <c r="A12">
        <v>2259793</v>
      </c>
      <c r="B12" t="s">
        <v>226</v>
      </c>
      <c r="D12" t="s">
        <v>217</v>
      </c>
      <c r="E12" s="8">
        <v>100</v>
      </c>
      <c r="F12" s="9">
        <f t="shared" si="0"/>
        <v>7.6923076923076927E-2</v>
      </c>
      <c r="G12">
        <v>85.27</v>
      </c>
      <c r="H12">
        <v>77.952399999999997</v>
      </c>
      <c r="I12">
        <v>77.318545799999995</v>
      </c>
      <c r="J12">
        <v>77.952400000000011</v>
      </c>
      <c r="K12">
        <v>326.15284159999999</v>
      </c>
      <c r="L12">
        <v>0.59940000000000004</v>
      </c>
      <c r="M12">
        <v>3.8241719999999999</v>
      </c>
      <c r="N12">
        <v>4.484</v>
      </c>
      <c r="O12">
        <v>4.484</v>
      </c>
      <c r="P12">
        <v>0.84689999999999999</v>
      </c>
      <c r="Q12">
        <v>5.5749279999999999</v>
      </c>
      <c r="S12">
        <v>4.0936000000000003</v>
      </c>
      <c r="T12">
        <v>0</v>
      </c>
      <c r="U12">
        <v>0</v>
      </c>
      <c r="V12">
        <v>0</v>
      </c>
      <c r="W12">
        <v>3.3479999999999999</v>
      </c>
      <c r="X12">
        <v>0</v>
      </c>
      <c r="Y12">
        <v>0.74560000000000004</v>
      </c>
      <c r="Z12">
        <v>126.8</v>
      </c>
      <c r="AA12">
        <v>0</v>
      </c>
      <c r="AB12">
        <v>11.45</v>
      </c>
      <c r="AC12">
        <v>101.2</v>
      </c>
      <c r="AD12">
        <v>164.1</v>
      </c>
      <c r="AE12">
        <v>41.78</v>
      </c>
      <c r="AF12">
        <v>0.42830000000000001</v>
      </c>
      <c r="AG12">
        <v>3.1749999999999999E-3</v>
      </c>
      <c r="AH12">
        <v>1.539E-3</v>
      </c>
      <c r="AI12">
        <v>32.33</v>
      </c>
      <c r="AM12">
        <v>5.5190000000000003E-2</v>
      </c>
      <c r="AN12">
        <v>0.24310000000000001</v>
      </c>
      <c r="AO12">
        <v>0.13500000000000001</v>
      </c>
      <c r="AQ12">
        <v>4.5060000000000003E-2</v>
      </c>
      <c r="AR12">
        <v>0</v>
      </c>
      <c r="BG12">
        <v>48.19</v>
      </c>
      <c r="CF12">
        <v>31.1</v>
      </c>
      <c r="CG12">
        <v>0.77800000000000002</v>
      </c>
      <c r="CH12">
        <v>0.77829999999999999</v>
      </c>
      <c r="CJ12">
        <v>0.2</v>
      </c>
      <c r="CK12">
        <v>0</v>
      </c>
      <c r="CL12">
        <v>0.9</v>
      </c>
      <c r="CM12">
        <v>2.3159999999999998</v>
      </c>
      <c r="CV12">
        <v>0.1149</v>
      </c>
      <c r="CX12">
        <v>0.38150000000000001</v>
      </c>
      <c r="CZ12">
        <v>1.0660000000000001</v>
      </c>
      <c r="DB12">
        <v>0.37159999999999999</v>
      </c>
      <c r="DH12">
        <v>0.87380000000000002</v>
      </c>
      <c r="DR12">
        <v>0.76549999999999996</v>
      </c>
      <c r="EC12">
        <v>8.2250000000000004E-2</v>
      </c>
      <c r="FM12">
        <v>14.17</v>
      </c>
      <c r="GK12">
        <v>0</v>
      </c>
    </row>
    <row r="13" spans="1:205" x14ac:dyDescent="0.3">
      <c r="A13">
        <v>172296</v>
      </c>
      <c r="B13" t="s">
        <v>227</v>
      </c>
      <c r="D13" t="s">
        <v>228</v>
      </c>
      <c r="E13" s="8">
        <v>100</v>
      </c>
      <c r="F13" s="9">
        <f t="shared" si="0"/>
        <v>7.6923076923076927E-2</v>
      </c>
      <c r="G13">
        <v>82.19</v>
      </c>
      <c r="J13">
        <v>84</v>
      </c>
      <c r="K13">
        <v>352</v>
      </c>
      <c r="M13">
        <v>3.73</v>
      </c>
      <c r="N13">
        <v>3.26</v>
      </c>
      <c r="O13">
        <v>3.26</v>
      </c>
      <c r="P13">
        <v>0.87</v>
      </c>
      <c r="Q13">
        <v>9.94</v>
      </c>
      <c r="R13">
        <v>0.6</v>
      </c>
      <c r="S13">
        <v>5.0999999999999996</v>
      </c>
      <c r="T13">
        <v>0</v>
      </c>
      <c r="U13">
        <v>0</v>
      </c>
      <c r="V13">
        <v>0</v>
      </c>
      <c r="W13">
        <v>4.68</v>
      </c>
      <c r="X13">
        <v>0</v>
      </c>
      <c r="Y13">
        <v>0</v>
      </c>
      <c r="Z13">
        <v>162</v>
      </c>
      <c r="AA13">
        <v>3.49</v>
      </c>
      <c r="AB13">
        <v>18</v>
      </c>
      <c r="AC13">
        <v>110</v>
      </c>
      <c r="AD13">
        <v>151</v>
      </c>
      <c r="AE13">
        <v>43</v>
      </c>
      <c r="AF13">
        <v>0.56999999999999995</v>
      </c>
      <c r="AG13">
        <v>5.7000000000000002E-2</v>
      </c>
      <c r="AH13">
        <v>4.0000000000000001E-3</v>
      </c>
      <c r="AJ13">
        <v>5.6</v>
      </c>
      <c r="AL13">
        <v>0.2</v>
      </c>
      <c r="AM13">
        <v>0.24199999999999999</v>
      </c>
      <c r="AN13">
        <v>0.35299999999999998</v>
      </c>
      <c r="AO13">
        <v>2.7069999999999999</v>
      </c>
      <c r="AP13">
        <v>0.38400000000000001</v>
      </c>
      <c r="AQ13">
        <v>0.06</v>
      </c>
      <c r="AS13">
        <v>7</v>
      </c>
      <c r="AT13">
        <v>0</v>
      </c>
      <c r="AU13">
        <v>7</v>
      </c>
      <c r="AV13">
        <v>7</v>
      </c>
      <c r="AW13">
        <v>16.600000000000001</v>
      </c>
      <c r="BC13">
        <v>0.6</v>
      </c>
      <c r="BD13">
        <v>0.42</v>
      </c>
      <c r="BE13">
        <v>0</v>
      </c>
      <c r="BF13">
        <v>43</v>
      </c>
      <c r="BG13">
        <v>42</v>
      </c>
      <c r="BH13">
        <v>6</v>
      </c>
      <c r="BK13">
        <v>0</v>
      </c>
      <c r="BM13">
        <v>0</v>
      </c>
      <c r="BO13">
        <v>150</v>
      </c>
      <c r="BP13">
        <v>0</v>
      </c>
      <c r="BS13">
        <v>12</v>
      </c>
      <c r="BW13">
        <v>0.43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47</v>
      </c>
      <c r="CG13">
        <v>1.2</v>
      </c>
      <c r="CH13">
        <v>1.2</v>
      </c>
      <c r="CJ13">
        <v>0.4</v>
      </c>
      <c r="CK13">
        <v>0</v>
      </c>
      <c r="CL13">
        <v>0.9</v>
      </c>
      <c r="CM13">
        <v>1.76</v>
      </c>
      <c r="CN13">
        <v>6.9000000000000006E-2</v>
      </c>
      <c r="CP13">
        <v>6.9000000000000006E-2</v>
      </c>
      <c r="CR13">
        <v>6.9000000000000006E-2</v>
      </c>
      <c r="CT13">
        <v>6.9000000000000006E-2</v>
      </c>
      <c r="CV13">
        <v>7.0999999999999994E-2</v>
      </c>
      <c r="CW13">
        <v>0</v>
      </c>
      <c r="CX13">
        <v>0.27500000000000002</v>
      </c>
      <c r="CY13">
        <v>0</v>
      </c>
      <c r="CZ13">
        <v>0.78800000000000003</v>
      </c>
      <c r="DA13">
        <v>0</v>
      </c>
      <c r="DB13">
        <v>0.34799999999999998</v>
      </c>
      <c r="DC13">
        <v>0</v>
      </c>
      <c r="DE13">
        <v>0</v>
      </c>
      <c r="DG13">
        <v>0</v>
      </c>
      <c r="DH13">
        <v>0.80200000000000005</v>
      </c>
      <c r="DJ13">
        <v>0</v>
      </c>
      <c r="DM13">
        <v>7.0000000000000001E-3</v>
      </c>
      <c r="DQ13">
        <v>0.79400000000000004</v>
      </c>
      <c r="DS13">
        <v>0</v>
      </c>
      <c r="DU13">
        <v>0</v>
      </c>
      <c r="DZ13">
        <v>0.309</v>
      </c>
      <c r="EA13">
        <v>0.22900000000000001</v>
      </c>
      <c r="EE13">
        <v>0.08</v>
      </c>
      <c r="EI13">
        <v>0</v>
      </c>
      <c r="EQ13">
        <v>0</v>
      </c>
      <c r="ET13">
        <v>0</v>
      </c>
      <c r="EX13">
        <v>0</v>
      </c>
      <c r="EZ13">
        <v>0</v>
      </c>
      <c r="FM13">
        <v>10</v>
      </c>
      <c r="FN13">
        <v>0.06</v>
      </c>
      <c r="FO13">
        <v>0.157</v>
      </c>
      <c r="FP13">
        <v>0.18</v>
      </c>
      <c r="FQ13">
        <v>0.3</v>
      </c>
      <c r="FR13">
        <v>0.154</v>
      </c>
      <c r="FS13">
        <v>8.3000000000000004E-2</v>
      </c>
      <c r="FT13">
        <v>3.4000000000000002E-2</v>
      </c>
      <c r="FU13">
        <v>0.18099999999999999</v>
      </c>
      <c r="FV13">
        <v>0.16700000000000001</v>
      </c>
      <c r="FW13">
        <v>0.218</v>
      </c>
      <c r="FX13">
        <v>0.109</v>
      </c>
      <c r="FY13">
        <v>8.5999999999999993E-2</v>
      </c>
      <c r="FZ13">
        <v>0.124</v>
      </c>
      <c r="GA13">
        <v>0.26200000000000001</v>
      </c>
      <c r="GB13">
        <v>0.82</v>
      </c>
      <c r="GC13">
        <v>9.9000000000000005E-2</v>
      </c>
      <c r="GD13">
        <v>0.41499999999999998</v>
      </c>
      <c r="GE13">
        <v>0.13200000000000001</v>
      </c>
      <c r="GH13">
        <v>0</v>
      </c>
      <c r="GI13">
        <v>0</v>
      </c>
      <c r="GJ13">
        <v>0</v>
      </c>
    </row>
    <row r="14" spans="1:205" x14ac:dyDescent="0.3">
      <c r="A14">
        <v>173528</v>
      </c>
      <c r="B14" t="s">
        <v>229</v>
      </c>
      <c r="D14" t="s">
        <v>228</v>
      </c>
      <c r="E14" s="8">
        <v>100</v>
      </c>
      <c r="F14" s="9">
        <f t="shared" si="0"/>
        <v>7.6923076923076927E-2</v>
      </c>
      <c r="G14">
        <v>74.5</v>
      </c>
      <c r="J14">
        <v>111</v>
      </c>
      <c r="K14">
        <v>464</v>
      </c>
      <c r="M14">
        <v>8.6999999999999993</v>
      </c>
      <c r="N14">
        <v>3.8</v>
      </c>
      <c r="O14">
        <v>3.8</v>
      </c>
      <c r="P14">
        <v>1.5</v>
      </c>
      <c r="Q14">
        <v>11.6</v>
      </c>
      <c r="Z14">
        <v>218</v>
      </c>
      <c r="AA14">
        <v>12.14</v>
      </c>
      <c r="AB14">
        <v>48</v>
      </c>
      <c r="AC14">
        <v>177</v>
      </c>
      <c r="AD14">
        <v>349</v>
      </c>
      <c r="AE14">
        <v>49</v>
      </c>
      <c r="AF14">
        <v>1.04</v>
      </c>
      <c r="AG14">
        <v>0.217</v>
      </c>
      <c r="AM14">
        <v>0.47</v>
      </c>
      <c r="AN14">
        <v>0.57899999999999996</v>
      </c>
      <c r="AO14">
        <v>5.6680000000000001</v>
      </c>
      <c r="AP14">
        <v>0.46500000000000002</v>
      </c>
      <c r="AQ14">
        <v>0.113</v>
      </c>
      <c r="AS14">
        <v>35</v>
      </c>
      <c r="AT14">
        <v>0</v>
      </c>
      <c r="AU14">
        <v>35</v>
      </c>
      <c r="AV14">
        <v>35</v>
      </c>
      <c r="BD14">
        <v>0.3</v>
      </c>
      <c r="BO14">
        <v>105</v>
      </c>
      <c r="FN14">
        <v>0.129</v>
      </c>
      <c r="FO14">
        <v>0.36399999999999999</v>
      </c>
      <c r="FP14">
        <v>0.45400000000000001</v>
      </c>
      <c r="FQ14">
        <v>0.752</v>
      </c>
      <c r="FR14">
        <v>0.60699999999999998</v>
      </c>
      <c r="FS14">
        <v>0.16900000000000001</v>
      </c>
      <c r="FT14">
        <v>0.14399999999999999</v>
      </c>
      <c r="FU14">
        <v>0.443</v>
      </c>
      <c r="FV14">
        <v>0.36299999999999999</v>
      </c>
      <c r="FW14">
        <v>0.48799999999999999</v>
      </c>
      <c r="FX14">
        <v>0.55800000000000005</v>
      </c>
      <c r="FY14">
        <v>0.24099999999999999</v>
      </c>
      <c r="FZ14">
        <v>0.36399999999999999</v>
      </c>
      <c r="GA14">
        <v>0.93400000000000005</v>
      </c>
      <c r="GB14">
        <v>1.7909999999999999</v>
      </c>
      <c r="GC14">
        <v>0.33300000000000002</v>
      </c>
      <c r="GD14">
        <v>0.60799999999999998</v>
      </c>
      <c r="GE14">
        <v>0.46500000000000002</v>
      </c>
    </row>
    <row r="15" spans="1:205" x14ac:dyDescent="0.3">
      <c r="A15">
        <v>2003591</v>
      </c>
      <c r="B15" t="s">
        <v>230</v>
      </c>
      <c r="D15" t="s">
        <v>217</v>
      </c>
      <c r="E15" s="8">
        <v>100</v>
      </c>
      <c r="F15" s="9">
        <f t="shared" si="0"/>
        <v>7.6923076923076927E-2</v>
      </c>
      <c r="G15">
        <v>88.25</v>
      </c>
      <c r="H15">
        <v>47.225000000000001</v>
      </c>
      <c r="I15">
        <v>45.722999999999999</v>
      </c>
      <c r="J15">
        <v>47.224999999999987</v>
      </c>
      <c r="K15">
        <v>197.58940000000001</v>
      </c>
      <c r="L15">
        <v>0.11749999999999999</v>
      </c>
      <c r="M15">
        <v>0.734375</v>
      </c>
      <c r="N15">
        <v>0.32500000000000001</v>
      </c>
      <c r="O15">
        <v>0.32500000000000001</v>
      </c>
      <c r="P15">
        <v>0.35</v>
      </c>
      <c r="Q15">
        <v>10.340624999999999</v>
      </c>
      <c r="S15">
        <v>8.2759999999999998</v>
      </c>
      <c r="T15">
        <v>4.3860000000000001</v>
      </c>
      <c r="U15">
        <v>1.794</v>
      </c>
      <c r="V15">
        <v>2.0960000000000001</v>
      </c>
      <c r="W15">
        <v>0</v>
      </c>
      <c r="X15">
        <v>0</v>
      </c>
      <c r="Y15">
        <v>0</v>
      </c>
      <c r="Z15">
        <v>12.81</v>
      </c>
      <c r="AA15">
        <v>6.4579999999999999E-2</v>
      </c>
      <c r="AB15">
        <v>10.64</v>
      </c>
      <c r="AC15">
        <v>18.149999999999999</v>
      </c>
      <c r="AD15">
        <v>179.5</v>
      </c>
      <c r="AE15">
        <v>5.2309999999999999</v>
      </c>
      <c r="AF15">
        <v>3.1890000000000002E-2</v>
      </c>
      <c r="AG15">
        <v>3.218E-2</v>
      </c>
      <c r="AH15">
        <v>2.9860000000000001E-2</v>
      </c>
      <c r="AL15">
        <v>26.89</v>
      </c>
      <c r="AM15">
        <v>7.0059999999999997E-2</v>
      </c>
      <c r="AO15">
        <v>4.0309999999999999E-2</v>
      </c>
      <c r="AQ15">
        <v>4.2880000000000001E-2</v>
      </c>
      <c r="AS15">
        <v>29.85</v>
      </c>
      <c r="GT15">
        <v>705.8</v>
      </c>
      <c r="GU15">
        <v>161.30000000000001</v>
      </c>
      <c r="GV15">
        <v>0</v>
      </c>
      <c r="GW15">
        <v>12.34</v>
      </c>
    </row>
    <row r="16" spans="1:205" x14ac:dyDescent="0.3">
      <c r="A16" t="s">
        <v>231</v>
      </c>
      <c r="B16" t="s">
        <v>232</v>
      </c>
      <c r="C16" t="s">
        <v>232</v>
      </c>
      <c r="D16" t="s">
        <v>232</v>
      </c>
      <c r="E16" s="10">
        <f>SUBTOTAL(9,E3:E15)</f>
        <v>1300</v>
      </c>
      <c r="F16" s="11" t="s">
        <v>233</v>
      </c>
      <c r="G16" s="12">
        <f>SUMPRODUCT($F$3:$F$15,$G$3:$G$15)</f>
        <v>85.893076923076904</v>
      </c>
      <c r="H16" s="12">
        <f>SUMPRODUCT($F$3:$F$15,$H$3:$H$15)</f>
        <v>26.644215384615386</v>
      </c>
      <c r="I16" s="12">
        <f>SUMPRODUCT($F$3:$F$15,$I$3:$I$15)</f>
        <v>19.694898523076922</v>
      </c>
      <c r="J16" s="12">
        <f>SUMPRODUCT($F$3:$F$15,$J$3:$J$15)</f>
        <v>68.105753846153846</v>
      </c>
      <c r="K16" s="12">
        <f>SUMPRODUCT($F$3:$F$15,$K$3:$K$15)</f>
        <v>285.01785870769237</v>
      </c>
      <c r="L16" s="12">
        <f>SUMPRODUCT($F$3:$F$15,$L$3:$L$15)</f>
        <v>0.50478461538461539</v>
      </c>
      <c r="M16" s="12">
        <f>SUMPRODUCT($F$3:$F$15,$M$3:$M$15)</f>
        <v>4.1644655384615392</v>
      </c>
      <c r="N16" s="12">
        <f>SUMPRODUCT($F$3:$F$15,$N$3:$N$15)</f>
        <v>2.9602384615384616</v>
      </c>
      <c r="O16" s="12">
        <f>SUMPRODUCT($F$3:$F$15,$O$3:$O$15)</f>
        <v>3.094153846153846</v>
      </c>
      <c r="P16" s="12">
        <f>SUMPRODUCT($F$3:$F$15,$P$3:$P$15)</f>
        <v>0.84452307692307704</v>
      </c>
      <c r="Q16" s="12">
        <f>SUMPRODUCT($F$3:$F$15,$Q$3:$Q$15)</f>
        <v>6.0068575384615386</v>
      </c>
      <c r="R16" s="12">
        <f>SUMPRODUCT($F$3:$F$15,$R$3:$R$15)</f>
        <v>4.6153846153846156E-2</v>
      </c>
      <c r="S16" s="12">
        <f>SUMPRODUCT($F$3:$F$15,$S$3:$S$15)</f>
        <v>3.3311923076923078</v>
      </c>
      <c r="T16" s="12">
        <f>SUMPRODUCT($F$3:$F$15,$T$3:$T$15)</f>
        <v>0.57845384615384621</v>
      </c>
      <c r="U16" s="12">
        <f>SUMPRODUCT($F$3:$F$15,$U$3:$U$15)</f>
        <v>0.19727692307692307</v>
      </c>
      <c r="V16" s="12">
        <f>SUMPRODUCT($F$3:$F$15,$V$3:$V$15)</f>
        <v>0.16123076923076923</v>
      </c>
      <c r="W16" s="12">
        <f>SUMPRODUCT($F$3:$F$15,$W$3:$W$15)</f>
        <v>2.3343076923076924</v>
      </c>
      <c r="X16" s="12">
        <f>SUMPRODUCT($F$3:$F$15,$X$3:$X$15)</f>
        <v>0.11930769230769231</v>
      </c>
      <c r="Y16" s="12">
        <f>SUMPRODUCT($F$3:$F$15,$Y$3:$Y$15)</f>
        <v>0.10653846153846154</v>
      </c>
      <c r="Z16" s="12">
        <f>SUMPRODUCT($F$3:$F$15,$Z$3:$Z$15)</f>
        <v>135.83153846153849</v>
      </c>
      <c r="AA16" s="12">
        <f>SUMPRODUCT($F$3:$F$15,$AA$3:$AA$15)</f>
        <v>1.3049215384615385</v>
      </c>
      <c r="AB16" s="12">
        <f>SUMPRODUCT($F$3:$F$15,$AB$3:$AB$15)</f>
        <v>16.29223076923077</v>
      </c>
      <c r="AC16" s="12">
        <f>SUMPRODUCT($F$3:$F$15,$AC$3:$AC$15)</f>
        <v>100.92615384615387</v>
      </c>
      <c r="AD16" s="12">
        <f>SUMPRODUCT($F$3:$F$15,$AD$3:$AD$15)</f>
        <v>175.38461538461539</v>
      </c>
      <c r="AE16" s="12">
        <f>SUMPRODUCT($F$3:$F$15,$AE$3:$AE$15)</f>
        <v>42.343923076923069</v>
      </c>
      <c r="AF16" s="12">
        <f>SUMPRODUCT($F$3:$F$15,$AF$3:$AF$15)</f>
        <v>0.42301615384615393</v>
      </c>
      <c r="AG16" s="12">
        <f>SUMPRODUCT($F$3:$F$15,$AG$3:$AG$15)</f>
        <v>4.2646000000000003E-2</v>
      </c>
      <c r="AH16" s="12">
        <f>SUMPRODUCT($F$3:$F$15,$AH$3:$AH$15)</f>
        <v>4.1279769230769238E-2</v>
      </c>
      <c r="AI16" s="12">
        <f>SUMPRODUCT($F$3:$F$15,$AI$3:$AI$15)</f>
        <v>17.231538461538463</v>
      </c>
      <c r="AJ16" s="12">
        <f>SUMPRODUCT($F$3:$F$15,$AJ$3:$AJ$15)</f>
        <v>1.6032307692307692</v>
      </c>
      <c r="AK16" s="12">
        <f>SUMPRODUCT($F$3:$F$15,$AK$3:$AK$15)</f>
        <v>7.7507692307692313</v>
      </c>
      <c r="AL16" s="12">
        <f>SUMPRODUCT($F$3:$F$15,$AL$3:$AL$15)</f>
        <v>2.0838461538461539</v>
      </c>
      <c r="AM16" s="12">
        <f>SUMPRODUCT($F$3:$F$15,$AM$3:$AM$15)</f>
        <v>0.10078923076923077</v>
      </c>
      <c r="AN16" s="12">
        <f>SUMPRODUCT($F$3:$F$15,$AN$3:$AN$15)</f>
        <v>0.22983846153846149</v>
      </c>
      <c r="AO16" s="12">
        <f>SUMPRODUCT($F$3:$F$15,$AO$3:$AO$15)</f>
        <v>0.75830461538461535</v>
      </c>
      <c r="AP16" s="12">
        <f>SUMPRODUCT($F$3:$F$15,$AP$3:$AP$15)</f>
        <v>0.2330769230769231</v>
      </c>
      <c r="AQ16" s="12">
        <f>SUMPRODUCT($F$3:$F$15,$AQ$3:$AQ$15)</f>
        <v>5.7081538461538475E-2</v>
      </c>
      <c r="AR16" s="12">
        <f>SUMPRODUCT($F$3:$F$15,$AR$3:$AR$15)</f>
        <v>0.53084615384615397</v>
      </c>
      <c r="AS16" s="12">
        <f>SUMPRODUCT($F$3:$F$15,$AS$3:$AS$15)</f>
        <v>9.0269230769230777</v>
      </c>
      <c r="AT16" s="12">
        <f>SUMPRODUCT($F$3:$F$15,$AT$3:$AT$15)</f>
        <v>0</v>
      </c>
      <c r="AU16" s="12">
        <f>SUMPRODUCT($F$3:$F$15,$AU$3:$AU$15)</f>
        <v>3.2307692307692308</v>
      </c>
      <c r="AV16" s="12">
        <f>SUMPRODUCT($F$3:$F$15,$AV$3:$AV$15)</f>
        <v>3.2307692307692308</v>
      </c>
      <c r="AW16" s="12">
        <f>SUMPRODUCT($F$3:$F$15,$AW$3:$AW$15)</f>
        <v>6.7846153846153845</v>
      </c>
      <c r="AX16" s="12">
        <f>SUMPRODUCT($F$3:$F$15,$AX$3:$AX$15)</f>
        <v>0.93846153846153846</v>
      </c>
      <c r="AY16" s="12">
        <f>SUMPRODUCT($F$3:$F$15,$AY$3:$AY$15)</f>
        <v>0.31538461538461537</v>
      </c>
      <c r="AZ16" s="12">
        <f>SUMPRODUCT($F$3:$F$15,$AZ$3:$AZ$15)</f>
        <v>0.57692307692307687</v>
      </c>
      <c r="BA16" s="12">
        <f>SUMPRODUCT($F$3:$F$15,$BA$3:$BA$15)</f>
        <v>3.361538461538462</v>
      </c>
      <c r="BB16" s="12">
        <f>SUMPRODUCT($F$3:$F$15,$BB$3:$BB$15)</f>
        <v>0.33076923076923082</v>
      </c>
      <c r="BC16" s="12">
        <f>SUMPRODUCT($F$3:$F$15,$BC$3:$BC$15)</f>
        <v>0.29230769230769232</v>
      </c>
      <c r="BD16" s="12">
        <f>SUMPRODUCT($F$3:$F$15,$BD$3:$BD$15)</f>
        <v>0.46203846153846151</v>
      </c>
      <c r="BE16" s="12">
        <f>SUMPRODUCT($F$3:$F$15,$BE$3:$BE$15)</f>
        <v>0</v>
      </c>
      <c r="BF16" s="12">
        <f>SUMPRODUCT($F$3:$F$15,$BF$3:$BF$15)</f>
        <v>35.784615384615385</v>
      </c>
      <c r="BG16" s="12">
        <f>SUMPRODUCT($F$3:$F$15,$BG$3:$BG$15)</f>
        <v>55.670000000000009</v>
      </c>
      <c r="BH16" s="12">
        <f>SUMPRODUCT($F$3:$F$15,$BH$3:$BH$15)</f>
        <v>1.4615384615384617</v>
      </c>
      <c r="BI16" s="12">
        <f>SUMPRODUCT($F$3:$F$15,$BI$3:$BI$15)</f>
        <v>0.30769230769230771</v>
      </c>
      <c r="BJ16" s="12">
        <f>SUMPRODUCT($F$3:$F$15,$BJ$3:$BJ$15)</f>
        <v>0.69230769230769229</v>
      </c>
      <c r="BK16" s="12">
        <f>SUMPRODUCT($F$3:$F$15,$BK$3:$BK$15)</f>
        <v>0</v>
      </c>
      <c r="BL16" s="12">
        <f>SUMPRODUCT($F$3:$F$15,$BL$3:$BL$15)</f>
        <v>0</v>
      </c>
      <c r="BM16" s="12">
        <f>SUMPRODUCT($F$3:$F$15,$BM$3:$BM$15)</f>
        <v>0</v>
      </c>
      <c r="BN16" s="12">
        <f>SUMPRODUCT($F$3:$F$15,$BN$3:$BN$15)</f>
        <v>0</v>
      </c>
      <c r="BO16" s="12">
        <f>SUMPRODUCT($F$3:$F$15,$BO$3:$BO$15)</f>
        <v>19.615384615384613</v>
      </c>
      <c r="BP16" s="12">
        <f>SUMPRODUCT($F$3:$F$15,$BP$3:$BP$15)</f>
        <v>0</v>
      </c>
      <c r="BQ16" s="12">
        <f>SUMPRODUCT($F$3:$F$15,$BQ$3:$BQ$15)</f>
        <v>0</v>
      </c>
      <c r="BR16" s="12">
        <f>SUMPRODUCT($F$3:$F$15,$BR$3:$BR$15)</f>
        <v>0</v>
      </c>
      <c r="BS16" s="12">
        <f>SUMPRODUCT($F$3:$F$15,$BS$3:$BS$15)</f>
        <v>1.5557307692307694</v>
      </c>
      <c r="BT16" s="12">
        <f>SUMPRODUCT($F$3:$F$15,$BT$3:$BT$15)</f>
        <v>7.4269230769230782E-2</v>
      </c>
      <c r="BU16" s="12">
        <f>SUMPRODUCT($F$3:$F$15,$BU$3:$BU$15)</f>
        <v>0.46153846153846156</v>
      </c>
      <c r="BV16" s="12">
        <f>SUMPRODUCT($F$3:$F$15,$BV$3:$BV$15)</f>
        <v>0.63530769230769235</v>
      </c>
      <c r="BW16" s="12">
        <f>SUMPRODUCT($F$3:$F$15,$BW$3:$BW$15)</f>
        <v>7.3515384615384621E-2</v>
      </c>
      <c r="BX16" s="12">
        <f>SUMPRODUCT($F$3:$F$15,$BX$3:$BX$15)</f>
        <v>0</v>
      </c>
      <c r="BY16" s="12">
        <f>SUMPRODUCT($F$3:$F$15,$BY$3:$BY$15)</f>
        <v>0</v>
      </c>
      <c r="BZ16" s="12">
        <f>SUMPRODUCT($F$3:$F$15,$BZ$3:$BZ$15)</f>
        <v>0.10923076923076923</v>
      </c>
      <c r="CA16" s="12">
        <f>SUMPRODUCT($F$3:$F$15,$CA$3:$CA$15)</f>
        <v>6.7246153846153844E-2</v>
      </c>
      <c r="CB16" s="12">
        <f>SUMPRODUCT($F$3:$F$15,$CB$3:$CB$15)</f>
        <v>0</v>
      </c>
      <c r="CC16" s="12">
        <f>SUMPRODUCT($F$3:$F$15,$CC$3:$CC$15)</f>
        <v>0</v>
      </c>
      <c r="CD16" s="12">
        <f>SUMPRODUCT($F$3:$F$15,$CD$3:$CD$15)</f>
        <v>0</v>
      </c>
      <c r="CE16" s="12">
        <f>SUMPRODUCT($F$3:$F$15,$CE$3:$CE$15)</f>
        <v>0</v>
      </c>
      <c r="CF16" s="12">
        <f>SUMPRODUCT($F$3:$F$15,$CF$3:$CF$15)</f>
        <v>40.638461538461542</v>
      </c>
      <c r="CG16" s="12">
        <f>SUMPRODUCT($F$3:$F$15,$CG$3:$CG$15)</f>
        <v>1.0183846153846154</v>
      </c>
      <c r="CH16" s="12">
        <f>SUMPRODUCT($F$3:$F$15,$CH$3:$CH$15)</f>
        <v>0.48124092307692307</v>
      </c>
      <c r="CI16" s="12">
        <f>SUMPRODUCT($F$3:$F$15,$CI$3:$CI$15)</f>
        <v>0</v>
      </c>
      <c r="CJ16" s="12">
        <f>SUMPRODUCT($F$3:$F$15,$CJ$3:$CJ$15)</f>
        <v>0.35384615384615387</v>
      </c>
      <c r="CK16" s="12">
        <f>SUMPRODUCT($F$3:$F$15,$CK$3:$CK$15)</f>
        <v>0</v>
      </c>
      <c r="CL16" s="12">
        <f>SUMPRODUCT($F$3:$F$15,$CL$3:$CL$15)</f>
        <v>0.45384615384615379</v>
      </c>
      <c r="CM16" s="12">
        <f>SUMPRODUCT($F$3:$F$15,$CM$3:$CM$15)</f>
        <v>1.3338307692307694</v>
      </c>
      <c r="CN16" s="12">
        <f>SUMPRODUCT($F$3:$F$15,$CN$3:$CN$15)</f>
        <v>3.4846153846153846E-2</v>
      </c>
      <c r="CO16" s="12">
        <f>SUMPRODUCT($F$3:$F$15,$CO$3:$CO$15)</f>
        <v>0</v>
      </c>
      <c r="CP16" s="12">
        <f>SUMPRODUCT($F$3:$F$15,$CP$3:$CP$15)</f>
        <v>2.8461538461538465E-2</v>
      </c>
      <c r="CQ16" s="12">
        <f>SUMPRODUCT($F$3:$F$15,$CQ$3:$CQ$15)</f>
        <v>0</v>
      </c>
      <c r="CR16" s="12">
        <f>SUMPRODUCT($F$3:$F$15,$CR$3:$CR$15)</f>
        <v>2.0076923076923079E-2</v>
      </c>
      <c r="CS16" s="12">
        <f>SUMPRODUCT($F$3:$F$15,$CS$3:$CS$15)</f>
        <v>0</v>
      </c>
      <c r="CT16" s="12">
        <f>SUMPRODUCT($F$3:$F$15,$CT$3:$CT$15)</f>
        <v>4.1000000000000009E-2</v>
      </c>
      <c r="CU16" s="12">
        <f>SUMPRODUCT($F$3:$F$15,$CU$3:$CU$15)</f>
        <v>0</v>
      </c>
      <c r="CV16" s="12">
        <f>SUMPRODUCT($F$3:$F$15,$CV$3:$CV$15)</f>
        <v>6.6038461538461532E-2</v>
      </c>
      <c r="CW16" s="12">
        <f>SUMPRODUCT($F$3:$F$15,$CW$3:$CW$15)</f>
        <v>0</v>
      </c>
      <c r="CX16" s="12">
        <f>SUMPRODUCT($F$3:$F$15,$CX$3:$CX$15)</f>
        <v>0.21643946153846158</v>
      </c>
      <c r="CY16" s="12">
        <f>SUMPRODUCT($F$3:$F$15,$CY$3:$CY$15)</f>
        <v>1.3822153846153847E-2</v>
      </c>
      <c r="CZ16" s="12">
        <f>SUMPRODUCT($F$3:$F$15,$CZ$3:$CZ$15)</f>
        <v>0.62855384615384624</v>
      </c>
      <c r="DA16" s="12">
        <f>SUMPRODUCT($F$3:$F$15,$DA$3:$DA$15)</f>
        <v>8.076923076923077E-3</v>
      </c>
      <c r="DB16" s="12">
        <f>SUMPRODUCT($F$3:$F$15,$DB$3:$DB$15)</f>
        <v>0.21138538461538461</v>
      </c>
      <c r="DC16" s="12">
        <f>SUMPRODUCT($F$3:$F$15,$DC$3:$DC$15)</f>
        <v>2.0480769230769233E-3</v>
      </c>
      <c r="DD16" s="12">
        <f>SUMPRODUCT($F$3:$F$15,$DD$3:$DD$15)</f>
        <v>0</v>
      </c>
      <c r="DE16" s="12">
        <f>SUMPRODUCT($F$3:$F$15,$DE$3:$DE$15)</f>
        <v>1.2115384615384616E-3</v>
      </c>
      <c r="DF16" s="12">
        <f>SUMPRODUCT($F$3:$F$15,$DF$3:$DF$15)</f>
        <v>0</v>
      </c>
      <c r="DG16" s="12">
        <f>SUMPRODUCT($F$3:$F$15,$DG$3:$DG$15)</f>
        <v>5.6253846153846154E-4</v>
      </c>
      <c r="DH16" s="12">
        <f>SUMPRODUCT($F$3:$F$15,$DH$3:$DH$15)</f>
        <v>0.53266153846153852</v>
      </c>
      <c r="DI16" s="12">
        <f>SUMPRODUCT($F$3:$F$15,$DI$3:$DI$15)</f>
        <v>1.5384615384615385E-4</v>
      </c>
      <c r="DJ16" s="12">
        <f>SUMPRODUCT($F$3:$F$15,$DJ$3:$DJ$15)</f>
        <v>0</v>
      </c>
      <c r="DK16" s="12">
        <f>SUMPRODUCT($F$3:$F$15,$DK$3:$DK$15)</f>
        <v>1.2461538461538463E-2</v>
      </c>
      <c r="DL16" s="12">
        <f>SUMPRODUCT($F$3:$F$15,$DL$3:$DL$15)</f>
        <v>0</v>
      </c>
      <c r="DM16" s="12">
        <f>SUMPRODUCT($F$3:$F$15,$DM$3:$DM$15)</f>
        <v>5.3846153846153855E-4</v>
      </c>
      <c r="DN16" s="12">
        <f>SUMPRODUCT($F$3:$F$15,$DN$3:$DN$15)</f>
        <v>2.0149076923076922E-2</v>
      </c>
      <c r="DO16" s="12">
        <f>SUMPRODUCT($F$3:$F$15,$DO$3:$DO$15)</f>
        <v>2.4615384615384616E-3</v>
      </c>
      <c r="DP16" s="12">
        <f>SUMPRODUCT($F$3:$F$15,$DP$3:$DP$15)</f>
        <v>2.4615384615384616E-3</v>
      </c>
      <c r="DQ16" s="12">
        <f>SUMPRODUCT($F$3:$F$15,$DQ$3:$DQ$15)</f>
        <v>6.1076923076923084E-2</v>
      </c>
      <c r="DR16" s="12">
        <f>SUMPRODUCT($F$3:$F$15,$DR$3:$DR$15)</f>
        <v>0.41573846153846156</v>
      </c>
      <c r="DS16" s="12">
        <f>SUMPRODUCT($F$3:$F$15,$DS$3:$DS$15)</f>
        <v>0</v>
      </c>
      <c r="DT16" s="12">
        <f>SUMPRODUCT($F$3:$F$15,$DT$3:$DT$15)</f>
        <v>2.4471538461538467E-3</v>
      </c>
      <c r="DU16" s="12">
        <f>SUMPRODUCT($F$3:$F$15,$DU$3:$DU$15)</f>
        <v>0</v>
      </c>
      <c r="DV16" s="12">
        <f>SUMPRODUCT($F$3:$F$15,$DV$3:$DV$15)</f>
        <v>1.5384615384615385E-4</v>
      </c>
      <c r="DW16" s="12">
        <f>SUMPRODUCT($F$3:$F$15,$DW$3:$DW$15)</f>
        <v>1.5384615384615385E-4</v>
      </c>
      <c r="DX16" s="12">
        <f>SUMPRODUCT($F$3:$F$15,$DX$3:$DX$15)</f>
        <v>0</v>
      </c>
      <c r="DY16" s="12">
        <f>SUMPRODUCT($F$3:$F$15,$DY$3:$DY$15)</f>
        <v>0</v>
      </c>
      <c r="DZ16" s="12">
        <f>SUMPRODUCT($F$3:$F$15,$DZ$3:$DZ$15)</f>
        <v>0.15815384615384614</v>
      </c>
      <c r="EA16" s="12">
        <f>SUMPRODUCT($F$3:$F$15,$EA$3:$EA$15)</f>
        <v>1.7615384615384616E-2</v>
      </c>
      <c r="EB16" s="12">
        <f>SUMPRODUCT($F$3:$F$15,$EB$3:$EB$15)</f>
        <v>0.11375384615384615</v>
      </c>
      <c r="EC16" s="12">
        <f>SUMPRODUCT($F$3:$F$15,$EC$3:$EC$15)</f>
        <v>0.12265769230769233</v>
      </c>
      <c r="ED16" s="12">
        <f>SUMPRODUCT($F$3:$F$15,$ED$3:$ED$15)</f>
        <v>5.6153846153846158E-3</v>
      </c>
      <c r="EE16" s="12">
        <f>SUMPRODUCT($F$3:$F$15,$EE$3:$EE$15)</f>
        <v>6.1538461538461547E-3</v>
      </c>
      <c r="EF16" s="12">
        <f>SUMPRODUCT($F$3:$F$15,$EF$3:$EF$15)</f>
        <v>1.7876923076923078E-2</v>
      </c>
      <c r="EG16" s="12">
        <f>SUMPRODUCT($F$3:$F$15,$EG$3:$EG$15)</f>
        <v>1.7800000000000003E-2</v>
      </c>
      <c r="EH16" s="12">
        <f>SUMPRODUCT($F$3:$F$15,$EH$3:$EH$15)</f>
        <v>7.6923076923076926E-5</v>
      </c>
      <c r="EI16" s="12">
        <f>SUMPRODUCT($F$3:$F$15,$EI$3:$EI$15)</f>
        <v>7.6923076923076926E-5</v>
      </c>
      <c r="EJ16" s="12">
        <f>SUMPRODUCT($F$3:$F$15,$EJ$3:$EJ$15)</f>
        <v>1.9711538461538461E-4</v>
      </c>
      <c r="EK16" s="12">
        <f>SUMPRODUCT($F$3:$F$15,$EK$3:$EK$15)</f>
        <v>1.9711538461538461E-4</v>
      </c>
      <c r="EL16" s="12">
        <f>SUMPRODUCT($F$3:$F$15,$EL$3:$EL$15)</f>
        <v>1.4615384615384616E-3</v>
      </c>
      <c r="EM16" s="12">
        <f>SUMPRODUCT($F$3:$F$15,$EM$3:$EM$15)</f>
        <v>0</v>
      </c>
      <c r="EN16" s="12">
        <f>SUMPRODUCT($F$3:$F$15,$EN$3:$EN$15)</f>
        <v>1.4615384615384616E-3</v>
      </c>
      <c r="EO16" s="12">
        <f>SUMPRODUCT($F$3:$F$15,$EO$3:$EO$15)</f>
        <v>0</v>
      </c>
      <c r="EP16" s="12">
        <f>SUMPRODUCT($F$3:$F$15,$EP$3:$EP$15)</f>
        <v>0</v>
      </c>
      <c r="EQ16" s="12">
        <f>SUMPRODUCT($F$3:$F$15,$EQ$3:$EQ$15)</f>
        <v>1.7692307692307693E-3</v>
      </c>
      <c r="ER16" s="12">
        <f>SUMPRODUCT($F$3:$F$15,$ER$3:$ER$15)</f>
        <v>1.7692307692307693E-3</v>
      </c>
      <c r="ES16" s="12">
        <f>SUMPRODUCT($F$3:$F$15,$ES$3:$ES$15)</f>
        <v>4.6153846153846158E-4</v>
      </c>
      <c r="ET16" s="12">
        <f>SUMPRODUCT($F$3:$F$15,$ET$3:$ET$15)</f>
        <v>4.6153846153846158E-4</v>
      </c>
      <c r="EU16" s="12">
        <f>SUMPRODUCT($F$3:$F$15,$EU$3:$EU$15)</f>
        <v>0</v>
      </c>
      <c r="EV16" s="12">
        <f>SUMPRODUCT($F$3:$F$15,$EV$3:$EV$15)</f>
        <v>7.6923076923076934E-4</v>
      </c>
      <c r="EW16" s="12">
        <f>SUMPRODUCT($F$3:$F$15,$EW$3:$EW$15)</f>
        <v>3.076923076923077E-4</v>
      </c>
      <c r="EX16" s="12">
        <f>SUMPRODUCT($F$3:$F$15,$EX$3:$EX$15)</f>
        <v>7.6923076923076934E-4</v>
      </c>
      <c r="EY16" s="12">
        <f>SUMPRODUCT($F$3:$F$15,$EY$3:$EY$15)</f>
        <v>0</v>
      </c>
      <c r="EZ16" s="12">
        <f>SUMPRODUCT($F$3:$F$15,$EZ$3:$EZ$15)</f>
        <v>0</v>
      </c>
      <c r="FA16" s="12">
        <f>SUMPRODUCT($F$3:$F$15,$FA$3:$FA$15)</f>
        <v>4.3769230769230769E-2</v>
      </c>
      <c r="FB16" s="12">
        <f>SUMPRODUCT($F$3:$F$15,$FB$3:$FB$15)</f>
        <v>3.6216346153846155E-2</v>
      </c>
      <c r="FC16" s="12">
        <f>SUMPRODUCT($F$3:$F$15,$FC$3:$FC$15)</f>
        <v>6.9230769230769237E-4</v>
      </c>
      <c r="FD16" s="12">
        <f>SUMPRODUCT($F$3:$F$15,$FD$3:$FD$15)</f>
        <v>3.6153846153846154E-3</v>
      </c>
      <c r="FE16" s="12">
        <f>SUMPRODUCT($F$3:$F$15,$FE$3:$FE$15)</f>
        <v>3.1831730769230772E-2</v>
      </c>
      <c r="FF16" s="12">
        <f>SUMPRODUCT($F$3:$F$15,$FF$3:$FF$15)</f>
        <v>0</v>
      </c>
      <c r="FG16" s="12">
        <f>SUMPRODUCT($F$3:$F$15,$FG$3:$FG$15)</f>
        <v>0</v>
      </c>
      <c r="FH16" s="12">
        <f>SUMPRODUCT($F$3:$F$15,$FH$3:$FH$15)</f>
        <v>7.6153846153846159E-3</v>
      </c>
      <c r="FI16" s="12">
        <f>SUMPRODUCT($F$3:$F$15,$FI$3:$FI$15)</f>
        <v>7.7019230769230776E-3</v>
      </c>
      <c r="FJ16" s="12">
        <f>SUMPRODUCT($F$3:$F$15,$FJ$3:$FJ$15)</f>
        <v>8.6538461538461533E-5</v>
      </c>
      <c r="FK16" s="12">
        <f>SUMPRODUCT($F$3:$F$15,$FK$3:$FK$15)</f>
        <v>7.6923076923076926E-5</v>
      </c>
      <c r="FL16" s="12">
        <f>SUMPRODUCT($F$3:$F$15,$FL$3:$FL$15)</f>
        <v>7.6923076923076926E-5</v>
      </c>
      <c r="FM16" s="12">
        <f>SUMPRODUCT($F$3:$F$15,$FM$3:$FM$15)</f>
        <v>9.0007692307692331</v>
      </c>
      <c r="FN16" s="12">
        <f>SUMPRODUCT($F$3:$F$15,$FN$3:$FN$15)</f>
        <v>4.3945384615384615E-2</v>
      </c>
      <c r="FO16" s="12">
        <f>SUMPRODUCT($F$3:$F$15,$FO$3:$FO$15)</f>
        <v>0.13896923076923079</v>
      </c>
      <c r="FP16" s="12">
        <f>SUMPRODUCT($F$3:$F$15,$FP$3:$FP$15)</f>
        <v>0.15161538461538462</v>
      </c>
      <c r="FQ16" s="12">
        <f>SUMPRODUCT($F$3:$F$15,$FQ$3:$FQ$15)</f>
        <v>0.28651153846153854</v>
      </c>
      <c r="FR16" s="12">
        <f>SUMPRODUCT($F$3:$F$15,$FR$3:$FR$15)</f>
        <v>0.23837307692307694</v>
      </c>
      <c r="FS16" s="12">
        <f>SUMPRODUCT($F$3:$F$15,$FS$3:$FS$15)</f>
        <v>6.7316153846153845E-2</v>
      </c>
      <c r="FT16" s="12">
        <f>SUMPRODUCT($F$3:$F$15,$FT$3:$FT$15)</f>
        <v>1.3692307692307691E-2</v>
      </c>
      <c r="FU16" s="12">
        <f>SUMPRODUCT($F$3:$F$15,$FU$3:$FU$15)</f>
        <v>0.15066153846153849</v>
      </c>
      <c r="FV16" s="12">
        <f>SUMPRODUCT($F$3:$F$15,$FV$3:$FV$15)</f>
        <v>0.13131153846153848</v>
      </c>
      <c r="FW16" s="12">
        <f>SUMPRODUCT($F$3:$F$15,$FW$3:$FW$15)</f>
        <v>0.16606153846153848</v>
      </c>
      <c r="FX16" s="12">
        <f>SUMPRODUCT($F$3:$F$15,$FX$3:$FX$15)</f>
        <v>0.1491769230769231</v>
      </c>
      <c r="FY16" s="12">
        <f>SUMPRODUCT($F$3:$F$15,$FY$3:$FY$15)</f>
        <v>8.5615384615384621E-2</v>
      </c>
      <c r="FZ16" s="12">
        <f>SUMPRODUCT($F$3:$F$15,$FZ$3:$FZ$15)</f>
        <v>0.11860769230769232</v>
      </c>
      <c r="GA16" s="12">
        <f>SUMPRODUCT($F$3:$F$15,$GA$3:$GA$15)</f>
        <v>0.29949230769230772</v>
      </c>
      <c r="GB16" s="12">
        <f>SUMPRODUCT($F$3:$F$15,$GB$3:$GB$15)</f>
        <v>0.64585384615384611</v>
      </c>
      <c r="GC16" s="12">
        <f>SUMPRODUCT($F$3:$F$15,$GC$3:$GC$15)</f>
        <v>8.7811538461538469E-2</v>
      </c>
      <c r="GD16" s="12">
        <f>SUMPRODUCT($F$3:$F$15,$GD$3:$GD$15)</f>
        <v>0.25183076923076925</v>
      </c>
      <c r="GE16" s="12">
        <f>SUMPRODUCT($F$3:$F$15,$GE$3:$GE$15)</f>
        <v>0.16447307692307694</v>
      </c>
      <c r="GF16" s="12">
        <f>SUMPRODUCT($F$3:$F$15,$GF$3:$GF$15)</f>
        <v>0</v>
      </c>
      <c r="GG16" s="12">
        <f>SUMPRODUCT($F$3:$F$15,$GG$3:$GG$15)</f>
        <v>3.5236153846153848E-2</v>
      </c>
      <c r="GH16" s="12">
        <f>SUMPRODUCT($F$3:$F$15,$GH$3:$GH$15)</f>
        <v>0</v>
      </c>
      <c r="GI16" s="12">
        <f>SUMPRODUCT($F$3:$F$15,$GI$3:$GI$15)</f>
        <v>0</v>
      </c>
      <c r="GJ16" s="12">
        <f>SUMPRODUCT($F$3:$F$15,$GJ$3:$GJ$15)</f>
        <v>0</v>
      </c>
      <c r="GK16" s="12">
        <f>SUMPRODUCT($F$3:$F$15,$GK$3:$GK$15)</f>
        <v>0.53733846153846165</v>
      </c>
      <c r="GL16" s="12">
        <f>SUMPRODUCT($F$3:$F$15,$GL$3:$GL$15)</f>
        <v>4.5861538461538467E-2</v>
      </c>
      <c r="GM16" s="12">
        <f>SUMPRODUCT($F$3:$F$15,$GM$3:$GM$15)</f>
        <v>4.7423076923076929E-2</v>
      </c>
      <c r="GN16" s="12">
        <f>SUMPRODUCT($F$3:$F$15,$GN$3:$GN$15)</f>
        <v>1.6054615384615385</v>
      </c>
      <c r="GO16" s="12">
        <f>SUMPRODUCT($F$3:$F$15,$GO$3:$GO$15)</f>
        <v>2.5784615384615384</v>
      </c>
      <c r="GP16" s="12">
        <f>SUMPRODUCT($F$3:$F$15,$GP$3:$GP$15)</f>
        <v>0.13302307692307694</v>
      </c>
      <c r="GQ16" s="12">
        <f>SUMPRODUCT($F$3:$F$15,$GQ$3:$GQ$15)</f>
        <v>5.1176923076923083E-3</v>
      </c>
      <c r="GR16" s="12">
        <f>SUMPRODUCT($F$3:$F$15,$GR$3:$GR$15)</f>
        <v>3.3415384615384618E-2</v>
      </c>
      <c r="GS16" s="12">
        <f>SUMPRODUCT($F$3:$F$15,$GS$3:$GS$15)</f>
        <v>2.0192307692307693E-3</v>
      </c>
      <c r="GT16" s="12">
        <f>SUMPRODUCT($F$3:$F$15,$GT$3:$GT$15)</f>
        <v>54.292307692307695</v>
      </c>
      <c r="GU16" s="12">
        <f>SUMPRODUCT($F$3:$F$15,$GU$3:$GU$15)</f>
        <v>12.40769230769231</v>
      </c>
      <c r="GV16" s="12">
        <f>SUMPRODUCT($F$3:$F$15,$GV$3:$GV$15)</f>
        <v>0</v>
      </c>
      <c r="GW16" s="12">
        <f>SUMPRODUCT($F$3:$F$15,$GW$3:$GW$15)</f>
        <v>0.94923076923076932</v>
      </c>
    </row>
  </sheetData>
  <mergeCells count="11">
    <mergeCell ref="Q1:Y1"/>
    <mergeCell ref="Z1:AK1"/>
    <mergeCell ref="CM1:FM1"/>
    <mergeCell ref="GT1:GW1"/>
    <mergeCell ref="A1:F1"/>
    <mergeCell ref="GL1:GP1"/>
    <mergeCell ref="FN1:GJ1"/>
    <mergeCell ref="G1:P1"/>
    <mergeCell ref="AL1:CL1"/>
    <mergeCell ref="GK1"/>
    <mergeCell ref="GQ1:G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0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234</v>
      </c>
      <c r="B1" s="7" t="s">
        <v>231</v>
      </c>
      <c r="C1" s="7" t="s">
        <v>235</v>
      </c>
    </row>
    <row r="2" spans="1:3" x14ac:dyDescent="0.3">
      <c r="A2" t="s">
        <v>236</v>
      </c>
      <c r="B2">
        <f>Ingredientes!G16</f>
        <v>85.893076923076904</v>
      </c>
      <c r="C2" t="s">
        <v>237</v>
      </c>
    </row>
    <row r="3" spans="1:3" x14ac:dyDescent="0.3">
      <c r="A3" t="s">
        <v>238</v>
      </c>
      <c r="B3">
        <f>Ingredientes!H16</f>
        <v>26.644215384615386</v>
      </c>
      <c r="C3" t="s">
        <v>239</v>
      </c>
    </row>
    <row r="4" spans="1:3" x14ac:dyDescent="0.3">
      <c r="A4" t="s">
        <v>240</v>
      </c>
      <c r="B4">
        <f>Ingredientes!I16</f>
        <v>19.694898523076922</v>
      </c>
      <c r="C4" t="s">
        <v>239</v>
      </c>
    </row>
    <row r="5" spans="1:3" x14ac:dyDescent="0.3">
      <c r="A5" t="s">
        <v>241</v>
      </c>
      <c r="B5">
        <f>Ingredientes!J16</f>
        <v>68.105753846153846</v>
      </c>
      <c r="C5" t="s">
        <v>239</v>
      </c>
    </row>
    <row r="6" spans="1:3" x14ac:dyDescent="0.3">
      <c r="A6" t="s">
        <v>241</v>
      </c>
      <c r="B6">
        <f>Ingredientes!K16</f>
        <v>285.01785870769237</v>
      </c>
      <c r="C6" t="s">
        <v>242</v>
      </c>
    </row>
    <row r="7" spans="1:3" x14ac:dyDescent="0.3">
      <c r="A7" t="s">
        <v>243</v>
      </c>
      <c r="B7">
        <f>Ingredientes!L16</f>
        <v>0.50478461538461539</v>
      </c>
      <c r="C7" t="s">
        <v>237</v>
      </c>
    </row>
    <row r="8" spans="1:3" x14ac:dyDescent="0.3">
      <c r="A8" t="s">
        <v>244</v>
      </c>
      <c r="B8">
        <f>Ingredientes!M16</f>
        <v>4.1644655384615392</v>
      </c>
      <c r="C8" t="s">
        <v>237</v>
      </c>
    </row>
    <row r="9" spans="1:3" x14ac:dyDescent="0.3">
      <c r="A9" t="s">
        <v>245</v>
      </c>
      <c r="B9">
        <f>Ingredientes!N16</f>
        <v>2.9602384615384616</v>
      </c>
      <c r="C9" t="s">
        <v>237</v>
      </c>
    </row>
    <row r="10" spans="1:3" x14ac:dyDescent="0.3">
      <c r="A10" t="s">
        <v>246</v>
      </c>
      <c r="B10">
        <f>Ingredientes!O16</f>
        <v>3.094153846153846</v>
      </c>
      <c r="C10" t="s">
        <v>237</v>
      </c>
    </row>
    <row r="11" spans="1:3" x14ac:dyDescent="0.3">
      <c r="A11" t="s">
        <v>247</v>
      </c>
      <c r="B11">
        <f>Ingredientes!P16</f>
        <v>0.84452307692307704</v>
      </c>
      <c r="C11" t="s">
        <v>237</v>
      </c>
    </row>
    <row r="12" spans="1:3" x14ac:dyDescent="0.3">
      <c r="A12" t="s">
        <v>248</v>
      </c>
      <c r="B12">
        <f>Ingredientes!Q16</f>
        <v>6.0068575384615386</v>
      </c>
      <c r="C12" t="s">
        <v>237</v>
      </c>
    </row>
    <row r="13" spans="1:3" x14ac:dyDescent="0.3">
      <c r="A13" t="s">
        <v>249</v>
      </c>
      <c r="B13">
        <f>Ingredientes!R16</f>
        <v>4.6153846153846156E-2</v>
      </c>
      <c r="C13" t="s">
        <v>237</v>
      </c>
    </row>
    <row r="14" spans="1:3" x14ac:dyDescent="0.3">
      <c r="A14" t="s">
        <v>250</v>
      </c>
      <c r="B14">
        <f>Ingredientes!S16</f>
        <v>3.3311923076923078</v>
      </c>
      <c r="C14" t="s">
        <v>237</v>
      </c>
    </row>
    <row r="15" spans="1:3" x14ac:dyDescent="0.3">
      <c r="A15" t="s">
        <v>251</v>
      </c>
      <c r="B15">
        <f>Ingredientes!T16</f>
        <v>0.57845384615384621</v>
      </c>
      <c r="C15" t="s">
        <v>237</v>
      </c>
    </row>
    <row r="16" spans="1:3" x14ac:dyDescent="0.3">
      <c r="A16" t="s">
        <v>252</v>
      </c>
      <c r="B16">
        <f>Ingredientes!U16</f>
        <v>0.19727692307692307</v>
      </c>
      <c r="C16" t="s">
        <v>237</v>
      </c>
    </row>
    <row r="17" spans="1:3" x14ac:dyDescent="0.3">
      <c r="A17" t="s">
        <v>253</v>
      </c>
      <c r="B17">
        <f>Ingredientes!V16</f>
        <v>0.16123076923076923</v>
      </c>
      <c r="C17" t="s">
        <v>237</v>
      </c>
    </row>
    <row r="18" spans="1:3" x14ac:dyDescent="0.3">
      <c r="A18" t="s">
        <v>254</v>
      </c>
      <c r="B18">
        <f>Ingredientes!W16</f>
        <v>2.3343076923076924</v>
      </c>
      <c r="C18" t="s">
        <v>237</v>
      </c>
    </row>
    <row r="19" spans="1:3" x14ac:dyDescent="0.3">
      <c r="A19" t="s">
        <v>255</v>
      </c>
      <c r="B19">
        <f>Ingredientes!X16</f>
        <v>0.11930769230769231</v>
      </c>
      <c r="C19" t="s">
        <v>237</v>
      </c>
    </row>
    <row r="20" spans="1:3" x14ac:dyDescent="0.3">
      <c r="A20" t="s">
        <v>256</v>
      </c>
      <c r="B20">
        <f>Ingredientes!Y16</f>
        <v>0.10653846153846154</v>
      </c>
      <c r="C20" t="s">
        <v>237</v>
      </c>
    </row>
    <row r="21" spans="1:3" x14ac:dyDescent="0.3">
      <c r="A21" t="s">
        <v>257</v>
      </c>
      <c r="B21">
        <f>Ingredientes!Z16</f>
        <v>135.83153846153849</v>
      </c>
      <c r="C21" t="s">
        <v>258</v>
      </c>
    </row>
    <row r="22" spans="1:3" x14ac:dyDescent="0.3">
      <c r="A22" t="s">
        <v>259</v>
      </c>
      <c r="B22">
        <f>Ingredientes!AA16</f>
        <v>1.3049215384615385</v>
      </c>
      <c r="C22" t="s">
        <v>258</v>
      </c>
    </row>
    <row r="23" spans="1:3" x14ac:dyDescent="0.3">
      <c r="A23" t="s">
        <v>260</v>
      </c>
      <c r="B23">
        <f>Ingredientes!AB16</f>
        <v>16.29223076923077</v>
      </c>
      <c r="C23" t="s">
        <v>258</v>
      </c>
    </row>
    <row r="24" spans="1:3" x14ac:dyDescent="0.3">
      <c r="A24" t="s">
        <v>261</v>
      </c>
      <c r="B24">
        <f>Ingredientes!AC16</f>
        <v>100.92615384615387</v>
      </c>
      <c r="C24" t="s">
        <v>258</v>
      </c>
    </row>
    <row r="25" spans="1:3" x14ac:dyDescent="0.3">
      <c r="A25" t="s">
        <v>262</v>
      </c>
      <c r="B25">
        <f>Ingredientes!AD16</f>
        <v>175.38461538461539</v>
      </c>
      <c r="C25" t="s">
        <v>258</v>
      </c>
    </row>
    <row r="26" spans="1:3" x14ac:dyDescent="0.3">
      <c r="A26" t="s">
        <v>263</v>
      </c>
      <c r="B26">
        <f>Ingredientes!AE16</f>
        <v>42.343923076923069</v>
      </c>
      <c r="C26" t="s">
        <v>258</v>
      </c>
    </row>
    <row r="27" spans="1:3" x14ac:dyDescent="0.3">
      <c r="A27" t="s">
        <v>264</v>
      </c>
      <c r="B27">
        <f>Ingredientes!AF16</f>
        <v>0.42301615384615393</v>
      </c>
      <c r="C27" t="s">
        <v>258</v>
      </c>
    </row>
    <row r="28" spans="1:3" x14ac:dyDescent="0.3">
      <c r="A28" t="s">
        <v>265</v>
      </c>
      <c r="B28">
        <f>Ingredientes!AG16</f>
        <v>4.2646000000000003E-2</v>
      </c>
      <c r="C28" t="s">
        <v>258</v>
      </c>
    </row>
    <row r="29" spans="1:3" x14ac:dyDescent="0.3">
      <c r="A29" t="s">
        <v>266</v>
      </c>
      <c r="B29">
        <f>Ingredientes!AH16</f>
        <v>4.1279769230769238E-2</v>
      </c>
      <c r="C29" t="s">
        <v>258</v>
      </c>
    </row>
    <row r="30" spans="1:3" x14ac:dyDescent="0.3">
      <c r="A30" t="s">
        <v>267</v>
      </c>
      <c r="B30">
        <f>Ingredientes!AI16</f>
        <v>17.231538461538463</v>
      </c>
      <c r="C30" t="s">
        <v>268</v>
      </c>
    </row>
    <row r="31" spans="1:3" x14ac:dyDescent="0.3">
      <c r="A31" t="s">
        <v>269</v>
      </c>
      <c r="B31">
        <f>Ingredientes!AJ16</f>
        <v>1.6032307692307692</v>
      </c>
      <c r="C31" t="s">
        <v>268</v>
      </c>
    </row>
    <row r="32" spans="1:3" x14ac:dyDescent="0.3">
      <c r="A32" t="s">
        <v>270</v>
      </c>
      <c r="B32">
        <f>Ingredientes!AK16</f>
        <v>7.7507692307692313</v>
      </c>
      <c r="C32" t="s">
        <v>268</v>
      </c>
    </row>
    <row r="33" spans="1:3" x14ac:dyDescent="0.3">
      <c r="A33" t="s">
        <v>271</v>
      </c>
      <c r="B33">
        <f>Ingredientes!AL16</f>
        <v>2.0838461538461539</v>
      </c>
      <c r="C33" t="s">
        <v>258</v>
      </c>
    </row>
    <row r="34" spans="1:3" x14ac:dyDescent="0.3">
      <c r="A34" t="s">
        <v>272</v>
      </c>
      <c r="B34">
        <f>Ingredientes!AM16</f>
        <v>0.10078923076923077</v>
      </c>
      <c r="C34" t="s">
        <v>258</v>
      </c>
    </row>
    <row r="35" spans="1:3" x14ac:dyDescent="0.3">
      <c r="A35" t="s">
        <v>273</v>
      </c>
      <c r="B35">
        <f>Ingredientes!AN16</f>
        <v>0.22983846153846149</v>
      </c>
      <c r="C35" t="s">
        <v>258</v>
      </c>
    </row>
    <row r="36" spans="1:3" x14ac:dyDescent="0.3">
      <c r="A36" t="s">
        <v>274</v>
      </c>
      <c r="B36">
        <f>Ingredientes!AO16</f>
        <v>0.75830461538461535</v>
      </c>
      <c r="C36" t="s">
        <v>258</v>
      </c>
    </row>
    <row r="37" spans="1:3" x14ac:dyDescent="0.3">
      <c r="A37" t="s">
        <v>275</v>
      </c>
      <c r="B37">
        <f>Ingredientes!AP16</f>
        <v>0.2330769230769231</v>
      </c>
      <c r="C37" t="s">
        <v>258</v>
      </c>
    </row>
    <row r="38" spans="1:3" x14ac:dyDescent="0.3">
      <c r="A38" t="s">
        <v>276</v>
      </c>
      <c r="B38">
        <f>Ingredientes!AQ16</f>
        <v>5.7081538461538475E-2</v>
      </c>
      <c r="C38" t="s">
        <v>258</v>
      </c>
    </row>
    <row r="39" spans="1:3" x14ac:dyDescent="0.3">
      <c r="A39" t="s">
        <v>277</v>
      </c>
      <c r="B39">
        <f>Ingredientes!AR16</f>
        <v>0.53084615384615397</v>
      </c>
      <c r="C39" t="s">
        <v>268</v>
      </c>
    </row>
    <row r="40" spans="1:3" x14ac:dyDescent="0.3">
      <c r="A40" t="s">
        <v>278</v>
      </c>
      <c r="B40">
        <f>Ingredientes!AS16</f>
        <v>9.0269230769230777</v>
      </c>
      <c r="C40" t="s">
        <v>268</v>
      </c>
    </row>
    <row r="41" spans="1:3" x14ac:dyDescent="0.3">
      <c r="A41" t="s">
        <v>279</v>
      </c>
      <c r="B41">
        <f>Ingredientes!AT16</f>
        <v>0</v>
      </c>
      <c r="C41" t="s">
        <v>268</v>
      </c>
    </row>
    <row r="42" spans="1:3" x14ac:dyDescent="0.3">
      <c r="A42" t="s">
        <v>280</v>
      </c>
      <c r="B42">
        <f>Ingredientes!AU16</f>
        <v>3.2307692307692308</v>
      </c>
      <c r="C42" t="s">
        <v>268</v>
      </c>
    </row>
    <row r="43" spans="1:3" x14ac:dyDescent="0.3">
      <c r="A43" t="s">
        <v>281</v>
      </c>
      <c r="B43">
        <f>Ingredientes!AV16</f>
        <v>3.2307692307692308</v>
      </c>
      <c r="C43" t="s">
        <v>268</v>
      </c>
    </row>
    <row r="44" spans="1:3" x14ac:dyDescent="0.3">
      <c r="A44" t="s">
        <v>282</v>
      </c>
      <c r="B44">
        <f>Ingredientes!AW16</f>
        <v>6.7846153846153845</v>
      </c>
      <c r="C44" t="s">
        <v>258</v>
      </c>
    </row>
    <row r="45" spans="1:3" x14ac:dyDescent="0.3">
      <c r="A45" t="s">
        <v>283</v>
      </c>
      <c r="B45">
        <f>Ingredientes!AX16</f>
        <v>0.93846153846153846</v>
      </c>
      <c r="C45" t="s">
        <v>258</v>
      </c>
    </row>
    <row r="46" spans="1:3" x14ac:dyDescent="0.3">
      <c r="A46" t="s">
        <v>284</v>
      </c>
      <c r="B46">
        <f>Ingredientes!AY16</f>
        <v>0.31538461538461537</v>
      </c>
      <c r="C46" t="s">
        <v>258</v>
      </c>
    </row>
    <row r="47" spans="1:3" x14ac:dyDescent="0.3">
      <c r="A47" t="s">
        <v>285</v>
      </c>
      <c r="B47">
        <f>Ingredientes!AZ16</f>
        <v>0.57692307692307687</v>
      </c>
      <c r="C47" t="s">
        <v>258</v>
      </c>
    </row>
    <row r="48" spans="1:3" x14ac:dyDescent="0.3">
      <c r="A48" t="s">
        <v>286</v>
      </c>
      <c r="B48">
        <f>Ingredientes!BA16</f>
        <v>3.361538461538462</v>
      </c>
      <c r="C48" t="s">
        <v>258</v>
      </c>
    </row>
    <row r="49" spans="1:3" x14ac:dyDescent="0.3">
      <c r="A49" t="s">
        <v>287</v>
      </c>
      <c r="B49">
        <f>Ingredientes!BB16</f>
        <v>0.33076923076923082</v>
      </c>
      <c r="C49" t="s">
        <v>258</v>
      </c>
    </row>
    <row r="50" spans="1:3" x14ac:dyDescent="0.3">
      <c r="A50" t="s">
        <v>288</v>
      </c>
      <c r="B50">
        <f>Ingredientes!BC16</f>
        <v>0.29230769230769232</v>
      </c>
      <c r="C50" t="s">
        <v>258</v>
      </c>
    </row>
    <row r="51" spans="1:3" x14ac:dyDescent="0.3">
      <c r="A51" t="s">
        <v>289</v>
      </c>
      <c r="B51">
        <f>Ingredientes!BD16</f>
        <v>0.46203846153846151</v>
      </c>
      <c r="C51" t="s">
        <v>268</v>
      </c>
    </row>
    <row r="52" spans="1:3" x14ac:dyDescent="0.3">
      <c r="A52" t="s">
        <v>290</v>
      </c>
      <c r="B52">
        <f>Ingredientes!BE16</f>
        <v>0</v>
      </c>
      <c r="C52" t="s">
        <v>268</v>
      </c>
    </row>
    <row r="53" spans="1:3" x14ac:dyDescent="0.3">
      <c r="A53" t="s">
        <v>291</v>
      </c>
      <c r="B53">
        <f>Ingredientes!BF16</f>
        <v>35.784615384615385</v>
      </c>
      <c r="C53" t="s">
        <v>268</v>
      </c>
    </row>
    <row r="54" spans="1:3" x14ac:dyDescent="0.3">
      <c r="A54" t="s">
        <v>292</v>
      </c>
      <c r="B54">
        <f>Ingredientes!BG16</f>
        <v>55.670000000000009</v>
      </c>
      <c r="C54" t="s">
        <v>268</v>
      </c>
    </row>
    <row r="55" spans="1:3" x14ac:dyDescent="0.3">
      <c r="A55" t="s">
        <v>293</v>
      </c>
      <c r="B55">
        <f>Ingredientes!BH16</f>
        <v>1.4615384615384617</v>
      </c>
      <c r="C55" t="s">
        <v>268</v>
      </c>
    </row>
    <row r="56" spans="1:3" x14ac:dyDescent="0.3">
      <c r="A56" t="s">
        <v>294</v>
      </c>
      <c r="B56">
        <f>Ingredientes!BI16</f>
        <v>0.30769230769230771</v>
      </c>
      <c r="C56" t="s">
        <v>268</v>
      </c>
    </row>
    <row r="57" spans="1:3" x14ac:dyDescent="0.3">
      <c r="A57" t="s">
        <v>295</v>
      </c>
      <c r="B57">
        <f>Ingredientes!BJ16</f>
        <v>0.69230769230769229</v>
      </c>
      <c r="C57" t="s">
        <v>268</v>
      </c>
    </row>
    <row r="58" spans="1:3" x14ac:dyDescent="0.3">
      <c r="A58" t="s">
        <v>296</v>
      </c>
      <c r="B58">
        <f>Ingredientes!BK16</f>
        <v>0</v>
      </c>
      <c r="C58" t="s">
        <v>268</v>
      </c>
    </row>
    <row r="59" spans="1:3" x14ac:dyDescent="0.3">
      <c r="A59" t="s">
        <v>297</v>
      </c>
      <c r="B59">
        <f>Ingredientes!BL16</f>
        <v>0</v>
      </c>
      <c r="C59" t="s">
        <v>268</v>
      </c>
    </row>
    <row r="60" spans="1:3" x14ac:dyDescent="0.3">
      <c r="A60" t="s">
        <v>298</v>
      </c>
      <c r="B60">
        <f>Ingredientes!BM16</f>
        <v>0</v>
      </c>
      <c r="C60" t="s">
        <v>268</v>
      </c>
    </row>
    <row r="61" spans="1:3" x14ac:dyDescent="0.3">
      <c r="A61" t="s">
        <v>299</v>
      </c>
      <c r="B61">
        <f>Ingredientes!BN16</f>
        <v>0</v>
      </c>
      <c r="C61" t="s">
        <v>268</v>
      </c>
    </row>
    <row r="62" spans="1:3" x14ac:dyDescent="0.3">
      <c r="A62" t="s">
        <v>300</v>
      </c>
      <c r="B62">
        <f>Ingredientes!BO16</f>
        <v>19.615384615384613</v>
      </c>
      <c r="C62" t="s">
        <v>301</v>
      </c>
    </row>
    <row r="63" spans="1:3" x14ac:dyDescent="0.3">
      <c r="A63" t="s">
        <v>302</v>
      </c>
      <c r="B63">
        <f>Ingredientes!BP16</f>
        <v>0</v>
      </c>
      <c r="C63" t="s">
        <v>268</v>
      </c>
    </row>
    <row r="64" spans="1:3" x14ac:dyDescent="0.3">
      <c r="A64" t="s">
        <v>303</v>
      </c>
      <c r="B64">
        <f>Ingredientes!BQ16</f>
        <v>0</v>
      </c>
      <c r="C64" t="s">
        <v>268</v>
      </c>
    </row>
    <row r="65" spans="1:3" x14ac:dyDescent="0.3">
      <c r="A65" t="s">
        <v>304</v>
      </c>
      <c r="B65">
        <f>Ingredientes!BR16</f>
        <v>0</v>
      </c>
      <c r="C65" t="s">
        <v>268</v>
      </c>
    </row>
    <row r="66" spans="1:3" x14ac:dyDescent="0.3">
      <c r="A66" t="s">
        <v>305</v>
      </c>
      <c r="B66">
        <f>Ingredientes!BS16</f>
        <v>1.5557307692307694</v>
      </c>
      <c r="C66" t="s">
        <v>268</v>
      </c>
    </row>
    <row r="67" spans="1:3" x14ac:dyDescent="0.3">
      <c r="A67" t="s">
        <v>306</v>
      </c>
      <c r="B67">
        <f>Ingredientes!BT16</f>
        <v>7.4269230769230782E-2</v>
      </c>
      <c r="C67" t="s">
        <v>268</v>
      </c>
    </row>
    <row r="68" spans="1:3" x14ac:dyDescent="0.3">
      <c r="A68" t="s">
        <v>307</v>
      </c>
      <c r="B68">
        <f>Ingredientes!BU16</f>
        <v>0.46153846153846156</v>
      </c>
      <c r="C68" t="s">
        <v>268</v>
      </c>
    </row>
    <row r="69" spans="1:3" x14ac:dyDescent="0.3">
      <c r="A69" t="s">
        <v>308</v>
      </c>
      <c r="B69">
        <f>Ingredientes!BV16</f>
        <v>0.63530769230769235</v>
      </c>
      <c r="C69" t="s">
        <v>268</v>
      </c>
    </row>
    <row r="70" spans="1:3" x14ac:dyDescent="0.3">
      <c r="A70" t="s">
        <v>309</v>
      </c>
      <c r="B70">
        <f>Ingredientes!BW16</f>
        <v>7.3515384615384621E-2</v>
      </c>
      <c r="C70" t="s">
        <v>258</v>
      </c>
    </row>
    <row r="71" spans="1:3" x14ac:dyDescent="0.3">
      <c r="A71" t="s">
        <v>310</v>
      </c>
      <c r="B71">
        <f>Ingredientes!BX16</f>
        <v>0</v>
      </c>
      <c r="C71" t="s">
        <v>258</v>
      </c>
    </row>
    <row r="72" spans="1:3" x14ac:dyDescent="0.3">
      <c r="A72" t="s">
        <v>311</v>
      </c>
      <c r="B72">
        <f>Ingredientes!BY16</f>
        <v>0</v>
      </c>
      <c r="C72" t="s">
        <v>258</v>
      </c>
    </row>
    <row r="73" spans="1:3" x14ac:dyDescent="0.3">
      <c r="A73" t="s">
        <v>312</v>
      </c>
      <c r="B73">
        <f>Ingredientes!BZ16</f>
        <v>0.10923076923076923</v>
      </c>
      <c r="C73" t="s">
        <v>258</v>
      </c>
    </row>
    <row r="74" spans="1:3" x14ac:dyDescent="0.3">
      <c r="A74" t="s">
        <v>313</v>
      </c>
      <c r="B74">
        <f>Ingredientes!CA16</f>
        <v>6.7246153846153844E-2</v>
      </c>
      <c r="C74" t="s">
        <v>258</v>
      </c>
    </row>
    <row r="75" spans="1:3" x14ac:dyDescent="0.3">
      <c r="A75" t="s">
        <v>314</v>
      </c>
      <c r="B75">
        <f>Ingredientes!CB16</f>
        <v>0</v>
      </c>
      <c r="C75" t="s">
        <v>258</v>
      </c>
    </row>
    <row r="76" spans="1:3" x14ac:dyDescent="0.3">
      <c r="A76" t="s">
        <v>315</v>
      </c>
      <c r="B76">
        <f>Ingredientes!CC16</f>
        <v>0</v>
      </c>
      <c r="C76" t="s">
        <v>258</v>
      </c>
    </row>
    <row r="77" spans="1:3" x14ac:dyDescent="0.3">
      <c r="A77" t="s">
        <v>316</v>
      </c>
      <c r="B77">
        <f>Ingredientes!CD16</f>
        <v>0</v>
      </c>
      <c r="C77" t="s">
        <v>258</v>
      </c>
    </row>
    <row r="78" spans="1:3" x14ac:dyDescent="0.3">
      <c r="A78" t="s">
        <v>317</v>
      </c>
      <c r="B78">
        <f>Ingredientes!CE16</f>
        <v>0</v>
      </c>
      <c r="C78" t="s">
        <v>258</v>
      </c>
    </row>
    <row r="79" spans="1:3" x14ac:dyDescent="0.3">
      <c r="A79" t="s">
        <v>318</v>
      </c>
      <c r="B79">
        <f>Ingredientes!CF16</f>
        <v>40.638461538461542</v>
      </c>
      <c r="C79" t="s">
        <v>301</v>
      </c>
    </row>
    <row r="80" spans="1:3" x14ac:dyDescent="0.3">
      <c r="A80" t="s">
        <v>319</v>
      </c>
      <c r="B80">
        <f>Ingredientes!CG16</f>
        <v>1.0183846153846154</v>
      </c>
      <c r="C80" t="s">
        <v>268</v>
      </c>
    </row>
    <row r="81" spans="1:3" x14ac:dyDescent="0.3">
      <c r="A81" t="s">
        <v>320</v>
      </c>
      <c r="B81">
        <f>Ingredientes!CH16</f>
        <v>0.48124092307692307</v>
      </c>
      <c r="C81" t="s">
        <v>268</v>
      </c>
    </row>
    <row r="82" spans="1:3" x14ac:dyDescent="0.3">
      <c r="A82" t="s">
        <v>321</v>
      </c>
      <c r="B82">
        <f>Ingredientes!CI16</f>
        <v>0</v>
      </c>
      <c r="C82" t="s">
        <v>268</v>
      </c>
    </row>
    <row r="83" spans="1:3" x14ac:dyDescent="0.3">
      <c r="A83" t="s">
        <v>322</v>
      </c>
      <c r="B83">
        <f>Ingredientes!CJ16</f>
        <v>0.35384615384615387</v>
      </c>
      <c r="C83" t="s">
        <v>268</v>
      </c>
    </row>
    <row r="84" spans="1:3" x14ac:dyDescent="0.3">
      <c r="A84" t="s">
        <v>323</v>
      </c>
      <c r="B84">
        <f>Ingredientes!CK16</f>
        <v>0</v>
      </c>
      <c r="C84" t="s">
        <v>268</v>
      </c>
    </row>
    <row r="85" spans="1:3" x14ac:dyDescent="0.3">
      <c r="A85" t="s">
        <v>324</v>
      </c>
      <c r="B85">
        <f>Ingredientes!CL16</f>
        <v>0.45384615384615379</v>
      </c>
      <c r="C85" t="s">
        <v>268</v>
      </c>
    </row>
    <row r="86" spans="1:3" x14ac:dyDescent="0.3">
      <c r="A86" t="s">
        <v>325</v>
      </c>
      <c r="B86">
        <f>Ingredientes!CM16</f>
        <v>1.3338307692307694</v>
      </c>
      <c r="C86" t="s">
        <v>237</v>
      </c>
    </row>
    <row r="87" spans="1:3" x14ac:dyDescent="0.3">
      <c r="A87" t="s">
        <v>326</v>
      </c>
      <c r="B87">
        <f>Ingredientes!CN16</f>
        <v>3.4846153846153846E-2</v>
      </c>
      <c r="C87" t="s">
        <v>237</v>
      </c>
    </row>
    <row r="88" spans="1:3" x14ac:dyDescent="0.3">
      <c r="A88" t="s">
        <v>327</v>
      </c>
      <c r="B88">
        <f>Ingredientes!CO16</f>
        <v>0</v>
      </c>
      <c r="C88" t="s">
        <v>237</v>
      </c>
    </row>
    <row r="89" spans="1:3" x14ac:dyDescent="0.3">
      <c r="A89" t="s">
        <v>328</v>
      </c>
      <c r="B89">
        <f>Ingredientes!CP16</f>
        <v>2.8461538461538465E-2</v>
      </c>
      <c r="C89" t="s">
        <v>237</v>
      </c>
    </row>
    <row r="90" spans="1:3" x14ac:dyDescent="0.3">
      <c r="A90" t="s">
        <v>329</v>
      </c>
      <c r="B90">
        <f>Ingredientes!CQ16</f>
        <v>0</v>
      </c>
      <c r="C90" t="s">
        <v>237</v>
      </c>
    </row>
    <row r="91" spans="1:3" x14ac:dyDescent="0.3">
      <c r="A91" t="s">
        <v>330</v>
      </c>
      <c r="B91">
        <f>Ingredientes!CR16</f>
        <v>2.0076923076923079E-2</v>
      </c>
      <c r="C91" t="s">
        <v>237</v>
      </c>
    </row>
    <row r="92" spans="1:3" x14ac:dyDescent="0.3">
      <c r="A92" t="s">
        <v>331</v>
      </c>
      <c r="B92">
        <f>Ingredientes!CS16</f>
        <v>0</v>
      </c>
      <c r="C92" t="s">
        <v>237</v>
      </c>
    </row>
    <row r="93" spans="1:3" x14ac:dyDescent="0.3">
      <c r="A93" t="s">
        <v>332</v>
      </c>
      <c r="B93">
        <f>Ingredientes!CT16</f>
        <v>4.1000000000000009E-2</v>
      </c>
      <c r="C93" t="s">
        <v>237</v>
      </c>
    </row>
    <row r="94" spans="1:3" x14ac:dyDescent="0.3">
      <c r="A94" t="s">
        <v>333</v>
      </c>
      <c r="B94">
        <f>Ingredientes!CU16</f>
        <v>0</v>
      </c>
      <c r="C94" t="s">
        <v>237</v>
      </c>
    </row>
    <row r="95" spans="1:3" x14ac:dyDescent="0.3">
      <c r="A95" t="s">
        <v>334</v>
      </c>
      <c r="B95">
        <f>Ingredientes!CV16</f>
        <v>6.6038461538461532E-2</v>
      </c>
      <c r="C95" t="s">
        <v>237</v>
      </c>
    </row>
    <row r="96" spans="1:3" x14ac:dyDescent="0.3">
      <c r="A96" t="s">
        <v>335</v>
      </c>
      <c r="B96">
        <f>Ingredientes!CW16</f>
        <v>0</v>
      </c>
      <c r="C96" t="s">
        <v>237</v>
      </c>
    </row>
    <row r="97" spans="1:3" x14ac:dyDescent="0.3">
      <c r="A97" t="s">
        <v>336</v>
      </c>
      <c r="B97">
        <f>Ingredientes!CX16</f>
        <v>0.21643946153846158</v>
      </c>
      <c r="C97" t="s">
        <v>237</v>
      </c>
    </row>
    <row r="98" spans="1:3" x14ac:dyDescent="0.3">
      <c r="A98" t="s">
        <v>337</v>
      </c>
      <c r="B98">
        <f>Ingredientes!CY16</f>
        <v>1.3822153846153847E-2</v>
      </c>
      <c r="C98" t="s">
        <v>237</v>
      </c>
    </row>
    <row r="99" spans="1:3" x14ac:dyDescent="0.3">
      <c r="A99" t="s">
        <v>338</v>
      </c>
      <c r="B99">
        <f>Ingredientes!CZ16</f>
        <v>0.62855384615384624</v>
      </c>
      <c r="C99" t="s">
        <v>237</v>
      </c>
    </row>
    <row r="100" spans="1:3" x14ac:dyDescent="0.3">
      <c r="A100" t="s">
        <v>339</v>
      </c>
      <c r="B100">
        <f>Ingredientes!DA16</f>
        <v>8.076923076923077E-3</v>
      </c>
      <c r="C100" t="s">
        <v>237</v>
      </c>
    </row>
    <row r="101" spans="1:3" x14ac:dyDescent="0.3">
      <c r="A101" t="s">
        <v>340</v>
      </c>
      <c r="B101">
        <f>Ingredientes!DB16</f>
        <v>0.21138538461538461</v>
      </c>
      <c r="C101" t="s">
        <v>237</v>
      </c>
    </row>
    <row r="102" spans="1:3" x14ac:dyDescent="0.3">
      <c r="A102" t="s">
        <v>341</v>
      </c>
      <c r="B102">
        <f>Ingredientes!DC16</f>
        <v>2.0480769230769233E-3</v>
      </c>
      <c r="C102" t="s">
        <v>237</v>
      </c>
    </row>
    <row r="103" spans="1:3" x14ac:dyDescent="0.3">
      <c r="A103" t="s">
        <v>342</v>
      </c>
      <c r="B103">
        <f>Ingredientes!DD16</f>
        <v>0</v>
      </c>
      <c r="C103" t="s">
        <v>237</v>
      </c>
    </row>
    <row r="104" spans="1:3" x14ac:dyDescent="0.3">
      <c r="A104" t="s">
        <v>343</v>
      </c>
      <c r="B104">
        <f>Ingredientes!DE16</f>
        <v>1.2115384615384616E-3</v>
      </c>
      <c r="C104" t="s">
        <v>237</v>
      </c>
    </row>
    <row r="105" spans="1:3" x14ac:dyDescent="0.3">
      <c r="A105" t="s">
        <v>344</v>
      </c>
      <c r="B105">
        <f>Ingredientes!DF16</f>
        <v>0</v>
      </c>
      <c r="C105" t="s">
        <v>237</v>
      </c>
    </row>
    <row r="106" spans="1:3" x14ac:dyDescent="0.3">
      <c r="A106" t="s">
        <v>345</v>
      </c>
      <c r="B106">
        <f>Ingredientes!DG16</f>
        <v>5.6253846153846154E-4</v>
      </c>
      <c r="C106" t="s">
        <v>237</v>
      </c>
    </row>
    <row r="107" spans="1:3" x14ac:dyDescent="0.3">
      <c r="A107" t="s">
        <v>346</v>
      </c>
      <c r="B107">
        <f>Ingredientes!DH16</f>
        <v>0.53266153846153852</v>
      </c>
      <c r="C107" t="s">
        <v>237</v>
      </c>
    </row>
    <row r="108" spans="1:3" x14ac:dyDescent="0.3">
      <c r="A108" t="s">
        <v>347</v>
      </c>
      <c r="B108">
        <f>Ingredientes!DI16</f>
        <v>1.5384615384615385E-4</v>
      </c>
      <c r="C108" t="s">
        <v>237</v>
      </c>
    </row>
    <row r="109" spans="1:3" x14ac:dyDescent="0.3">
      <c r="A109" t="s">
        <v>348</v>
      </c>
      <c r="B109">
        <f>Ingredientes!DJ16</f>
        <v>0</v>
      </c>
      <c r="C109" t="s">
        <v>237</v>
      </c>
    </row>
    <row r="110" spans="1:3" x14ac:dyDescent="0.3">
      <c r="A110" t="s">
        <v>349</v>
      </c>
      <c r="B110">
        <f>Ingredientes!DK16</f>
        <v>1.2461538461538463E-2</v>
      </c>
      <c r="C110" t="s">
        <v>237</v>
      </c>
    </row>
    <row r="111" spans="1:3" x14ac:dyDescent="0.3">
      <c r="A111" t="s">
        <v>350</v>
      </c>
      <c r="B111">
        <f>Ingredientes!DL16</f>
        <v>0</v>
      </c>
      <c r="C111" t="s">
        <v>237</v>
      </c>
    </row>
    <row r="112" spans="1:3" x14ac:dyDescent="0.3">
      <c r="A112" t="s">
        <v>351</v>
      </c>
      <c r="B112">
        <f>Ingredientes!DM16</f>
        <v>5.3846153846153855E-4</v>
      </c>
      <c r="C112" t="s">
        <v>237</v>
      </c>
    </row>
    <row r="113" spans="1:3" x14ac:dyDescent="0.3">
      <c r="A113" t="s">
        <v>352</v>
      </c>
      <c r="B113">
        <f>Ingredientes!DN16</f>
        <v>2.0149076923076922E-2</v>
      </c>
      <c r="C113" t="s">
        <v>237</v>
      </c>
    </row>
    <row r="114" spans="1:3" x14ac:dyDescent="0.3">
      <c r="A114" t="s">
        <v>353</v>
      </c>
      <c r="B114">
        <f>Ingredientes!DO16</f>
        <v>2.4615384615384616E-3</v>
      </c>
      <c r="C114" t="s">
        <v>237</v>
      </c>
    </row>
    <row r="115" spans="1:3" x14ac:dyDescent="0.3">
      <c r="A115" t="s">
        <v>354</v>
      </c>
      <c r="B115">
        <f>Ingredientes!DP16</f>
        <v>2.4615384615384616E-3</v>
      </c>
      <c r="C115" t="s">
        <v>237</v>
      </c>
    </row>
    <row r="116" spans="1:3" x14ac:dyDescent="0.3">
      <c r="A116" t="s">
        <v>355</v>
      </c>
      <c r="B116">
        <f>Ingredientes!DQ16</f>
        <v>6.1076923076923084E-2</v>
      </c>
      <c r="C116" t="s">
        <v>237</v>
      </c>
    </row>
    <row r="117" spans="1:3" x14ac:dyDescent="0.3">
      <c r="A117" t="s">
        <v>356</v>
      </c>
      <c r="B117">
        <f>Ingredientes!DR16</f>
        <v>0.41573846153846156</v>
      </c>
      <c r="C117" t="s">
        <v>237</v>
      </c>
    </row>
    <row r="118" spans="1:3" x14ac:dyDescent="0.3">
      <c r="A118" t="s">
        <v>357</v>
      </c>
      <c r="B118">
        <f>Ingredientes!DS16</f>
        <v>0</v>
      </c>
      <c r="C118" t="s">
        <v>237</v>
      </c>
    </row>
    <row r="119" spans="1:3" x14ac:dyDescent="0.3">
      <c r="A119" t="s">
        <v>358</v>
      </c>
      <c r="B119">
        <f>Ingredientes!DT16</f>
        <v>2.4471538461538467E-3</v>
      </c>
      <c r="C119" t="s">
        <v>237</v>
      </c>
    </row>
    <row r="120" spans="1:3" x14ac:dyDescent="0.3">
      <c r="A120" t="s">
        <v>359</v>
      </c>
      <c r="B120">
        <f>Ingredientes!DU16</f>
        <v>0</v>
      </c>
      <c r="C120" t="s">
        <v>237</v>
      </c>
    </row>
    <row r="121" spans="1:3" x14ac:dyDescent="0.3">
      <c r="A121" t="s">
        <v>360</v>
      </c>
      <c r="B121">
        <f>Ingredientes!DV16</f>
        <v>1.5384615384615385E-4</v>
      </c>
      <c r="C121" t="s">
        <v>237</v>
      </c>
    </row>
    <row r="122" spans="1:3" x14ac:dyDescent="0.3">
      <c r="A122" t="s">
        <v>361</v>
      </c>
      <c r="B122">
        <f>Ingredientes!DW16</f>
        <v>1.5384615384615385E-4</v>
      </c>
      <c r="C122" t="s">
        <v>237</v>
      </c>
    </row>
    <row r="123" spans="1:3" x14ac:dyDescent="0.3">
      <c r="A123" t="s">
        <v>362</v>
      </c>
      <c r="B123">
        <f>Ingredientes!DX16</f>
        <v>0</v>
      </c>
      <c r="C123" t="s">
        <v>237</v>
      </c>
    </row>
    <row r="124" spans="1:3" x14ac:dyDescent="0.3">
      <c r="A124" t="s">
        <v>363</v>
      </c>
      <c r="B124">
        <f>Ingredientes!DY16</f>
        <v>0</v>
      </c>
      <c r="C124" t="s">
        <v>237</v>
      </c>
    </row>
    <row r="125" spans="1:3" x14ac:dyDescent="0.3">
      <c r="A125" t="s">
        <v>364</v>
      </c>
      <c r="B125">
        <f>Ingredientes!DZ16</f>
        <v>0.15815384615384614</v>
      </c>
      <c r="C125" t="s">
        <v>237</v>
      </c>
    </row>
    <row r="126" spans="1:3" x14ac:dyDescent="0.3">
      <c r="A126" t="s">
        <v>365</v>
      </c>
      <c r="B126">
        <f>Ingredientes!EA16</f>
        <v>1.7615384615384616E-2</v>
      </c>
      <c r="C126" t="s">
        <v>237</v>
      </c>
    </row>
    <row r="127" spans="1:3" x14ac:dyDescent="0.3">
      <c r="A127" t="s">
        <v>366</v>
      </c>
      <c r="B127">
        <f>Ingredientes!EB16</f>
        <v>0.11375384615384615</v>
      </c>
      <c r="C127" t="s">
        <v>237</v>
      </c>
    </row>
    <row r="128" spans="1:3" x14ac:dyDescent="0.3">
      <c r="A128" t="s">
        <v>367</v>
      </c>
      <c r="B128">
        <f>Ingredientes!EC16</f>
        <v>0.12265769230769233</v>
      </c>
      <c r="C128" t="s">
        <v>237</v>
      </c>
    </row>
    <row r="129" spans="1:3" x14ac:dyDescent="0.3">
      <c r="A129" t="s">
        <v>368</v>
      </c>
      <c r="B129">
        <f>Ingredientes!ED16</f>
        <v>5.6153846153846158E-3</v>
      </c>
      <c r="C129" t="s">
        <v>237</v>
      </c>
    </row>
    <row r="130" spans="1:3" x14ac:dyDescent="0.3">
      <c r="A130" t="s">
        <v>369</v>
      </c>
      <c r="B130">
        <f>Ingredientes!EE16</f>
        <v>6.1538461538461547E-3</v>
      </c>
      <c r="C130" t="s">
        <v>237</v>
      </c>
    </row>
    <row r="131" spans="1:3" x14ac:dyDescent="0.3">
      <c r="A131" t="s">
        <v>370</v>
      </c>
      <c r="B131">
        <f>Ingredientes!EF16</f>
        <v>1.7876923076923078E-2</v>
      </c>
      <c r="C131" t="s">
        <v>237</v>
      </c>
    </row>
    <row r="132" spans="1:3" x14ac:dyDescent="0.3">
      <c r="A132" t="s">
        <v>371</v>
      </c>
      <c r="B132">
        <f>Ingredientes!EG16</f>
        <v>1.7800000000000003E-2</v>
      </c>
      <c r="C132" t="s">
        <v>237</v>
      </c>
    </row>
    <row r="133" spans="1:3" x14ac:dyDescent="0.3">
      <c r="A133" t="s">
        <v>372</v>
      </c>
      <c r="B133">
        <f>Ingredientes!EH16</f>
        <v>7.6923076923076926E-5</v>
      </c>
      <c r="C133" t="s">
        <v>237</v>
      </c>
    </row>
    <row r="134" spans="1:3" x14ac:dyDescent="0.3">
      <c r="A134" t="s">
        <v>373</v>
      </c>
      <c r="B134">
        <f>Ingredientes!EI16</f>
        <v>7.6923076923076926E-5</v>
      </c>
      <c r="C134" t="s">
        <v>237</v>
      </c>
    </row>
    <row r="135" spans="1:3" x14ac:dyDescent="0.3">
      <c r="A135" t="s">
        <v>374</v>
      </c>
      <c r="B135">
        <f>Ingredientes!EJ16</f>
        <v>1.9711538461538461E-4</v>
      </c>
      <c r="C135" t="s">
        <v>237</v>
      </c>
    </row>
    <row r="136" spans="1:3" x14ac:dyDescent="0.3">
      <c r="A136" t="s">
        <v>375</v>
      </c>
      <c r="B136">
        <f>Ingredientes!EK16</f>
        <v>1.9711538461538461E-4</v>
      </c>
      <c r="C136" t="s">
        <v>237</v>
      </c>
    </row>
    <row r="137" spans="1:3" x14ac:dyDescent="0.3">
      <c r="A137" t="s">
        <v>376</v>
      </c>
      <c r="B137">
        <f>Ingredientes!EL16</f>
        <v>1.4615384615384616E-3</v>
      </c>
      <c r="C137" t="s">
        <v>237</v>
      </c>
    </row>
    <row r="138" spans="1:3" x14ac:dyDescent="0.3">
      <c r="A138" t="s">
        <v>377</v>
      </c>
      <c r="B138">
        <f>Ingredientes!EM16</f>
        <v>0</v>
      </c>
      <c r="C138" t="s">
        <v>237</v>
      </c>
    </row>
    <row r="139" spans="1:3" x14ac:dyDescent="0.3">
      <c r="A139" t="s">
        <v>378</v>
      </c>
      <c r="B139">
        <f>Ingredientes!EN16</f>
        <v>1.4615384615384616E-3</v>
      </c>
      <c r="C139" t="s">
        <v>237</v>
      </c>
    </row>
    <row r="140" spans="1:3" x14ac:dyDescent="0.3">
      <c r="A140" t="s">
        <v>379</v>
      </c>
      <c r="B140">
        <f>Ingredientes!EO16</f>
        <v>0</v>
      </c>
      <c r="C140" t="s">
        <v>237</v>
      </c>
    </row>
    <row r="141" spans="1:3" x14ac:dyDescent="0.3">
      <c r="A141" t="s">
        <v>380</v>
      </c>
      <c r="B141">
        <f>Ingredientes!EP16</f>
        <v>0</v>
      </c>
      <c r="C141" t="s">
        <v>237</v>
      </c>
    </row>
    <row r="142" spans="1:3" x14ac:dyDescent="0.3">
      <c r="A142" t="s">
        <v>381</v>
      </c>
      <c r="B142">
        <f>Ingredientes!EQ16</f>
        <v>1.7692307692307693E-3</v>
      </c>
      <c r="C142" t="s">
        <v>237</v>
      </c>
    </row>
    <row r="143" spans="1:3" x14ac:dyDescent="0.3">
      <c r="A143" t="s">
        <v>382</v>
      </c>
      <c r="B143">
        <f>Ingredientes!ER16</f>
        <v>1.7692307692307693E-3</v>
      </c>
      <c r="C143" t="s">
        <v>237</v>
      </c>
    </row>
    <row r="144" spans="1:3" x14ac:dyDescent="0.3">
      <c r="A144" t="s">
        <v>383</v>
      </c>
      <c r="B144">
        <f>Ingredientes!ES16</f>
        <v>4.6153846153846158E-4</v>
      </c>
      <c r="C144" t="s">
        <v>237</v>
      </c>
    </row>
    <row r="145" spans="1:3" x14ac:dyDescent="0.3">
      <c r="A145" t="s">
        <v>384</v>
      </c>
      <c r="B145">
        <f>Ingredientes!ET16</f>
        <v>4.6153846153846158E-4</v>
      </c>
      <c r="C145" t="s">
        <v>237</v>
      </c>
    </row>
    <row r="146" spans="1:3" x14ac:dyDescent="0.3">
      <c r="A146" t="s">
        <v>385</v>
      </c>
      <c r="B146">
        <f>Ingredientes!EU16</f>
        <v>0</v>
      </c>
      <c r="C146" t="s">
        <v>237</v>
      </c>
    </row>
    <row r="147" spans="1:3" x14ac:dyDescent="0.3">
      <c r="A147" t="s">
        <v>386</v>
      </c>
      <c r="B147">
        <f>Ingredientes!EV16</f>
        <v>7.6923076923076934E-4</v>
      </c>
      <c r="C147" t="s">
        <v>237</v>
      </c>
    </row>
    <row r="148" spans="1:3" x14ac:dyDescent="0.3">
      <c r="A148" t="s">
        <v>387</v>
      </c>
      <c r="B148">
        <f>Ingredientes!EW16</f>
        <v>3.076923076923077E-4</v>
      </c>
      <c r="C148" t="s">
        <v>237</v>
      </c>
    </row>
    <row r="149" spans="1:3" x14ac:dyDescent="0.3">
      <c r="A149" t="s">
        <v>388</v>
      </c>
      <c r="B149">
        <f>Ingredientes!EX16</f>
        <v>7.6923076923076934E-4</v>
      </c>
      <c r="C149" t="s">
        <v>237</v>
      </c>
    </row>
    <row r="150" spans="1:3" x14ac:dyDescent="0.3">
      <c r="A150" t="s">
        <v>389</v>
      </c>
      <c r="B150">
        <f>Ingredientes!EY16</f>
        <v>0</v>
      </c>
      <c r="C150" t="s">
        <v>237</v>
      </c>
    </row>
    <row r="151" spans="1:3" x14ac:dyDescent="0.3">
      <c r="A151" t="s">
        <v>390</v>
      </c>
      <c r="B151">
        <f>Ingredientes!EZ16</f>
        <v>0</v>
      </c>
      <c r="C151" t="s">
        <v>237</v>
      </c>
    </row>
    <row r="152" spans="1:3" x14ac:dyDescent="0.3">
      <c r="A152" t="s">
        <v>391</v>
      </c>
      <c r="B152">
        <f>Ingredientes!FA16</f>
        <v>4.3769230769230769E-2</v>
      </c>
      <c r="C152" t="s">
        <v>237</v>
      </c>
    </row>
    <row r="153" spans="1:3" x14ac:dyDescent="0.3">
      <c r="A153" t="s">
        <v>392</v>
      </c>
      <c r="B153">
        <f>Ingredientes!FB16</f>
        <v>3.6216346153846155E-2</v>
      </c>
      <c r="C153" t="s">
        <v>237</v>
      </c>
    </row>
    <row r="154" spans="1:3" x14ac:dyDescent="0.3">
      <c r="A154" t="s">
        <v>393</v>
      </c>
      <c r="B154">
        <f>Ingredientes!FC16</f>
        <v>6.9230769230769237E-4</v>
      </c>
      <c r="C154" t="s">
        <v>237</v>
      </c>
    </row>
    <row r="155" spans="1:3" x14ac:dyDescent="0.3">
      <c r="A155" t="s">
        <v>394</v>
      </c>
      <c r="B155">
        <f>Ingredientes!FD16</f>
        <v>3.6153846153846154E-3</v>
      </c>
      <c r="C155" t="s">
        <v>237</v>
      </c>
    </row>
    <row r="156" spans="1:3" x14ac:dyDescent="0.3">
      <c r="A156" t="s">
        <v>395</v>
      </c>
      <c r="B156">
        <f>Ingredientes!FE16</f>
        <v>3.1831730769230772E-2</v>
      </c>
      <c r="C156" t="s">
        <v>237</v>
      </c>
    </row>
    <row r="157" spans="1:3" x14ac:dyDescent="0.3">
      <c r="A157" t="s">
        <v>396</v>
      </c>
      <c r="B157">
        <f>Ingredientes!FF16</f>
        <v>0</v>
      </c>
      <c r="C157" t="s">
        <v>237</v>
      </c>
    </row>
    <row r="158" spans="1:3" x14ac:dyDescent="0.3">
      <c r="A158" t="s">
        <v>397</v>
      </c>
      <c r="B158">
        <f>Ingredientes!FG16</f>
        <v>0</v>
      </c>
      <c r="C158" t="s">
        <v>237</v>
      </c>
    </row>
    <row r="159" spans="1:3" x14ac:dyDescent="0.3">
      <c r="A159" t="s">
        <v>398</v>
      </c>
      <c r="B159">
        <f>Ingredientes!FH16</f>
        <v>7.6153846153846159E-3</v>
      </c>
      <c r="C159" t="s">
        <v>237</v>
      </c>
    </row>
    <row r="160" spans="1:3" x14ac:dyDescent="0.3">
      <c r="A160" t="s">
        <v>399</v>
      </c>
      <c r="B160">
        <f>Ingredientes!FI16</f>
        <v>7.7019230769230776E-3</v>
      </c>
      <c r="C160" t="s">
        <v>237</v>
      </c>
    </row>
    <row r="161" spans="1:3" x14ac:dyDescent="0.3">
      <c r="A161" t="s">
        <v>400</v>
      </c>
      <c r="B161">
        <f>Ingredientes!FJ16</f>
        <v>8.6538461538461533E-5</v>
      </c>
      <c r="C161" t="s">
        <v>237</v>
      </c>
    </row>
    <row r="162" spans="1:3" x14ac:dyDescent="0.3">
      <c r="A162" t="s">
        <v>401</v>
      </c>
      <c r="B162">
        <f>Ingredientes!FK16</f>
        <v>7.6923076923076926E-5</v>
      </c>
      <c r="C162" t="s">
        <v>237</v>
      </c>
    </row>
    <row r="163" spans="1:3" x14ac:dyDescent="0.3">
      <c r="A163" t="s">
        <v>402</v>
      </c>
      <c r="B163">
        <f>Ingredientes!FL16</f>
        <v>7.6923076923076926E-5</v>
      </c>
      <c r="C163" t="s">
        <v>237</v>
      </c>
    </row>
    <row r="164" spans="1:3" x14ac:dyDescent="0.3">
      <c r="A164" t="s">
        <v>403</v>
      </c>
      <c r="B164">
        <f>Ingredientes!FM16</f>
        <v>9.0007692307692331</v>
      </c>
      <c r="C164" t="s">
        <v>258</v>
      </c>
    </row>
    <row r="165" spans="1:3" x14ac:dyDescent="0.3">
      <c r="A165" t="s">
        <v>404</v>
      </c>
      <c r="B165">
        <f>Ingredientes!FN16</f>
        <v>4.3945384615384615E-2</v>
      </c>
      <c r="C165" t="s">
        <v>237</v>
      </c>
    </row>
    <row r="166" spans="1:3" x14ac:dyDescent="0.3">
      <c r="A166" t="s">
        <v>405</v>
      </c>
      <c r="B166">
        <f>Ingredientes!FO16</f>
        <v>0.13896923076923079</v>
      </c>
      <c r="C166" t="s">
        <v>237</v>
      </c>
    </row>
    <row r="167" spans="1:3" x14ac:dyDescent="0.3">
      <c r="A167" t="s">
        <v>406</v>
      </c>
      <c r="B167">
        <f>Ingredientes!FP16</f>
        <v>0.15161538461538462</v>
      </c>
      <c r="C167" t="s">
        <v>237</v>
      </c>
    </row>
    <row r="168" spans="1:3" x14ac:dyDescent="0.3">
      <c r="A168" t="s">
        <v>407</v>
      </c>
      <c r="B168">
        <f>Ingredientes!FQ16</f>
        <v>0.28651153846153854</v>
      </c>
      <c r="C168" t="s">
        <v>237</v>
      </c>
    </row>
    <row r="169" spans="1:3" x14ac:dyDescent="0.3">
      <c r="A169" t="s">
        <v>408</v>
      </c>
      <c r="B169">
        <f>Ingredientes!FR16</f>
        <v>0.23837307692307694</v>
      </c>
      <c r="C169" t="s">
        <v>237</v>
      </c>
    </row>
    <row r="170" spans="1:3" x14ac:dyDescent="0.3">
      <c r="A170" t="s">
        <v>409</v>
      </c>
      <c r="B170">
        <f>Ingredientes!FS16</f>
        <v>6.7316153846153845E-2</v>
      </c>
      <c r="C170" t="s">
        <v>237</v>
      </c>
    </row>
    <row r="171" spans="1:3" x14ac:dyDescent="0.3">
      <c r="A171" t="s">
        <v>410</v>
      </c>
      <c r="B171">
        <f>Ingredientes!FT16</f>
        <v>1.3692307692307691E-2</v>
      </c>
      <c r="C171" t="s">
        <v>237</v>
      </c>
    </row>
    <row r="172" spans="1:3" x14ac:dyDescent="0.3">
      <c r="A172" t="s">
        <v>411</v>
      </c>
      <c r="B172">
        <f>Ingredientes!FU16</f>
        <v>0.15066153846153849</v>
      </c>
      <c r="C172" t="s">
        <v>237</v>
      </c>
    </row>
    <row r="173" spans="1:3" x14ac:dyDescent="0.3">
      <c r="A173" t="s">
        <v>412</v>
      </c>
      <c r="B173">
        <f>Ingredientes!FV16</f>
        <v>0.13131153846153848</v>
      </c>
      <c r="C173" t="s">
        <v>237</v>
      </c>
    </row>
    <row r="174" spans="1:3" x14ac:dyDescent="0.3">
      <c r="A174" t="s">
        <v>413</v>
      </c>
      <c r="B174">
        <f>Ingredientes!FW16</f>
        <v>0.16606153846153848</v>
      </c>
      <c r="C174" t="s">
        <v>237</v>
      </c>
    </row>
    <row r="175" spans="1:3" x14ac:dyDescent="0.3">
      <c r="A175" t="s">
        <v>414</v>
      </c>
      <c r="B175">
        <f>Ingredientes!FX16</f>
        <v>0.1491769230769231</v>
      </c>
      <c r="C175" t="s">
        <v>237</v>
      </c>
    </row>
    <row r="176" spans="1:3" x14ac:dyDescent="0.3">
      <c r="A176" t="s">
        <v>415</v>
      </c>
      <c r="B176">
        <f>Ingredientes!FY16</f>
        <v>8.5615384615384621E-2</v>
      </c>
      <c r="C176" t="s">
        <v>237</v>
      </c>
    </row>
    <row r="177" spans="1:3" x14ac:dyDescent="0.3">
      <c r="A177" t="s">
        <v>416</v>
      </c>
      <c r="B177">
        <f>Ingredientes!FZ16</f>
        <v>0.11860769230769232</v>
      </c>
      <c r="C177" t="s">
        <v>237</v>
      </c>
    </row>
    <row r="178" spans="1:3" x14ac:dyDescent="0.3">
      <c r="A178" t="s">
        <v>417</v>
      </c>
      <c r="B178">
        <f>Ingredientes!GA16</f>
        <v>0.29949230769230772</v>
      </c>
      <c r="C178" t="s">
        <v>237</v>
      </c>
    </row>
    <row r="179" spans="1:3" x14ac:dyDescent="0.3">
      <c r="A179" t="s">
        <v>418</v>
      </c>
      <c r="B179">
        <f>Ingredientes!GB16</f>
        <v>0.64585384615384611</v>
      </c>
      <c r="C179" t="s">
        <v>237</v>
      </c>
    </row>
    <row r="180" spans="1:3" x14ac:dyDescent="0.3">
      <c r="A180" t="s">
        <v>419</v>
      </c>
      <c r="B180">
        <f>Ingredientes!GC16</f>
        <v>8.7811538461538469E-2</v>
      </c>
      <c r="C180" t="s">
        <v>237</v>
      </c>
    </row>
    <row r="181" spans="1:3" x14ac:dyDescent="0.3">
      <c r="A181" t="s">
        <v>420</v>
      </c>
      <c r="B181">
        <f>Ingredientes!GD16</f>
        <v>0.25183076923076925</v>
      </c>
      <c r="C181" t="s">
        <v>237</v>
      </c>
    </row>
    <row r="182" spans="1:3" x14ac:dyDescent="0.3">
      <c r="A182" t="s">
        <v>421</v>
      </c>
      <c r="B182">
        <f>Ingredientes!GE16</f>
        <v>0.16447307692307694</v>
      </c>
      <c r="C182" t="s">
        <v>237</v>
      </c>
    </row>
    <row r="183" spans="1:3" x14ac:dyDescent="0.3">
      <c r="A183" t="s">
        <v>422</v>
      </c>
      <c r="B183">
        <f>Ingredientes!GF16</f>
        <v>0</v>
      </c>
      <c r="C183" t="s">
        <v>237</v>
      </c>
    </row>
    <row r="184" spans="1:3" x14ac:dyDescent="0.3">
      <c r="A184" t="s">
        <v>423</v>
      </c>
      <c r="B184">
        <f>Ingredientes!GG16</f>
        <v>3.5236153846153848E-2</v>
      </c>
      <c r="C184" t="s">
        <v>237</v>
      </c>
    </row>
    <row r="185" spans="1:3" x14ac:dyDescent="0.3">
      <c r="A185" t="s">
        <v>424</v>
      </c>
      <c r="B185">
        <f>Ingredientes!GH16</f>
        <v>0</v>
      </c>
      <c r="C185" t="s">
        <v>237</v>
      </c>
    </row>
    <row r="186" spans="1:3" x14ac:dyDescent="0.3">
      <c r="A186" t="s">
        <v>425</v>
      </c>
      <c r="B186">
        <f>Ingredientes!GI16</f>
        <v>0</v>
      </c>
      <c r="C186" t="s">
        <v>258</v>
      </c>
    </row>
    <row r="187" spans="1:3" x14ac:dyDescent="0.3">
      <c r="A187" t="s">
        <v>426</v>
      </c>
      <c r="B187">
        <f>Ingredientes!GJ16</f>
        <v>0</v>
      </c>
      <c r="C187" t="s">
        <v>258</v>
      </c>
    </row>
    <row r="188" spans="1:3" x14ac:dyDescent="0.3">
      <c r="A188" t="s">
        <v>427</v>
      </c>
      <c r="B188">
        <f>Ingredientes!GK16</f>
        <v>0.53733846153846165</v>
      </c>
      <c r="C188" t="s">
        <v>268</v>
      </c>
    </row>
    <row r="189" spans="1:3" x14ac:dyDescent="0.3">
      <c r="A189" t="s">
        <v>428</v>
      </c>
      <c r="B189">
        <f>Ingredientes!GL16</f>
        <v>4.5861538461538467E-2</v>
      </c>
      <c r="C189" t="s">
        <v>258</v>
      </c>
    </row>
    <row r="190" spans="1:3" x14ac:dyDescent="0.3">
      <c r="A190" t="s">
        <v>429</v>
      </c>
      <c r="B190">
        <f>Ingredientes!GM16</f>
        <v>4.7423076923076929E-2</v>
      </c>
      <c r="C190" t="s">
        <v>258</v>
      </c>
    </row>
    <row r="191" spans="1:3" x14ac:dyDescent="0.3">
      <c r="A191" t="s">
        <v>430</v>
      </c>
      <c r="B191">
        <f>Ingredientes!GN16</f>
        <v>1.6054615384615385</v>
      </c>
      <c r="C191" t="s">
        <v>258</v>
      </c>
    </row>
    <row r="192" spans="1:3" x14ac:dyDescent="0.3">
      <c r="A192" t="s">
        <v>431</v>
      </c>
      <c r="B192">
        <f>Ingredientes!GO16</f>
        <v>2.5784615384615384</v>
      </c>
      <c r="C192" t="s">
        <v>258</v>
      </c>
    </row>
    <row r="193" spans="1:3" x14ac:dyDescent="0.3">
      <c r="A193" t="s">
        <v>432</v>
      </c>
      <c r="B193">
        <f>Ingredientes!GP16</f>
        <v>0.13302307692307694</v>
      </c>
      <c r="C193" t="s">
        <v>258</v>
      </c>
    </row>
    <row r="194" spans="1:3" x14ac:dyDescent="0.3">
      <c r="A194" t="s">
        <v>433</v>
      </c>
      <c r="B194">
        <f>Ingredientes!GQ16</f>
        <v>5.1176923076923083E-3</v>
      </c>
      <c r="C194" t="s">
        <v>237</v>
      </c>
    </row>
    <row r="195" spans="1:3" x14ac:dyDescent="0.3">
      <c r="A195" t="s">
        <v>434</v>
      </c>
      <c r="B195">
        <f>Ingredientes!GR16</f>
        <v>3.3415384615384618E-2</v>
      </c>
      <c r="C195" t="s">
        <v>237</v>
      </c>
    </row>
    <row r="196" spans="1:3" x14ac:dyDescent="0.3">
      <c r="A196" t="s">
        <v>435</v>
      </c>
      <c r="B196">
        <f>Ingredientes!GS16</f>
        <v>2.0192307692307693E-3</v>
      </c>
      <c r="C196" t="s">
        <v>237</v>
      </c>
    </row>
    <row r="197" spans="1:3" x14ac:dyDescent="0.3">
      <c r="A197" t="s">
        <v>436</v>
      </c>
      <c r="B197">
        <f>Ingredientes!GT16</f>
        <v>54.292307692307695</v>
      </c>
      <c r="C197" t="s">
        <v>258</v>
      </c>
    </row>
    <row r="198" spans="1:3" x14ac:dyDescent="0.3">
      <c r="A198" t="s">
        <v>437</v>
      </c>
      <c r="B198">
        <f>Ingredientes!GU16</f>
        <v>12.40769230769231</v>
      </c>
      <c r="C198" t="s">
        <v>258</v>
      </c>
    </row>
    <row r="199" spans="1:3" x14ac:dyDescent="0.3">
      <c r="A199" t="s">
        <v>438</v>
      </c>
      <c r="B199">
        <f>Ingredientes!GV16</f>
        <v>0</v>
      </c>
      <c r="C199" t="s">
        <v>258</v>
      </c>
    </row>
    <row r="200" spans="1:3" x14ac:dyDescent="0.3">
      <c r="A200" t="s">
        <v>439</v>
      </c>
      <c r="B200">
        <f>Ingredientes!GW16</f>
        <v>0.94923076923076932</v>
      </c>
      <c r="C200" t="s">
        <v>258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TORRES</cp:lastModifiedBy>
  <dcterms:created xsi:type="dcterms:W3CDTF">2025-12-07T02:23:28Z</dcterms:created>
  <dcterms:modified xsi:type="dcterms:W3CDTF">2025-12-07T02:34:43Z</dcterms:modified>
</cp:coreProperties>
</file>