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</cols>
  <sheetData>
    <row r="1">
      <c r="A1" s="1" t="inlineStr">
        <is>
          <t>Detalles de formulación</t>
        </is>
      </c>
      <c r="G1" s="2" t="inlineStr">
        <is>
          <t>Proximates</t>
        </is>
      </c>
      <c r="M1" s="3" t="inlineStr">
        <is>
          <t>Carbohydrates</t>
        </is>
      </c>
      <c r="T1" s="4" t="inlineStr">
        <is>
          <t>Minerals</t>
        </is>
      </c>
      <c r="AE1" s="5" t="inlineStr">
        <is>
          <t>Vitamins and Other Components</t>
        </is>
      </c>
      <c r="BO1" s="6" t="inlineStr">
        <is>
          <t>Lipids</t>
        </is>
      </c>
      <c r="EG1" s="7" t="inlineStr">
        <is>
          <t>Amino acids</t>
        </is>
      </c>
      <c r="EZ1" s="8" t="inlineStr">
        <is>
          <t>Nutrientes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Nitrogen (g)</t>
        </is>
      </c>
      <c r="H2" s="2" t="inlineStr">
        <is>
          <t>Protein (g)</t>
        </is>
      </c>
      <c r="I2" s="2" t="inlineStr">
        <is>
          <t>Total fat (NLEA) (g)</t>
        </is>
      </c>
      <c r="J2" s="2" t="inlineStr">
        <is>
          <t>Total lipid (fat) (g)</t>
        </is>
      </c>
      <c r="K2" s="2" t="inlineStr">
        <is>
          <t>Ash (g)</t>
        </is>
      </c>
      <c r="L2" s="2" t="inlineStr">
        <is>
          <t>Carbohydrate, by difference (g)</t>
        </is>
      </c>
      <c r="M2" s="3" t="inlineStr">
        <is>
          <t>Sugars, Total (g)</t>
        </is>
      </c>
      <c r="N2" s="3" t="inlineStr">
        <is>
          <t>Sucrose (g)</t>
        </is>
      </c>
      <c r="O2" s="3" t="inlineStr">
        <is>
          <t>Glucose (g)</t>
        </is>
      </c>
      <c r="P2" s="3" t="inlineStr">
        <is>
          <t>Fructose (g)</t>
        </is>
      </c>
      <c r="Q2" s="3" t="inlineStr">
        <is>
          <t>Lactose (g)</t>
        </is>
      </c>
      <c r="R2" s="3" t="inlineStr">
        <is>
          <t>Maltose (g)</t>
        </is>
      </c>
      <c r="S2" s="3" t="inlineStr">
        <is>
          <t>Galactose (g)</t>
        </is>
      </c>
      <c r="T2" s="4" t="inlineStr">
        <is>
          <t>Calcium, Ca (mg)</t>
        </is>
      </c>
      <c r="U2" s="4" t="inlineStr">
        <is>
          <t>Iron, Fe (mg)</t>
        </is>
      </c>
      <c r="V2" s="4" t="inlineStr">
        <is>
          <t>Magnesium, Mg (mg)</t>
        </is>
      </c>
      <c r="W2" s="4" t="inlineStr">
        <is>
          <t>Phosphorus, P (mg)</t>
        </is>
      </c>
      <c r="X2" s="4" t="inlineStr">
        <is>
          <t>Potassium, K (mg)</t>
        </is>
      </c>
      <c r="Y2" s="4" t="inlineStr">
        <is>
          <t>Sodium, Na (mg)</t>
        </is>
      </c>
      <c r="Z2" s="4" t="inlineStr">
        <is>
          <t>Zinc, Zn (mg)</t>
        </is>
      </c>
      <c r="AA2" s="4" t="inlineStr">
        <is>
          <t>Copper, Cu (mg)</t>
        </is>
      </c>
      <c r="AB2" s="4" t="inlineStr">
        <is>
          <t>Manganese, Mn (mg)</t>
        </is>
      </c>
      <c r="AC2" s="4" t="inlineStr">
        <is>
          <t>Iodine, I (μg)</t>
        </is>
      </c>
      <c r="AD2" s="4" t="inlineStr">
        <is>
          <t>Selenium, Se (μg)</t>
        </is>
      </c>
      <c r="AE2" s="5" t="inlineStr">
        <is>
          <t>Thiamin (mg)</t>
        </is>
      </c>
      <c r="AF2" s="5" t="inlineStr">
        <is>
          <t>Riboflavin (mg)</t>
        </is>
      </c>
      <c r="AG2" s="5" t="inlineStr">
        <is>
          <t>Niacin (mg)</t>
        </is>
      </c>
      <c r="AH2" s="5" t="inlineStr">
        <is>
          <t>Vitamin B-6 (mg)</t>
        </is>
      </c>
      <c r="AI2" s="5" t="inlineStr">
        <is>
          <t>Folate, total (μg)</t>
        </is>
      </c>
      <c r="AJ2" s="5" t="inlineStr">
        <is>
          <t>Choline, total (mg)</t>
        </is>
      </c>
      <c r="AK2" s="5" t="inlineStr">
        <is>
          <t>Vitamin A, RAE (μg)</t>
        </is>
      </c>
      <c r="AL2" s="5" t="inlineStr">
        <is>
          <t>Vitamin D (D2 + D3) (μg)</t>
        </is>
      </c>
      <c r="AM2" s="5" t="inlineStr">
        <is>
          <t>Vitamin E (alpha-tocopherol) (mg)</t>
        </is>
      </c>
      <c r="AN2" s="5" t="inlineStr">
        <is>
          <t>Pantothenic acid (mg)</t>
        </is>
      </c>
      <c r="AO2" s="5" t="inlineStr">
        <is>
          <t>Retinol (μg)</t>
        </is>
      </c>
      <c r="AP2" s="5" t="inlineStr">
        <is>
          <t>Carotene, beta (μg)</t>
        </is>
      </c>
      <c r="AQ2" s="5" t="inlineStr">
        <is>
          <t>cis-beta-Carotene (μg)</t>
        </is>
      </c>
      <c r="AR2" s="5" t="inlineStr">
        <is>
          <t>trans-beta-Carotene (μg)</t>
        </is>
      </c>
      <c r="AS2" s="5" t="inlineStr">
        <is>
          <t>Carotene, alpha (μg)</t>
        </is>
      </c>
      <c r="AT2" s="5" t="inlineStr">
        <is>
          <t>Vitamin D (D2 + D3), International Units (iu)</t>
        </is>
      </c>
      <c r="AU2" s="5" t="inlineStr">
        <is>
          <t>Vitamin D2 (ergocalciferol) (μg)</t>
        </is>
      </c>
      <c r="AV2" s="5" t="inlineStr">
        <is>
          <t>Vitamin D3 (cholecalciferol) (μg)</t>
        </is>
      </c>
      <c r="AW2" s="5" t="inlineStr">
        <is>
          <t>Lycopene (μg)</t>
        </is>
      </c>
      <c r="AX2" s="5" t="inlineStr">
        <is>
          <t>cis-Lycopene (μg)</t>
        </is>
      </c>
      <c r="AY2" s="5" t="inlineStr">
        <is>
          <t>trans-Lycopene (μg)</t>
        </is>
      </c>
      <c r="AZ2" s="5" t="inlineStr">
        <is>
          <t>Lutein (μg)</t>
        </is>
      </c>
      <c r="BA2" s="5" t="inlineStr">
        <is>
          <t>Zeaxanthin (μg)</t>
        </is>
      </c>
      <c r="BB2" s="5" t="inlineStr">
        <is>
          <t>cis-Lutein/Zeaxanthin (μg)</t>
        </is>
      </c>
      <c r="BC2" s="5" t="inlineStr">
        <is>
          <t>Tocopherol, beta (mg)</t>
        </is>
      </c>
      <c r="BD2" s="5" t="inlineStr">
        <is>
          <t>Tocopherol, gamma (mg)</t>
        </is>
      </c>
      <c r="BE2" s="5" t="inlineStr">
        <is>
          <t>Tocopherol, delta (mg)</t>
        </is>
      </c>
      <c r="BF2" s="5" t="inlineStr">
        <is>
          <t>Tocotrienol, alpha (mg)</t>
        </is>
      </c>
      <c r="BG2" s="5" t="inlineStr">
        <is>
          <t>Tocotrienol, beta (mg)</t>
        </is>
      </c>
      <c r="BH2" s="5" t="inlineStr">
        <is>
          <t>Tocotrienol, gamma (mg)</t>
        </is>
      </c>
      <c r="BI2" s="5" t="inlineStr">
        <is>
          <t>Tocotrienol, delta (mg)</t>
        </is>
      </c>
      <c r="BJ2" s="5" t="inlineStr">
        <is>
          <t>Choline, free (mg)</t>
        </is>
      </c>
      <c r="BK2" s="5" t="inlineStr">
        <is>
          <t>Choline, from phosphocholine (mg)</t>
        </is>
      </c>
      <c r="BL2" s="5" t="inlineStr">
        <is>
          <t>Choline, from phosphatidyl choline (mg)</t>
        </is>
      </c>
      <c r="BM2" s="5" t="inlineStr">
        <is>
          <t>Choline, from glycerophosphocholine (mg)</t>
        </is>
      </c>
      <c r="BN2" s="5" t="inlineStr">
        <is>
          <t>Choline, from sphingomyelin (mg)</t>
        </is>
      </c>
      <c r="BO2" s="6" t="inlineStr">
        <is>
          <t>Fatty acids, total saturated (g)</t>
        </is>
      </c>
      <c r="BP2" s="6" t="inlineStr">
        <is>
          <t>Fatty acids, total monounsaturated (g)</t>
        </is>
      </c>
      <c r="BQ2" s="6" t="inlineStr">
        <is>
          <t>Fatty acids, total polyunsaturated (g)</t>
        </is>
      </c>
      <c r="BR2" s="6" t="inlineStr">
        <is>
          <t>Fatty acids, total trans (g)</t>
        </is>
      </c>
      <c r="BS2" s="6" t="inlineStr">
        <is>
          <t>Cholesterol (mg)</t>
        </is>
      </c>
      <c r="BT2" s="6" t="inlineStr">
        <is>
          <t>SFA 4:0 (g)</t>
        </is>
      </c>
      <c r="BU2" s="6" t="inlineStr">
        <is>
          <t>SFA 6:0 (g)</t>
        </is>
      </c>
      <c r="BV2" s="6" t="inlineStr">
        <is>
          <t>SFA 8:0 (g)</t>
        </is>
      </c>
      <c r="BW2" s="6" t="inlineStr">
        <is>
          <t>SFA 10:0 (g)</t>
        </is>
      </c>
      <c r="BX2" s="6" t="inlineStr">
        <is>
          <t>SFA 12:0 (g)</t>
        </is>
      </c>
      <c r="BY2" s="6" t="inlineStr">
        <is>
          <t>SFA 14:0 (g)</t>
        </is>
      </c>
      <c r="BZ2" s="6" t="inlineStr">
        <is>
          <t>SFA 16:0 (g)</t>
        </is>
      </c>
      <c r="CA2" s="6" t="inlineStr">
        <is>
          <t>SFA 18:0 (g)</t>
        </is>
      </c>
      <c r="CB2" s="6" t="inlineStr">
        <is>
          <t>SFA 20:0 (g)</t>
        </is>
      </c>
      <c r="CC2" s="6" t="inlineStr">
        <is>
          <t>PUFA 20:4 (g)</t>
        </is>
      </c>
      <c r="CD2" s="6" t="inlineStr">
        <is>
          <t>PUFA 22:6 n-3 (DHA) (g)</t>
        </is>
      </c>
      <c r="CE2" s="6" t="inlineStr">
        <is>
          <t>SFA 22:0 (g)</t>
        </is>
      </c>
      <c r="CF2" s="6" t="inlineStr">
        <is>
          <t>PUFA 18:4 (g)</t>
        </is>
      </c>
      <c r="CG2" s="6" t="inlineStr">
        <is>
          <t>PUFA 20:5 n-3 (EPA) (g)</t>
        </is>
      </c>
      <c r="CH2" s="6" t="inlineStr">
        <is>
          <t>PUFA 22:5 n-3 (DPA) (g)</t>
        </is>
      </c>
      <c r="CI2" s="6" t="inlineStr">
        <is>
          <t>SFA 5:0 (g)</t>
        </is>
      </c>
      <c r="CJ2" s="6" t="inlineStr">
        <is>
          <t>SFA 7:0 (g)</t>
        </is>
      </c>
      <c r="CK2" s="6" t="inlineStr">
        <is>
          <t>SFA 9:0 (g)</t>
        </is>
      </c>
      <c r="CL2" s="6" t="inlineStr">
        <is>
          <t>MUFA 12:1 (g)</t>
        </is>
      </c>
      <c r="CM2" s="6" t="inlineStr">
        <is>
          <t>SFA 15:0 (g)</t>
        </is>
      </c>
      <c r="CN2" s="6" t="inlineStr">
        <is>
          <t>SFA 17:0 (g)</t>
        </is>
      </c>
      <c r="CO2" s="6" t="inlineStr">
        <is>
          <t>SFA 24:0 (g)</t>
        </is>
      </c>
      <c r="CP2" s="6" t="inlineStr">
        <is>
          <t>TFA 16:1 t (g)</t>
        </is>
      </c>
      <c r="CQ2" s="6" t="inlineStr">
        <is>
          <t>TFA 18:1 t (g)</t>
        </is>
      </c>
      <c r="CR2" s="6" t="inlineStr">
        <is>
          <t>TFA 22:1 t (g)</t>
        </is>
      </c>
      <c r="CS2" s="6" t="inlineStr">
        <is>
          <t>TFA 18:2 t not further defined (g)</t>
        </is>
      </c>
      <c r="CT2" s="6" t="inlineStr">
        <is>
          <t>PUFA 18:2 CLAs (g)</t>
        </is>
      </c>
      <c r="CU2" s="6" t="inlineStr">
        <is>
          <t>MUFA 24:1 c (g)</t>
        </is>
      </c>
      <c r="CV2" s="6" t="inlineStr">
        <is>
          <t>PUFA 20:2 n-6 c,c (g)</t>
        </is>
      </c>
      <c r="CW2" s="6" t="inlineStr">
        <is>
          <t>MUFA 16:1 c (g)</t>
        </is>
      </c>
      <c r="CX2" s="6" t="inlineStr">
        <is>
          <t>MUFA 18:1 c (g)</t>
        </is>
      </c>
      <c r="CY2" s="6" t="inlineStr">
        <is>
          <t>PUFA 18:2 n-6 c,c (g)</t>
        </is>
      </c>
      <c r="CZ2" s="6" t="inlineStr">
        <is>
          <t>MUFA 22:1 c (g)</t>
        </is>
      </c>
      <c r="DA2" s="6" t="inlineStr">
        <is>
          <t>MUFA 22:1 n-9 (g)</t>
        </is>
      </c>
      <c r="DB2" s="6" t="inlineStr">
        <is>
          <t>MUFA 22:1 n-11 (g)</t>
        </is>
      </c>
      <c r="DC2" s="6" t="inlineStr">
        <is>
          <t>SFA 21:0 (g)</t>
        </is>
      </c>
      <c r="DD2" s="6" t="inlineStr">
        <is>
          <t>SFA 23:0 (g)</t>
        </is>
      </c>
      <c r="DE2" s="6" t="inlineStr">
        <is>
          <t>PUFA 22:3 (g)</t>
        </is>
      </c>
      <c r="DF2" s="6" t="inlineStr">
        <is>
          <t>PUFA 18:3 n-6 c,c,c (g)</t>
        </is>
      </c>
      <c r="DG2" s="6" t="inlineStr">
        <is>
          <t>MUFA 17:1 (g)</t>
        </is>
      </c>
      <c r="DH2" s="6" t="inlineStr">
        <is>
          <t>Fatty acids, total trans-monoenoic (g)</t>
        </is>
      </c>
      <c r="DI2" s="6" t="inlineStr">
        <is>
          <t>Fatty acids, total trans-dienoic (g)</t>
        </is>
      </c>
      <c r="DJ2" s="6" t="inlineStr">
        <is>
          <t>Fatty acids, total trans-polyenoic (g)</t>
        </is>
      </c>
      <c r="DK2" s="6" t="inlineStr">
        <is>
          <t>MUFA 15:1 (g)</t>
        </is>
      </c>
      <c r="DL2" s="6" t="inlineStr">
        <is>
          <t>PUFA 22:2 (g)</t>
        </is>
      </c>
      <c r="DM2" s="6" t="inlineStr">
        <is>
          <t>SFA 11:0 (g)</t>
        </is>
      </c>
      <c r="DN2" s="6" t="inlineStr">
        <is>
          <t>TFA 14:1 t (g)</t>
        </is>
      </c>
      <c r="DO2" s="6" t="inlineStr">
        <is>
          <t>MUFA 14:1 c (g)</t>
        </is>
      </c>
      <c r="DP2" s="6" t="inlineStr">
        <is>
          <t>MUFA 17:1 c (g)</t>
        </is>
      </c>
      <c r="DQ2" s="6" t="inlineStr">
        <is>
          <t>MUFA 20:1 c (g)</t>
        </is>
      </c>
      <c r="DR2" s="6" t="inlineStr">
        <is>
          <t>TFA 20:1 t (g)</t>
        </is>
      </c>
      <c r="DS2" s="6" t="inlineStr">
        <is>
          <t>PUFA 18:2 c (g)</t>
        </is>
      </c>
      <c r="DT2" s="6" t="inlineStr">
        <is>
          <t>PUFA 18:3 c (g)</t>
        </is>
      </c>
      <c r="DU2" s="6" t="inlineStr">
        <is>
          <t>TFA 18:3 t (g)</t>
        </is>
      </c>
      <c r="DV2" s="6" t="inlineStr">
        <is>
          <t>PUFA 20:3 c (g)</t>
        </is>
      </c>
      <c r="DW2" s="6" t="inlineStr">
        <is>
          <t>PUFA 20:4c (g)</t>
        </is>
      </c>
      <c r="DX2" s="6" t="inlineStr">
        <is>
          <t>PUFA 20:5c (g)</t>
        </is>
      </c>
      <c r="DY2" s="6" t="inlineStr">
        <is>
          <t>PUFA 22:5 c (g)</t>
        </is>
      </c>
      <c r="DZ2" s="6" t="inlineStr">
        <is>
          <t>PUFA 22:6 c (g)</t>
        </is>
      </c>
      <c r="EA2" s="6" t="inlineStr">
        <is>
          <t>PUFA 20:2 c (g)</t>
        </is>
      </c>
      <c r="EB2" s="6" t="inlineStr">
        <is>
          <t>PUFA 18:3 n-3 c,c,c (ALA) (g)</t>
        </is>
      </c>
      <c r="EC2" s="6" t="inlineStr">
        <is>
          <t>PUFA 20:3 n-3 (g)</t>
        </is>
      </c>
      <c r="ED2" s="6" t="inlineStr">
        <is>
          <t>PUFA 20:3 n-6 (g)</t>
        </is>
      </c>
      <c r="EE2" s="6" t="inlineStr">
        <is>
          <t>PUFA 22:4 (g)</t>
        </is>
      </c>
      <c r="EF2" s="6" t="inlineStr">
        <is>
          <t>PUFA 20:3 n-9 (g)</t>
        </is>
      </c>
      <c r="EG2" s="7" t="inlineStr">
        <is>
          <t>Tryptophan (g)</t>
        </is>
      </c>
      <c r="EH2" s="7" t="inlineStr">
        <is>
          <t>Threonine (g)</t>
        </is>
      </c>
      <c r="EI2" s="7" t="inlineStr">
        <is>
          <t>Isoleucine (g)</t>
        </is>
      </c>
      <c r="EJ2" s="7" t="inlineStr">
        <is>
          <t>Leucine (g)</t>
        </is>
      </c>
      <c r="EK2" s="7" t="inlineStr">
        <is>
          <t>Lysine (g)</t>
        </is>
      </c>
      <c r="EL2" s="7" t="inlineStr">
        <is>
          <t>Methionine (g)</t>
        </is>
      </c>
      <c r="EM2" s="7" t="inlineStr">
        <is>
          <t>Phenylalanine (g)</t>
        </is>
      </c>
      <c r="EN2" s="7" t="inlineStr">
        <is>
          <t>Tyrosine (g)</t>
        </is>
      </c>
      <c r="EO2" s="7" t="inlineStr">
        <is>
          <t>Valine (g)</t>
        </is>
      </c>
      <c r="EP2" s="7" t="inlineStr">
        <is>
          <t>Arginine (g)</t>
        </is>
      </c>
      <c r="EQ2" s="7" t="inlineStr">
        <is>
          <t>Histidine (g)</t>
        </is>
      </c>
      <c r="ER2" s="7" t="inlineStr">
        <is>
          <t>Alanine (g)</t>
        </is>
      </c>
      <c r="ES2" s="7" t="inlineStr">
        <is>
          <t>Aspartic acid (g)</t>
        </is>
      </c>
      <c r="ET2" s="7" t="inlineStr">
        <is>
          <t>Glutamic acid (g)</t>
        </is>
      </c>
      <c r="EU2" s="7" t="inlineStr">
        <is>
          <t>Glycine (g)</t>
        </is>
      </c>
      <c r="EV2" s="7" t="inlineStr">
        <is>
          <t>Proline (g)</t>
        </is>
      </c>
      <c r="EW2" s="7" t="inlineStr">
        <is>
          <t>Serine (g)</t>
        </is>
      </c>
      <c r="EX2" s="7" t="inlineStr">
        <is>
          <t>Hydroxyproline (g)</t>
        </is>
      </c>
      <c r="EY2" s="7" t="inlineStr">
        <is>
          <t>Cysteine (g)</t>
        </is>
      </c>
      <c r="EZ2" s="8" t="inlineStr">
        <is>
          <t>25-hydroxycholecalciferol (μg)</t>
        </is>
      </c>
      <c r="FA2" s="8" t="inlineStr">
        <is>
          <t>Cryptoxanthin, beta (μg)</t>
        </is>
      </c>
      <c r="FB2" s="8" t="inlineStr">
        <is>
          <t>Cryptoxanthin, alpha (μg)</t>
        </is>
      </c>
    </row>
    <row r="3">
      <c r="A3" t="n">
        <v>329490</v>
      </c>
      <c r="B3" t="inlineStr">
        <is>
          <t>Egg, whole, dried</t>
        </is>
      </c>
      <c r="C3" t="inlineStr"/>
      <c r="D3" t="inlineStr">
        <is>
          <t>Foundation</t>
        </is>
      </c>
      <c r="E3" s="9" t="n">
        <v>50</v>
      </c>
      <c r="F3" s="10">
        <f>E3/SUM($E$3:$E$4)</f>
        <v/>
      </c>
      <c r="G3" t="n">
        <v>7.69</v>
      </c>
      <c r="H3" t="n">
        <v>48.1</v>
      </c>
      <c r="I3" t="n">
        <v>39.8</v>
      </c>
      <c r="J3" t="n">
        <v>39.8</v>
      </c>
      <c r="K3" t="n">
        <v>6.2</v>
      </c>
      <c r="L3" t="n">
        <v>1.87</v>
      </c>
      <c r="T3" t="n">
        <v>220</v>
      </c>
      <c r="U3" t="n">
        <v>6.97</v>
      </c>
      <c r="V3" t="n">
        <v>44.6</v>
      </c>
      <c r="W3" t="n">
        <v>770</v>
      </c>
      <c r="X3" t="n">
        <v>468</v>
      </c>
      <c r="Y3" t="n">
        <v>485</v>
      </c>
      <c r="Z3" t="n">
        <v>5.02</v>
      </c>
      <c r="AA3" t="n">
        <v>0</v>
      </c>
      <c r="AB3" t="n">
        <v>0</v>
      </c>
      <c r="AC3" t="n">
        <v>274</v>
      </c>
      <c r="AL3" t="n">
        <v>9.699999999999999</v>
      </c>
      <c r="AT3" t="n">
        <v>388</v>
      </c>
      <c r="AU3" t="n">
        <v>0</v>
      </c>
      <c r="AV3" t="n">
        <v>9.699999999999999</v>
      </c>
      <c r="BS3" t="n">
        <v>1700</v>
      </c>
      <c r="EZ3" t="n">
        <v>1.7</v>
      </c>
    </row>
    <row r="4">
      <c r="A4" t="n">
        <v>746782</v>
      </c>
      <c r="B4" t="inlineStr">
        <is>
          <t>Milk, whole, 3.25% milkfat, with added vitamin D</t>
        </is>
      </c>
      <c r="C4" t="inlineStr"/>
      <c r="D4" t="inlineStr">
        <is>
          <t>Foundation</t>
        </is>
      </c>
      <c r="E4" s="9" t="n">
        <v>150</v>
      </c>
      <c r="F4" s="10">
        <f>E4/SUM($E$3:$E$4)</f>
        <v/>
      </c>
      <c r="G4" t="n">
        <v>0.51</v>
      </c>
      <c r="H4" t="n">
        <v>3.27</v>
      </c>
      <c r="I4" t="n">
        <v>2.77</v>
      </c>
      <c r="J4" t="n">
        <v>3.2</v>
      </c>
      <c r="K4" t="n">
        <v>0.8</v>
      </c>
      <c r="L4" t="n">
        <v>4.63</v>
      </c>
      <c r="M4" t="n">
        <v>4.81</v>
      </c>
      <c r="N4" t="n">
        <v>0</v>
      </c>
      <c r="O4" t="n">
        <v>0</v>
      </c>
      <c r="P4" t="n">
        <v>0</v>
      </c>
      <c r="Q4" t="n">
        <v>4.81</v>
      </c>
      <c r="R4" t="n">
        <v>0</v>
      </c>
      <c r="S4" t="n">
        <v>0</v>
      </c>
      <c r="T4" t="n">
        <v>123</v>
      </c>
      <c r="U4" t="n">
        <v>0</v>
      </c>
      <c r="V4" t="n">
        <v>11.9</v>
      </c>
      <c r="W4" t="n">
        <v>101</v>
      </c>
      <c r="X4" t="n">
        <v>150</v>
      </c>
      <c r="Y4" t="n">
        <v>38</v>
      </c>
      <c r="Z4" t="n">
        <v>0.42</v>
      </c>
      <c r="AA4" t="n">
        <v>0.001</v>
      </c>
      <c r="AB4" t="n">
        <v>0</v>
      </c>
      <c r="AC4" t="n">
        <v>37.9</v>
      </c>
      <c r="AD4" t="n">
        <v>1.9</v>
      </c>
      <c r="AE4" t="n">
        <v>0.056</v>
      </c>
      <c r="AF4" t="n">
        <v>0.138</v>
      </c>
      <c r="AG4" t="n">
        <v>0.105</v>
      </c>
      <c r="AH4" t="n">
        <v>0.061</v>
      </c>
      <c r="AI4" t="n">
        <v>0</v>
      </c>
      <c r="AJ4" t="n">
        <v>17.8</v>
      </c>
      <c r="AK4" t="n">
        <v>32</v>
      </c>
      <c r="AL4" t="n">
        <v>0.96</v>
      </c>
      <c r="AM4" t="n">
        <v>0.05</v>
      </c>
      <c r="AN4" t="n">
        <v>0.362</v>
      </c>
      <c r="AO4" t="n">
        <v>31</v>
      </c>
      <c r="AP4" t="n">
        <v>7</v>
      </c>
      <c r="AQ4" t="n">
        <v>2</v>
      </c>
      <c r="AR4" t="n">
        <v>5</v>
      </c>
      <c r="AS4" t="n">
        <v>0</v>
      </c>
      <c r="AT4" t="n">
        <v>38.4</v>
      </c>
      <c r="AU4" t="n">
        <v>0</v>
      </c>
      <c r="AV4" t="n">
        <v>0.96</v>
      </c>
      <c r="AW4" t="n">
        <v>0</v>
      </c>
      <c r="AX4" t="n">
        <v>0</v>
      </c>
      <c r="AY4" t="n">
        <v>0</v>
      </c>
      <c r="AZ4" t="n">
        <v>5</v>
      </c>
      <c r="BA4" t="n">
        <v>1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3</v>
      </c>
      <c r="BK4" t="n">
        <v>1.3</v>
      </c>
      <c r="BL4" t="n">
        <v>1.8</v>
      </c>
      <c r="BM4" t="n">
        <v>10.3</v>
      </c>
      <c r="BN4" t="n">
        <v>1.4</v>
      </c>
      <c r="BO4" t="n">
        <v>1.86</v>
      </c>
      <c r="BP4" t="n">
        <v>0.6879999999999999</v>
      </c>
      <c r="BQ4" t="n">
        <v>0.108</v>
      </c>
      <c r="BR4" t="n">
        <v>0.112</v>
      </c>
      <c r="BS4" t="n">
        <v>12</v>
      </c>
      <c r="BT4" t="n">
        <v>0.067</v>
      </c>
      <c r="BU4" t="n">
        <v>0.054</v>
      </c>
      <c r="BV4" t="n">
        <v>0.034</v>
      </c>
      <c r="BW4" t="n">
        <v>0.08400000000000001</v>
      </c>
      <c r="BX4" t="n">
        <v>0.097</v>
      </c>
      <c r="BY4" t="n">
        <v>0.303</v>
      </c>
      <c r="BZ4" t="n">
        <v>0.857</v>
      </c>
      <c r="CA4" t="n">
        <v>0.309</v>
      </c>
      <c r="CB4" t="n">
        <v>0.004</v>
      </c>
      <c r="CC4" t="n">
        <v>0.004</v>
      </c>
      <c r="CD4" t="n">
        <v>0</v>
      </c>
      <c r="CE4" t="n">
        <v>0.002</v>
      </c>
      <c r="CF4" t="n">
        <v>0</v>
      </c>
      <c r="CG4" t="n">
        <v>0.001</v>
      </c>
      <c r="CH4" t="n">
        <v>0.002</v>
      </c>
      <c r="CI4" t="n">
        <v>0</v>
      </c>
      <c r="CJ4" t="n">
        <v>0</v>
      </c>
      <c r="CK4" t="n">
        <v>0</v>
      </c>
      <c r="CL4" t="n">
        <v>0.001</v>
      </c>
      <c r="CM4" t="n">
        <v>0.032</v>
      </c>
      <c r="CN4" t="n">
        <v>0.018</v>
      </c>
      <c r="CO4" t="n">
        <v>0.001</v>
      </c>
      <c r="CP4" t="n">
        <v>0.008</v>
      </c>
      <c r="CQ4" t="n">
        <v>0.082</v>
      </c>
      <c r="CR4" t="n">
        <v>0</v>
      </c>
      <c r="CS4" t="n">
        <v>0.018</v>
      </c>
      <c r="CT4" t="n">
        <v>0.013</v>
      </c>
      <c r="CU4" t="n">
        <v>0</v>
      </c>
      <c r="CV4" t="n">
        <v>0.001</v>
      </c>
      <c r="CW4" t="n">
        <v>0.039</v>
      </c>
      <c r="CX4" t="n">
        <v>0.612</v>
      </c>
      <c r="CY4" t="n">
        <v>0.08400000000000001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0.001</v>
      </c>
      <c r="DG4" t="n">
        <v>0.005</v>
      </c>
      <c r="DH4" t="n">
        <v>0.095</v>
      </c>
      <c r="DI4" t="n">
        <v>0.018</v>
      </c>
      <c r="DJ4" t="n">
        <v>0</v>
      </c>
      <c r="DK4" t="n">
        <v>0</v>
      </c>
      <c r="DL4" t="n">
        <v>0</v>
      </c>
      <c r="DM4" t="n">
        <v>0</v>
      </c>
      <c r="DN4" t="n">
        <v>0.005</v>
      </c>
      <c r="DO4" t="n">
        <v>0.024</v>
      </c>
      <c r="DP4" t="n">
        <v>0.005</v>
      </c>
      <c r="DQ4" t="n">
        <v>0.004</v>
      </c>
      <c r="DR4" t="n">
        <v>0</v>
      </c>
      <c r="DS4" t="n">
        <v>0.097</v>
      </c>
      <c r="DT4" t="n">
        <v>0.013</v>
      </c>
      <c r="DU4" t="n">
        <v>0</v>
      </c>
      <c r="DV4" t="n">
        <v>0.004</v>
      </c>
      <c r="DW4" t="n">
        <v>0.004</v>
      </c>
      <c r="DX4" t="n">
        <v>0.001</v>
      </c>
      <c r="DY4" t="n">
        <v>0.002</v>
      </c>
      <c r="DZ4" t="n">
        <v>0</v>
      </c>
      <c r="EA4" t="n">
        <v>0.001</v>
      </c>
      <c r="EB4" t="n">
        <v>0.012</v>
      </c>
      <c r="EC4" t="n">
        <v>0</v>
      </c>
      <c r="ED4" t="n">
        <v>0.004</v>
      </c>
      <c r="EE4" t="n">
        <v>0.001</v>
      </c>
      <c r="EF4" t="n">
        <v>0</v>
      </c>
      <c r="EG4" t="n">
        <v>0.043</v>
      </c>
      <c r="EH4" t="n">
        <v>0.154</v>
      </c>
      <c r="EI4" t="n">
        <v>0.173</v>
      </c>
      <c r="EJ4" t="n">
        <v>0.333</v>
      </c>
      <c r="EK4" t="n">
        <v>0.298</v>
      </c>
      <c r="EL4" t="n">
        <v>0.09</v>
      </c>
      <c r="EM4" t="n">
        <v>0.161</v>
      </c>
      <c r="EN4" t="n">
        <v>0.162</v>
      </c>
      <c r="EO4" t="n">
        <v>0.207</v>
      </c>
      <c r="EP4" t="n">
        <v>0.127</v>
      </c>
      <c r="EQ4" t="n">
        <v>0.097</v>
      </c>
      <c r="ER4" t="n">
        <v>0.11</v>
      </c>
      <c r="ES4" t="n">
        <v>0.279</v>
      </c>
      <c r="ET4" t="n">
        <v>0.788</v>
      </c>
      <c r="EU4" t="n">
        <v>0.06900000000000001</v>
      </c>
      <c r="EV4" t="n">
        <v>0.333</v>
      </c>
      <c r="EW4" t="n">
        <v>0.188</v>
      </c>
      <c r="EX4" t="n">
        <v>0</v>
      </c>
      <c r="EY4" t="n">
        <v>0.038</v>
      </c>
      <c r="EZ4" t="n">
        <v>0</v>
      </c>
      <c r="FA4" t="n">
        <v>0</v>
      </c>
      <c r="FB4" t="n">
        <v>0</v>
      </c>
    </row>
    <row r="5">
      <c r="A5" t="inlineStr">
        <is>
          <t>Total</t>
        </is>
      </c>
      <c r="B5" t="inlineStr">
        <is>
          <t>Formulado</t>
        </is>
      </c>
      <c r="C5" t="inlineStr">
        <is>
          <t>Formulado</t>
        </is>
      </c>
      <c r="D5" t="inlineStr">
        <is>
          <t>Formulado</t>
        </is>
      </c>
      <c r="E5" s="11">
        <f>SUBTOTAL(9,E3:E4)</f>
        <v/>
      </c>
      <c r="F5" s="12" t="inlineStr">
        <is>
          <t>100%</t>
        </is>
      </c>
      <c r="G5" s="13">
        <f>SUMPRODUCT($F$3:$F$4,$G$3:$G$4)</f>
        <v/>
      </c>
      <c r="H5" s="13">
        <f>SUMPRODUCT($F$3:$F$4,$H$3:$H$4)</f>
        <v/>
      </c>
      <c r="I5" s="13">
        <f>SUMPRODUCT($F$3:$F$4,$I$3:$I$4)</f>
        <v/>
      </c>
      <c r="J5" s="13">
        <f>SUMPRODUCT($F$3:$F$4,$J$3:$J$4)</f>
        <v/>
      </c>
      <c r="K5" s="13">
        <f>SUMPRODUCT($F$3:$F$4,$K$3:$K$4)</f>
        <v/>
      </c>
      <c r="L5" s="13">
        <f>SUMPRODUCT($F$3:$F$4,$L$3:$L$4)</f>
        <v/>
      </c>
      <c r="M5" s="13">
        <f>SUMPRODUCT($F$3:$F$4,$M$3:$M$4)</f>
        <v/>
      </c>
      <c r="N5" s="13">
        <f>SUMPRODUCT($F$3:$F$4,$N$3:$N$4)</f>
        <v/>
      </c>
      <c r="O5" s="13">
        <f>SUMPRODUCT($F$3:$F$4,$O$3:$O$4)</f>
        <v/>
      </c>
      <c r="P5" s="13">
        <f>SUMPRODUCT($F$3:$F$4,$P$3:$P$4)</f>
        <v/>
      </c>
      <c r="Q5" s="13">
        <f>SUMPRODUCT($F$3:$F$4,$Q$3:$Q$4)</f>
        <v/>
      </c>
      <c r="R5" s="13">
        <f>SUMPRODUCT($F$3:$F$4,$R$3:$R$4)</f>
        <v/>
      </c>
      <c r="S5" s="13">
        <f>SUMPRODUCT($F$3:$F$4,$S$3:$S$4)</f>
        <v/>
      </c>
      <c r="T5" s="13">
        <f>SUMPRODUCT($F$3:$F$4,$T$3:$T$4)</f>
        <v/>
      </c>
      <c r="U5" s="13">
        <f>SUMPRODUCT($F$3:$F$4,$U$3:$U$4)</f>
        <v/>
      </c>
      <c r="V5" s="13">
        <f>SUMPRODUCT($F$3:$F$4,$V$3:$V$4)</f>
        <v/>
      </c>
      <c r="W5" s="13">
        <f>SUMPRODUCT($F$3:$F$4,$W$3:$W$4)</f>
        <v/>
      </c>
      <c r="X5" s="13">
        <f>SUMPRODUCT($F$3:$F$4,$X$3:$X$4)</f>
        <v/>
      </c>
      <c r="Y5" s="13">
        <f>SUMPRODUCT($F$3:$F$4,$Y$3:$Y$4)</f>
        <v/>
      </c>
      <c r="Z5" s="13">
        <f>SUMPRODUCT($F$3:$F$4,$Z$3:$Z$4)</f>
        <v/>
      </c>
      <c r="AA5" s="13">
        <f>SUMPRODUCT($F$3:$F$4,$AA$3:$AA$4)</f>
        <v/>
      </c>
      <c r="AB5" s="13">
        <f>SUMPRODUCT($F$3:$F$4,$AB$3:$AB$4)</f>
        <v/>
      </c>
      <c r="AC5" s="13">
        <f>SUMPRODUCT($F$3:$F$4,$AC$3:$AC$4)</f>
        <v/>
      </c>
      <c r="AD5" s="13">
        <f>SUMPRODUCT($F$3:$F$4,$AD$3:$AD$4)</f>
        <v/>
      </c>
      <c r="AE5" s="13">
        <f>SUMPRODUCT($F$3:$F$4,$AE$3:$AE$4)</f>
        <v/>
      </c>
      <c r="AF5" s="13">
        <f>SUMPRODUCT($F$3:$F$4,$AF$3:$AF$4)</f>
        <v/>
      </c>
      <c r="AG5" s="13">
        <f>SUMPRODUCT($F$3:$F$4,$AG$3:$AG$4)</f>
        <v/>
      </c>
      <c r="AH5" s="13">
        <f>SUMPRODUCT($F$3:$F$4,$AH$3:$AH$4)</f>
        <v/>
      </c>
      <c r="AI5" s="13">
        <f>SUMPRODUCT($F$3:$F$4,$AI$3:$AI$4)</f>
        <v/>
      </c>
      <c r="AJ5" s="13">
        <f>SUMPRODUCT($F$3:$F$4,$AJ$3:$AJ$4)</f>
        <v/>
      </c>
      <c r="AK5" s="13">
        <f>SUMPRODUCT($F$3:$F$4,$AK$3:$AK$4)</f>
        <v/>
      </c>
      <c r="AL5" s="13">
        <f>SUMPRODUCT($F$3:$F$4,$AL$3:$AL$4)</f>
        <v/>
      </c>
      <c r="AM5" s="13">
        <f>SUMPRODUCT($F$3:$F$4,$AM$3:$AM$4)</f>
        <v/>
      </c>
      <c r="AN5" s="13">
        <f>SUMPRODUCT($F$3:$F$4,$AN$3:$AN$4)</f>
        <v/>
      </c>
      <c r="AO5" s="13">
        <f>SUMPRODUCT($F$3:$F$4,$AO$3:$AO$4)</f>
        <v/>
      </c>
      <c r="AP5" s="13">
        <f>SUMPRODUCT($F$3:$F$4,$AP$3:$AP$4)</f>
        <v/>
      </c>
      <c r="AQ5" s="13">
        <f>SUMPRODUCT($F$3:$F$4,$AQ$3:$AQ$4)</f>
        <v/>
      </c>
      <c r="AR5" s="13">
        <f>SUMPRODUCT($F$3:$F$4,$AR$3:$AR$4)</f>
        <v/>
      </c>
      <c r="AS5" s="13">
        <f>SUMPRODUCT($F$3:$F$4,$AS$3:$AS$4)</f>
        <v/>
      </c>
      <c r="AT5" s="13">
        <f>SUMPRODUCT($F$3:$F$4,$AT$3:$AT$4)</f>
        <v/>
      </c>
      <c r="AU5" s="13">
        <f>SUMPRODUCT($F$3:$F$4,$AU$3:$AU$4)</f>
        <v/>
      </c>
      <c r="AV5" s="13">
        <f>SUMPRODUCT($F$3:$F$4,$AV$3:$AV$4)</f>
        <v/>
      </c>
      <c r="AW5" s="13">
        <f>SUMPRODUCT($F$3:$F$4,$AW$3:$AW$4)</f>
        <v/>
      </c>
      <c r="AX5" s="13">
        <f>SUMPRODUCT($F$3:$F$4,$AX$3:$AX$4)</f>
        <v/>
      </c>
      <c r="AY5" s="13">
        <f>SUMPRODUCT($F$3:$F$4,$AY$3:$AY$4)</f>
        <v/>
      </c>
      <c r="AZ5" s="13">
        <f>SUMPRODUCT($F$3:$F$4,$AZ$3:$AZ$4)</f>
        <v/>
      </c>
      <c r="BA5" s="13">
        <f>SUMPRODUCT($F$3:$F$4,$BA$3:$BA$4)</f>
        <v/>
      </c>
      <c r="BB5" s="13">
        <f>SUMPRODUCT($F$3:$F$4,$BB$3:$BB$4)</f>
        <v/>
      </c>
      <c r="BC5" s="13">
        <f>SUMPRODUCT($F$3:$F$4,$BC$3:$BC$4)</f>
        <v/>
      </c>
      <c r="BD5" s="13">
        <f>SUMPRODUCT($F$3:$F$4,$BD$3:$BD$4)</f>
        <v/>
      </c>
      <c r="BE5" s="13">
        <f>SUMPRODUCT($F$3:$F$4,$BE$3:$BE$4)</f>
        <v/>
      </c>
      <c r="BF5" s="13">
        <f>SUMPRODUCT($F$3:$F$4,$BF$3:$BF$4)</f>
        <v/>
      </c>
      <c r="BG5" s="13">
        <f>SUMPRODUCT($F$3:$F$4,$BG$3:$BG$4)</f>
        <v/>
      </c>
      <c r="BH5" s="13">
        <f>SUMPRODUCT($F$3:$F$4,$BH$3:$BH$4)</f>
        <v/>
      </c>
      <c r="BI5" s="13">
        <f>SUMPRODUCT($F$3:$F$4,$BI$3:$BI$4)</f>
        <v/>
      </c>
      <c r="BJ5" s="13">
        <f>SUMPRODUCT($F$3:$F$4,$BJ$3:$BJ$4)</f>
        <v/>
      </c>
      <c r="BK5" s="13">
        <f>SUMPRODUCT($F$3:$F$4,$BK$3:$BK$4)</f>
        <v/>
      </c>
      <c r="BL5" s="13">
        <f>SUMPRODUCT($F$3:$F$4,$BL$3:$BL$4)</f>
        <v/>
      </c>
      <c r="BM5" s="13">
        <f>SUMPRODUCT($F$3:$F$4,$BM$3:$BM$4)</f>
        <v/>
      </c>
      <c r="BN5" s="13">
        <f>SUMPRODUCT($F$3:$F$4,$BN$3:$BN$4)</f>
        <v/>
      </c>
      <c r="BO5" s="13">
        <f>SUMPRODUCT($F$3:$F$4,$BO$3:$BO$4)</f>
        <v/>
      </c>
      <c r="BP5" s="13">
        <f>SUMPRODUCT($F$3:$F$4,$BP$3:$BP$4)</f>
        <v/>
      </c>
      <c r="BQ5" s="13">
        <f>SUMPRODUCT($F$3:$F$4,$BQ$3:$BQ$4)</f>
        <v/>
      </c>
      <c r="BR5" s="13">
        <f>SUMPRODUCT($F$3:$F$4,$BR$3:$BR$4)</f>
        <v/>
      </c>
      <c r="BS5" s="13">
        <f>SUMPRODUCT($F$3:$F$4,$BS$3:$BS$4)</f>
        <v/>
      </c>
      <c r="BT5" s="13">
        <f>SUMPRODUCT($F$3:$F$4,$BT$3:$BT$4)</f>
        <v/>
      </c>
      <c r="BU5" s="13">
        <f>SUMPRODUCT($F$3:$F$4,$BU$3:$BU$4)</f>
        <v/>
      </c>
      <c r="BV5" s="13">
        <f>SUMPRODUCT($F$3:$F$4,$BV$3:$BV$4)</f>
        <v/>
      </c>
      <c r="BW5" s="13">
        <f>SUMPRODUCT($F$3:$F$4,$BW$3:$BW$4)</f>
        <v/>
      </c>
      <c r="BX5" s="13">
        <f>SUMPRODUCT($F$3:$F$4,$BX$3:$BX$4)</f>
        <v/>
      </c>
      <c r="BY5" s="13">
        <f>SUMPRODUCT($F$3:$F$4,$BY$3:$BY$4)</f>
        <v/>
      </c>
      <c r="BZ5" s="13">
        <f>SUMPRODUCT($F$3:$F$4,$BZ$3:$BZ$4)</f>
        <v/>
      </c>
      <c r="CA5" s="13">
        <f>SUMPRODUCT($F$3:$F$4,$CA$3:$CA$4)</f>
        <v/>
      </c>
      <c r="CB5" s="13">
        <f>SUMPRODUCT($F$3:$F$4,$CB$3:$CB$4)</f>
        <v/>
      </c>
      <c r="CC5" s="13">
        <f>SUMPRODUCT($F$3:$F$4,$CC$3:$CC$4)</f>
        <v/>
      </c>
      <c r="CD5" s="13">
        <f>SUMPRODUCT($F$3:$F$4,$CD$3:$CD$4)</f>
        <v/>
      </c>
      <c r="CE5" s="13">
        <f>SUMPRODUCT($F$3:$F$4,$CE$3:$CE$4)</f>
        <v/>
      </c>
      <c r="CF5" s="13">
        <f>SUMPRODUCT($F$3:$F$4,$CF$3:$CF$4)</f>
        <v/>
      </c>
      <c r="CG5" s="13">
        <f>SUMPRODUCT($F$3:$F$4,$CG$3:$CG$4)</f>
        <v/>
      </c>
      <c r="CH5" s="13">
        <f>SUMPRODUCT($F$3:$F$4,$CH$3:$CH$4)</f>
        <v/>
      </c>
      <c r="CI5" s="13">
        <f>SUMPRODUCT($F$3:$F$4,$CI$3:$CI$4)</f>
        <v/>
      </c>
      <c r="CJ5" s="13">
        <f>SUMPRODUCT($F$3:$F$4,$CJ$3:$CJ$4)</f>
        <v/>
      </c>
      <c r="CK5" s="13">
        <f>SUMPRODUCT($F$3:$F$4,$CK$3:$CK$4)</f>
        <v/>
      </c>
      <c r="CL5" s="13">
        <f>SUMPRODUCT($F$3:$F$4,$CL$3:$CL$4)</f>
        <v/>
      </c>
      <c r="CM5" s="13">
        <f>SUMPRODUCT($F$3:$F$4,$CM$3:$CM$4)</f>
        <v/>
      </c>
      <c r="CN5" s="13">
        <f>SUMPRODUCT($F$3:$F$4,$CN$3:$CN$4)</f>
        <v/>
      </c>
      <c r="CO5" s="13">
        <f>SUMPRODUCT($F$3:$F$4,$CO$3:$CO$4)</f>
        <v/>
      </c>
      <c r="CP5" s="13">
        <f>SUMPRODUCT($F$3:$F$4,$CP$3:$CP$4)</f>
        <v/>
      </c>
      <c r="CQ5" s="13">
        <f>SUMPRODUCT($F$3:$F$4,$CQ$3:$CQ$4)</f>
        <v/>
      </c>
      <c r="CR5" s="13">
        <f>SUMPRODUCT($F$3:$F$4,$CR$3:$CR$4)</f>
        <v/>
      </c>
      <c r="CS5" s="13">
        <f>SUMPRODUCT($F$3:$F$4,$CS$3:$CS$4)</f>
        <v/>
      </c>
      <c r="CT5" s="13">
        <f>SUMPRODUCT($F$3:$F$4,$CT$3:$CT$4)</f>
        <v/>
      </c>
      <c r="CU5" s="13">
        <f>SUMPRODUCT($F$3:$F$4,$CU$3:$CU$4)</f>
        <v/>
      </c>
      <c r="CV5" s="13">
        <f>SUMPRODUCT($F$3:$F$4,$CV$3:$CV$4)</f>
        <v/>
      </c>
      <c r="CW5" s="13">
        <f>SUMPRODUCT($F$3:$F$4,$CW$3:$CW$4)</f>
        <v/>
      </c>
      <c r="CX5" s="13">
        <f>SUMPRODUCT($F$3:$F$4,$CX$3:$CX$4)</f>
        <v/>
      </c>
      <c r="CY5" s="13">
        <f>SUMPRODUCT($F$3:$F$4,$CY$3:$CY$4)</f>
        <v/>
      </c>
      <c r="CZ5" s="13">
        <f>SUMPRODUCT($F$3:$F$4,$CZ$3:$CZ$4)</f>
        <v/>
      </c>
      <c r="DA5" s="13">
        <f>SUMPRODUCT($F$3:$F$4,$DA$3:$DA$4)</f>
        <v/>
      </c>
      <c r="DB5" s="13">
        <f>SUMPRODUCT($F$3:$F$4,$DB$3:$DB$4)</f>
        <v/>
      </c>
      <c r="DC5" s="13">
        <f>SUMPRODUCT($F$3:$F$4,$DC$3:$DC$4)</f>
        <v/>
      </c>
      <c r="DD5" s="13">
        <f>SUMPRODUCT($F$3:$F$4,$DD$3:$DD$4)</f>
        <v/>
      </c>
      <c r="DE5" s="13">
        <f>SUMPRODUCT($F$3:$F$4,$DE$3:$DE$4)</f>
        <v/>
      </c>
      <c r="DF5" s="13">
        <f>SUMPRODUCT($F$3:$F$4,$DF$3:$DF$4)</f>
        <v/>
      </c>
      <c r="DG5" s="13">
        <f>SUMPRODUCT($F$3:$F$4,$DG$3:$DG$4)</f>
        <v/>
      </c>
      <c r="DH5" s="13">
        <f>SUMPRODUCT($F$3:$F$4,$DH$3:$DH$4)</f>
        <v/>
      </c>
      <c r="DI5" s="13">
        <f>SUMPRODUCT($F$3:$F$4,$DI$3:$DI$4)</f>
        <v/>
      </c>
      <c r="DJ5" s="13">
        <f>SUMPRODUCT($F$3:$F$4,$DJ$3:$DJ$4)</f>
        <v/>
      </c>
      <c r="DK5" s="13">
        <f>SUMPRODUCT($F$3:$F$4,$DK$3:$DK$4)</f>
        <v/>
      </c>
      <c r="DL5" s="13">
        <f>SUMPRODUCT($F$3:$F$4,$DL$3:$DL$4)</f>
        <v/>
      </c>
      <c r="DM5" s="13">
        <f>SUMPRODUCT($F$3:$F$4,$DM$3:$DM$4)</f>
        <v/>
      </c>
      <c r="DN5" s="13">
        <f>SUMPRODUCT($F$3:$F$4,$DN$3:$DN$4)</f>
        <v/>
      </c>
      <c r="DO5" s="13">
        <f>SUMPRODUCT($F$3:$F$4,$DO$3:$DO$4)</f>
        <v/>
      </c>
      <c r="DP5" s="13">
        <f>SUMPRODUCT($F$3:$F$4,$DP$3:$DP$4)</f>
        <v/>
      </c>
      <c r="DQ5" s="13">
        <f>SUMPRODUCT($F$3:$F$4,$DQ$3:$DQ$4)</f>
        <v/>
      </c>
      <c r="DR5" s="13">
        <f>SUMPRODUCT($F$3:$F$4,$DR$3:$DR$4)</f>
        <v/>
      </c>
      <c r="DS5" s="13">
        <f>SUMPRODUCT($F$3:$F$4,$DS$3:$DS$4)</f>
        <v/>
      </c>
      <c r="DT5" s="13">
        <f>SUMPRODUCT($F$3:$F$4,$DT$3:$DT$4)</f>
        <v/>
      </c>
      <c r="DU5" s="13">
        <f>SUMPRODUCT($F$3:$F$4,$DU$3:$DU$4)</f>
        <v/>
      </c>
      <c r="DV5" s="13">
        <f>SUMPRODUCT($F$3:$F$4,$DV$3:$DV$4)</f>
        <v/>
      </c>
      <c r="DW5" s="13">
        <f>SUMPRODUCT($F$3:$F$4,$DW$3:$DW$4)</f>
        <v/>
      </c>
      <c r="DX5" s="13">
        <f>SUMPRODUCT($F$3:$F$4,$DX$3:$DX$4)</f>
        <v/>
      </c>
      <c r="DY5" s="13">
        <f>SUMPRODUCT($F$3:$F$4,$DY$3:$DY$4)</f>
        <v/>
      </c>
      <c r="DZ5" s="13">
        <f>SUMPRODUCT($F$3:$F$4,$DZ$3:$DZ$4)</f>
        <v/>
      </c>
      <c r="EA5" s="13">
        <f>SUMPRODUCT($F$3:$F$4,$EA$3:$EA$4)</f>
        <v/>
      </c>
      <c r="EB5" s="13">
        <f>SUMPRODUCT($F$3:$F$4,$EB$3:$EB$4)</f>
        <v/>
      </c>
      <c r="EC5" s="13">
        <f>SUMPRODUCT($F$3:$F$4,$EC$3:$EC$4)</f>
        <v/>
      </c>
      <c r="ED5" s="13">
        <f>SUMPRODUCT($F$3:$F$4,$ED$3:$ED$4)</f>
        <v/>
      </c>
      <c r="EE5" s="13">
        <f>SUMPRODUCT($F$3:$F$4,$EE$3:$EE$4)</f>
        <v/>
      </c>
      <c r="EF5" s="13">
        <f>SUMPRODUCT($F$3:$F$4,$EF$3:$EF$4)</f>
        <v/>
      </c>
      <c r="EG5" s="13">
        <f>SUMPRODUCT($F$3:$F$4,$EG$3:$EG$4)</f>
        <v/>
      </c>
      <c r="EH5" s="13">
        <f>SUMPRODUCT($F$3:$F$4,$EH$3:$EH$4)</f>
        <v/>
      </c>
      <c r="EI5" s="13">
        <f>SUMPRODUCT($F$3:$F$4,$EI$3:$EI$4)</f>
        <v/>
      </c>
      <c r="EJ5" s="13">
        <f>SUMPRODUCT($F$3:$F$4,$EJ$3:$EJ$4)</f>
        <v/>
      </c>
      <c r="EK5" s="13">
        <f>SUMPRODUCT($F$3:$F$4,$EK$3:$EK$4)</f>
        <v/>
      </c>
      <c r="EL5" s="13">
        <f>SUMPRODUCT($F$3:$F$4,$EL$3:$EL$4)</f>
        <v/>
      </c>
      <c r="EM5" s="13">
        <f>SUMPRODUCT($F$3:$F$4,$EM$3:$EM$4)</f>
        <v/>
      </c>
      <c r="EN5" s="13">
        <f>SUMPRODUCT($F$3:$F$4,$EN$3:$EN$4)</f>
        <v/>
      </c>
      <c r="EO5" s="13">
        <f>SUMPRODUCT($F$3:$F$4,$EO$3:$EO$4)</f>
        <v/>
      </c>
      <c r="EP5" s="13">
        <f>SUMPRODUCT($F$3:$F$4,$EP$3:$EP$4)</f>
        <v/>
      </c>
      <c r="EQ5" s="13">
        <f>SUMPRODUCT($F$3:$F$4,$EQ$3:$EQ$4)</f>
        <v/>
      </c>
      <c r="ER5" s="13">
        <f>SUMPRODUCT($F$3:$F$4,$ER$3:$ER$4)</f>
        <v/>
      </c>
      <c r="ES5" s="13">
        <f>SUMPRODUCT($F$3:$F$4,$ES$3:$ES$4)</f>
        <v/>
      </c>
      <c r="ET5" s="13">
        <f>SUMPRODUCT($F$3:$F$4,$ET$3:$ET$4)</f>
        <v/>
      </c>
      <c r="EU5" s="13">
        <f>SUMPRODUCT($F$3:$F$4,$EU$3:$EU$4)</f>
        <v/>
      </c>
      <c r="EV5" s="13">
        <f>SUMPRODUCT($F$3:$F$4,$EV$3:$EV$4)</f>
        <v/>
      </c>
      <c r="EW5" s="13">
        <f>SUMPRODUCT($F$3:$F$4,$EW$3:$EW$4)</f>
        <v/>
      </c>
      <c r="EX5" s="13">
        <f>SUMPRODUCT($F$3:$F$4,$EX$3:$EX$4)</f>
        <v/>
      </c>
      <c r="EY5" s="13">
        <f>SUMPRODUCT($F$3:$F$4,$EY$3:$EY$4)</f>
        <v/>
      </c>
      <c r="EZ5" s="13">
        <f>SUMPRODUCT($F$3:$F$4,$EZ$3:$EZ$4)</f>
        <v/>
      </c>
      <c r="FA5" s="13">
        <f>SUMPRODUCT($F$3:$F$4,$FA$3:$FA$4)</f>
        <v/>
      </c>
      <c r="FB5" s="13">
        <f>SUMPRODUCT($F$3:$F$4,$FB$3:$FB$4)</f>
        <v/>
      </c>
    </row>
  </sheetData>
  <mergeCells count="8">
    <mergeCell ref="G1:L1"/>
    <mergeCell ref="M1:S1"/>
    <mergeCell ref="A1:F1"/>
    <mergeCell ref="BO1:EF1"/>
    <mergeCell ref="T1:AD1"/>
    <mergeCell ref="EG1:EY1"/>
    <mergeCell ref="AE1:BN1"/>
    <mergeCell ref="EZ1:F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Nitrogen</t>
        </is>
      </c>
      <c r="B2">
        <f>Ingredientes!G5</f>
        <v/>
      </c>
      <c r="C2" t="inlineStr">
        <is>
          <t>g</t>
        </is>
      </c>
    </row>
    <row r="3">
      <c r="A3" t="inlineStr">
        <is>
          <t>Protein</t>
        </is>
      </c>
      <c r="B3">
        <f>Ingredientes!H5</f>
        <v/>
      </c>
      <c r="C3" t="inlineStr">
        <is>
          <t>g</t>
        </is>
      </c>
    </row>
    <row r="4">
      <c r="A4" t="inlineStr">
        <is>
          <t>Total fat (NLEA)</t>
        </is>
      </c>
      <c r="B4">
        <f>Ingredientes!I5</f>
        <v/>
      </c>
      <c r="C4" t="inlineStr">
        <is>
          <t>g</t>
        </is>
      </c>
    </row>
    <row r="5">
      <c r="A5" t="inlineStr">
        <is>
          <t>Total lipid (fat)</t>
        </is>
      </c>
      <c r="B5">
        <f>Ingredientes!J5</f>
        <v/>
      </c>
      <c r="C5" t="inlineStr">
        <is>
          <t>g</t>
        </is>
      </c>
    </row>
    <row r="6">
      <c r="A6" t="inlineStr">
        <is>
          <t>Ash</t>
        </is>
      </c>
      <c r="B6">
        <f>Ingredientes!K5</f>
        <v/>
      </c>
      <c r="C6" t="inlineStr">
        <is>
          <t>g</t>
        </is>
      </c>
    </row>
    <row r="7">
      <c r="A7" t="inlineStr">
        <is>
          <t>Carbohydrate, by difference</t>
        </is>
      </c>
      <c r="B7">
        <f>Ingredientes!L5</f>
        <v/>
      </c>
      <c r="C7" t="inlineStr">
        <is>
          <t>g</t>
        </is>
      </c>
    </row>
    <row r="8">
      <c r="A8" t="inlineStr">
        <is>
          <t>Sugars, Total</t>
        </is>
      </c>
      <c r="B8">
        <f>Ingredientes!M5</f>
        <v/>
      </c>
      <c r="C8" t="inlineStr">
        <is>
          <t>g</t>
        </is>
      </c>
    </row>
    <row r="9">
      <c r="A9" t="inlineStr">
        <is>
          <t>Sucrose</t>
        </is>
      </c>
      <c r="B9">
        <f>Ingredientes!N5</f>
        <v/>
      </c>
      <c r="C9" t="inlineStr">
        <is>
          <t>g</t>
        </is>
      </c>
    </row>
    <row r="10">
      <c r="A10" t="inlineStr">
        <is>
          <t>Glucose</t>
        </is>
      </c>
      <c r="B10">
        <f>Ingredientes!O5</f>
        <v/>
      </c>
      <c r="C10" t="inlineStr">
        <is>
          <t>g</t>
        </is>
      </c>
    </row>
    <row r="11">
      <c r="A11" t="inlineStr">
        <is>
          <t>Fructose</t>
        </is>
      </c>
      <c r="B11">
        <f>Ingredientes!P5</f>
        <v/>
      </c>
      <c r="C11" t="inlineStr">
        <is>
          <t>g</t>
        </is>
      </c>
    </row>
    <row r="12">
      <c r="A12" t="inlineStr">
        <is>
          <t>Lactose</t>
        </is>
      </c>
      <c r="B12">
        <f>Ingredientes!Q5</f>
        <v/>
      </c>
      <c r="C12" t="inlineStr">
        <is>
          <t>g</t>
        </is>
      </c>
    </row>
    <row r="13">
      <c r="A13" t="inlineStr">
        <is>
          <t>Maltose</t>
        </is>
      </c>
      <c r="B13">
        <f>Ingredientes!R5</f>
        <v/>
      </c>
      <c r="C13" t="inlineStr">
        <is>
          <t>g</t>
        </is>
      </c>
    </row>
    <row r="14">
      <c r="A14" t="inlineStr">
        <is>
          <t>Galactose</t>
        </is>
      </c>
      <c r="B14">
        <f>Ingredientes!S5</f>
        <v/>
      </c>
      <c r="C14" t="inlineStr">
        <is>
          <t>g</t>
        </is>
      </c>
    </row>
    <row r="15">
      <c r="A15" t="inlineStr">
        <is>
          <t>Calcium, Ca</t>
        </is>
      </c>
      <c r="B15">
        <f>Ingredientes!T5</f>
        <v/>
      </c>
      <c r="C15" t="inlineStr">
        <is>
          <t>mg</t>
        </is>
      </c>
    </row>
    <row r="16">
      <c r="A16" t="inlineStr">
        <is>
          <t>Iron, Fe</t>
        </is>
      </c>
      <c r="B16">
        <f>Ingredientes!U5</f>
        <v/>
      </c>
      <c r="C16" t="inlineStr">
        <is>
          <t>mg</t>
        </is>
      </c>
    </row>
    <row r="17">
      <c r="A17" t="inlineStr">
        <is>
          <t>Magnesium, Mg</t>
        </is>
      </c>
      <c r="B17">
        <f>Ingredientes!V5</f>
        <v/>
      </c>
      <c r="C17" t="inlineStr">
        <is>
          <t>mg</t>
        </is>
      </c>
    </row>
    <row r="18">
      <c r="A18" t="inlineStr">
        <is>
          <t>Phosphorus, P</t>
        </is>
      </c>
      <c r="B18">
        <f>Ingredientes!W5</f>
        <v/>
      </c>
      <c r="C18" t="inlineStr">
        <is>
          <t>mg</t>
        </is>
      </c>
    </row>
    <row r="19">
      <c r="A19" t="inlineStr">
        <is>
          <t>Potassium, K</t>
        </is>
      </c>
      <c r="B19">
        <f>Ingredientes!X5</f>
        <v/>
      </c>
      <c r="C19" t="inlineStr">
        <is>
          <t>mg</t>
        </is>
      </c>
    </row>
    <row r="20">
      <c r="A20" t="inlineStr">
        <is>
          <t>Sodium, Na</t>
        </is>
      </c>
      <c r="B20">
        <f>Ingredientes!Y5</f>
        <v/>
      </c>
      <c r="C20" t="inlineStr">
        <is>
          <t>mg</t>
        </is>
      </c>
    </row>
    <row r="21">
      <c r="A21" t="inlineStr">
        <is>
          <t>Zinc, Zn</t>
        </is>
      </c>
      <c r="B21">
        <f>Ingredientes!Z5</f>
        <v/>
      </c>
      <c r="C21" t="inlineStr">
        <is>
          <t>mg</t>
        </is>
      </c>
    </row>
    <row r="22">
      <c r="A22" t="inlineStr">
        <is>
          <t>Copper, Cu</t>
        </is>
      </c>
      <c r="B22">
        <f>Ingredientes!AA5</f>
        <v/>
      </c>
      <c r="C22" t="inlineStr">
        <is>
          <t>mg</t>
        </is>
      </c>
    </row>
    <row r="23">
      <c r="A23" t="inlineStr">
        <is>
          <t>Manganese, Mn</t>
        </is>
      </c>
      <c r="B23">
        <f>Ingredientes!AB5</f>
        <v/>
      </c>
      <c r="C23" t="inlineStr">
        <is>
          <t>mg</t>
        </is>
      </c>
    </row>
    <row r="24">
      <c r="A24" t="inlineStr">
        <is>
          <t>Iodine, I</t>
        </is>
      </c>
      <c r="B24">
        <f>Ingredientes!AC5</f>
        <v/>
      </c>
      <c r="C24" t="inlineStr">
        <is>
          <t>μg</t>
        </is>
      </c>
    </row>
    <row r="25">
      <c r="A25" t="inlineStr">
        <is>
          <t>Selenium, Se</t>
        </is>
      </c>
      <c r="B25">
        <f>Ingredientes!AD5</f>
        <v/>
      </c>
      <c r="C25" t="inlineStr">
        <is>
          <t>μg</t>
        </is>
      </c>
    </row>
    <row r="26">
      <c r="A26" t="inlineStr">
        <is>
          <t>Thiamin</t>
        </is>
      </c>
      <c r="B26">
        <f>Ingredientes!AE5</f>
        <v/>
      </c>
      <c r="C26" t="inlineStr">
        <is>
          <t>mg</t>
        </is>
      </c>
    </row>
    <row r="27">
      <c r="A27" t="inlineStr">
        <is>
          <t>Riboflavin</t>
        </is>
      </c>
      <c r="B27">
        <f>Ingredientes!AF5</f>
        <v/>
      </c>
      <c r="C27" t="inlineStr">
        <is>
          <t>mg</t>
        </is>
      </c>
    </row>
    <row r="28">
      <c r="A28" t="inlineStr">
        <is>
          <t>Niacin</t>
        </is>
      </c>
      <c r="B28">
        <f>Ingredientes!AG5</f>
        <v/>
      </c>
      <c r="C28" t="inlineStr">
        <is>
          <t>mg</t>
        </is>
      </c>
    </row>
    <row r="29">
      <c r="A29" t="inlineStr">
        <is>
          <t>Vitamin B-6</t>
        </is>
      </c>
      <c r="B29">
        <f>Ingredientes!AH5</f>
        <v/>
      </c>
      <c r="C29" t="inlineStr">
        <is>
          <t>mg</t>
        </is>
      </c>
    </row>
    <row r="30">
      <c r="A30" t="inlineStr">
        <is>
          <t>Folate, total</t>
        </is>
      </c>
      <c r="B30">
        <f>Ingredientes!AI5</f>
        <v/>
      </c>
      <c r="C30" t="inlineStr">
        <is>
          <t>μg</t>
        </is>
      </c>
    </row>
    <row r="31">
      <c r="A31" t="inlineStr">
        <is>
          <t>Choline, total</t>
        </is>
      </c>
      <c r="B31">
        <f>Ingredientes!AJ5</f>
        <v/>
      </c>
      <c r="C31" t="inlineStr">
        <is>
          <t>mg</t>
        </is>
      </c>
    </row>
    <row r="32">
      <c r="A32" t="inlineStr">
        <is>
          <t>Vitamin A, RAE</t>
        </is>
      </c>
      <c r="B32">
        <f>Ingredientes!AK5</f>
        <v/>
      </c>
      <c r="C32" t="inlineStr">
        <is>
          <t>μg</t>
        </is>
      </c>
    </row>
    <row r="33">
      <c r="A33" t="inlineStr">
        <is>
          <t>Vitamin D (D2 + D3)</t>
        </is>
      </c>
      <c r="B33">
        <f>Ingredientes!AL5</f>
        <v/>
      </c>
      <c r="C33" t="inlineStr">
        <is>
          <t>μg</t>
        </is>
      </c>
    </row>
    <row r="34">
      <c r="A34" t="inlineStr">
        <is>
          <t>Vitamin E (alpha-tocopherol)</t>
        </is>
      </c>
      <c r="B34">
        <f>Ingredientes!AM5</f>
        <v/>
      </c>
      <c r="C34" t="inlineStr">
        <is>
          <t>mg</t>
        </is>
      </c>
    </row>
    <row r="35">
      <c r="A35" t="inlineStr">
        <is>
          <t>Pantothenic acid</t>
        </is>
      </c>
      <c r="B35">
        <f>Ingredientes!AN5</f>
        <v/>
      </c>
      <c r="C35" t="inlineStr">
        <is>
          <t>mg</t>
        </is>
      </c>
    </row>
    <row r="36">
      <c r="A36" t="inlineStr">
        <is>
          <t>Retinol</t>
        </is>
      </c>
      <c r="B36">
        <f>Ingredientes!AO5</f>
        <v/>
      </c>
      <c r="C36" t="inlineStr">
        <is>
          <t>μg</t>
        </is>
      </c>
    </row>
    <row r="37">
      <c r="A37" t="inlineStr">
        <is>
          <t>Carotene, beta</t>
        </is>
      </c>
      <c r="B37">
        <f>Ingredientes!AP5</f>
        <v/>
      </c>
      <c r="C37" t="inlineStr">
        <is>
          <t>μg</t>
        </is>
      </c>
    </row>
    <row r="38">
      <c r="A38" t="inlineStr">
        <is>
          <t>cis-beta-Carotene</t>
        </is>
      </c>
      <c r="B38">
        <f>Ingredientes!AQ5</f>
        <v/>
      </c>
      <c r="C38" t="inlineStr">
        <is>
          <t>μg</t>
        </is>
      </c>
    </row>
    <row r="39">
      <c r="A39" t="inlineStr">
        <is>
          <t>trans-beta-Carotene</t>
        </is>
      </c>
      <c r="B39">
        <f>Ingredientes!AR5</f>
        <v/>
      </c>
      <c r="C39" t="inlineStr">
        <is>
          <t>μg</t>
        </is>
      </c>
    </row>
    <row r="40">
      <c r="A40" t="inlineStr">
        <is>
          <t>Carotene, alpha</t>
        </is>
      </c>
      <c r="B40">
        <f>Ingredientes!AS5</f>
        <v/>
      </c>
      <c r="C40" t="inlineStr">
        <is>
          <t>μg</t>
        </is>
      </c>
    </row>
    <row r="41">
      <c r="A41" t="inlineStr">
        <is>
          <t>Vitamin D (D2 + D3), International Units</t>
        </is>
      </c>
      <c r="B41">
        <f>Ingredientes!AT5</f>
        <v/>
      </c>
      <c r="C41" t="inlineStr">
        <is>
          <t>iu</t>
        </is>
      </c>
    </row>
    <row r="42">
      <c r="A42" t="inlineStr">
        <is>
          <t>Vitamin D2 (ergocalciferol)</t>
        </is>
      </c>
      <c r="B42">
        <f>Ingredientes!AU5</f>
        <v/>
      </c>
      <c r="C42" t="inlineStr">
        <is>
          <t>μg</t>
        </is>
      </c>
    </row>
    <row r="43">
      <c r="A43" t="inlineStr">
        <is>
          <t>Vitamin D3 (cholecalciferol)</t>
        </is>
      </c>
      <c r="B43">
        <f>Ingredientes!AV5</f>
        <v/>
      </c>
      <c r="C43" t="inlineStr">
        <is>
          <t>μg</t>
        </is>
      </c>
    </row>
    <row r="44">
      <c r="A44" t="inlineStr">
        <is>
          <t>Lycopene</t>
        </is>
      </c>
      <c r="B44">
        <f>Ingredientes!AW5</f>
        <v/>
      </c>
      <c r="C44" t="inlineStr">
        <is>
          <t>μg</t>
        </is>
      </c>
    </row>
    <row r="45">
      <c r="A45" t="inlineStr">
        <is>
          <t>cis-Lycopene</t>
        </is>
      </c>
      <c r="B45">
        <f>Ingredientes!AX5</f>
        <v/>
      </c>
      <c r="C45" t="inlineStr">
        <is>
          <t>μg</t>
        </is>
      </c>
    </row>
    <row r="46">
      <c r="A46" t="inlineStr">
        <is>
          <t>trans-Lycopene</t>
        </is>
      </c>
      <c r="B46">
        <f>Ingredientes!AY5</f>
        <v/>
      </c>
      <c r="C46" t="inlineStr">
        <is>
          <t>μg</t>
        </is>
      </c>
    </row>
    <row r="47">
      <c r="A47" t="inlineStr">
        <is>
          <t>Lutein</t>
        </is>
      </c>
      <c r="B47">
        <f>Ingredientes!AZ5</f>
        <v/>
      </c>
      <c r="C47" t="inlineStr">
        <is>
          <t>μg</t>
        </is>
      </c>
    </row>
    <row r="48">
      <c r="A48" t="inlineStr">
        <is>
          <t>Zeaxanthin</t>
        </is>
      </c>
      <c r="B48">
        <f>Ingredientes!BA5</f>
        <v/>
      </c>
      <c r="C48" t="inlineStr">
        <is>
          <t>μg</t>
        </is>
      </c>
    </row>
    <row r="49">
      <c r="A49" t="inlineStr">
        <is>
          <t>cis-Lutein/Zeaxanthin</t>
        </is>
      </c>
      <c r="B49">
        <f>Ingredientes!BB5</f>
        <v/>
      </c>
      <c r="C49" t="inlineStr">
        <is>
          <t>μg</t>
        </is>
      </c>
    </row>
    <row r="50">
      <c r="A50" t="inlineStr">
        <is>
          <t>Tocopherol, beta</t>
        </is>
      </c>
      <c r="B50">
        <f>Ingredientes!BC5</f>
        <v/>
      </c>
      <c r="C50" t="inlineStr">
        <is>
          <t>mg</t>
        </is>
      </c>
    </row>
    <row r="51">
      <c r="A51" t="inlineStr">
        <is>
          <t>Tocopherol, gamma</t>
        </is>
      </c>
      <c r="B51">
        <f>Ingredientes!BD5</f>
        <v/>
      </c>
      <c r="C51" t="inlineStr">
        <is>
          <t>mg</t>
        </is>
      </c>
    </row>
    <row r="52">
      <c r="A52" t="inlineStr">
        <is>
          <t>Tocopherol, delta</t>
        </is>
      </c>
      <c r="B52">
        <f>Ingredientes!BE5</f>
        <v/>
      </c>
      <c r="C52" t="inlineStr">
        <is>
          <t>mg</t>
        </is>
      </c>
    </row>
    <row r="53">
      <c r="A53" t="inlineStr">
        <is>
          <t>Tocotrienol, alpha</t>
        </is>
      </c>
      <c r="B53">
        <f>Ingredientes!BF5</f>
        <v/>
      </c>
      <c r="C53" t="inlineStr">
        <is>
          <t>mg</t>
        </is>
      </c>
    </row>
    <row r="54">
      <c r="A54" t="inlineStr">
        <is>
          <t>Tocotrienol, beta</t>
        </is>
      </c>
      <c r="B54">
        <f>Ingredientes!BG5</f>
        <v/>
      </c>
      <c r="C54" t="inlineStr">
        <is>
          <t>mg</t>
        </is>
      </c>
    </row>
    <row r="55">
      <c r="A55" t="inlineStr">
        <is>
          <t>Tocotrienol, gamma</t>
        </is>
      </c>
      <c r="B55">
        <f>Ingredientes!BH5</f>
        <v/>
      </c>
      <c r="C55" t="inlineStr">
        <is>
          <t>mg</t>
        </is>
      </c>
    </row>
    <row r="56">
      <c r="A56" t="inlineStr">
        <is>
          <t>Tocotrienol, delta</t>
        </is>
      </c>
      <c r="B56">
        <f>Ingredientes!BI5</f>
        <v/>
      </c>
      <c r="C56" t="inlineStr">
        <is>
          <t>mg</t>
        </is>
      </c>
    </row>
    <row r="57">
      <c r="A57" t="inlineStr">
        <is>
          <t>Choline, free</t>
        </is>
      </c>
      <c r="B57">
        <f>Ingredientes!BJ5</f>
        <v/>
      </c>
      <c r="C57" t="inlineStr">
        <is>
          <t>mg</t>
        </is>
      </c>
    </row>
    <row r="58">
      <c r="A58" t="inlineStr">
        <is>
          <t>Choline, from phosphocholine</t>
        </is>
      </c>
      <c r="B58">
        <f>Ingredientes!BK5</f>
        <v/>
      </c>
      <c r="C58" t="inlineStr">
        <is>
          <t>mg</t>
        </is>
      </c>
    </row>
    <row r="59">
      <c r="A59" t="inlineStr">
        <is>
          <t>Choline, from phosphatidyl choline</t>
        </is>
      </c>
      <c r="B59">
        <f>Ingredientes!BL5</f>
        <v/>
      </c>
      <c r="C59" t="inlineStr">
        <is>
          <t>mg</t>
        </is>
      </c>
    </row>
    <row r="60">
      <c r="A60" t="inlineStr">
        <is>
          <t>Choline, from glycerophosphocholine</t>
        </is>
      </c>
      <c r="B60">
        <f>Ingredientes!BM5</f>
        <v/>
      </c>
      <c r="C60" t="inlineStr">
        <is>
          <t>mg</t>
        </is>
      </c>
    </row>
    <row r="61">
      <c r="A61" t="inlineStr">
        <is>
          <t>Choline, from sphingomyelin</t>
        </is>
      </c>
      <c r="B61">
        <f>Ingredientes!BN5</f>
        <v/>
      </c>
      <c r="C61" t="inlineStr">
        <is>
          <t>mg</t>
        </is>
      </c>
    </row>
    <row r="62">
      <c r="A62" t="inlineStr">
        <is>
          <t>Fatty acids, total saturated</t>
        </is>
      </c>
      <c r="B62">
        <f>Ingredientes!BO5</f>
        <v/>
      </c>
      <c r="C62" t="inlineStr">
        <is>
          <t>g</t>
        </is>
      </c>
    </row>
    <row r="63">
      <c r="A63" t="inlineStr">
        <is>
          <t>Fatty acids, total monounsaturated</t>
        </is>
      </c>
      <c r="B63">
        <f>Ingredientes!BP5</f>
        <v/>
      </c>
      <c r="C63" t="inlineStr">
        <is>
          <t>g</t>
        </is>
      </c>
    </row>
    <row r="64">
      <c r="A64" t="inlineStr">
        <is>
          <t>Fatty acids, total polyunsaturated</t>
        </is>
      </c>
      <c r="B64">
        <f>Ingredientes!BQ5</f>
        <v/>
      </c>
      <c r="C64" t="inlineStr">
        <is>
          <t>g</t>
        </is>
      </c>
    </row>
    <row r="65">
      <c r="A65" t="inlineStr">
        <is>
          <t>Fatty acids, total trans</t>
        </is>
      </c>
      <c r="B65">
        <f>Ingredientes!BR5</f>
        <v/>
      </c>
      <c r="C65" t="inlineStr">
        <is>
          <t>g</t>
        </is>
      </c>
    </row>
    <row r="66">
      <c r="A66" t="inlineStr">
        <is>
          <t>Cholesterol</t>
        </is>
      </c>
      <c r="B66">
        <f>Ingredientes!BS5</f>
        <v/>
      </c>
      <c r="C66" t="inlineStr">
        <is>
          <t>mg</t>
        </is>
      </c>
    </row>
    <row r="67">
      <c r="A67" t="inlineStr">
        <is>
          <t>SFA 4:0</t>
        </is>
      </c>
      <c r="B67">
        <f>Ingredientes!BT5</f>
        <v/>
      </c>
      <c r="C67" t="inlineStr">
        <is>
          <t>g</t>
        </is>
      </c>
    </row>
    <row r="68">
      <c r="A68" t="inlineStr">
        <is>
          <t>SFA 6:0</t>
        </is>
      </c>
      <c r="B68">
        <f>Ingredientes!BU5</f>
        <v/>
      </c>
      <c r="C68" t="inlineStr">
        <is>
          <t>g</t>
        </is>
      </c>
    </row>
    <row r="69">
      <c r="A69" t="inlineStr">
        <is>
          <t>SFA 8:0</t>
        </is>
      </c>
      <c r="B69">
        <f>Ingredientes!BV5</f>
        <v/>
      </c>
      <c r="C69" t="inlineStr">
        <is>
          <t>g</t>
        </is>
      </c>
    </row>
    <row r="70">
      <c r="A70" t="inlineStr">
        <is>
          <t>SFA 10:0</t>
        </is>
      </c>
      <c r="B70">
        <f>Ingredientes!BW5</f>
        <v/>
      </c>
      <c r="C70" t="inlineStr">
        <is>
          <t>g</t>
        </is>
      </c>
    </row>
    <row r="71">
      <c r="A71" t="inlineStr">
        <is>
          <t>SFA 12:0</t>
        </is>
      </c>
      <c r="B71">
        <f>Ingredientes!BX5</f>
        <v/>
      </c>
      <c r="C71" t="inlineStr">
        <is>
          <t>g</t>
        </is>
      </c>
    </row>
    <row r="72">
      <c r="A72" t="inlineStr">
        <is>
          <t>SFA 14:0</t>
        </is>
      </c>
      <c r="B72">
        <f>Ingredientes!BY5</f>
        <v/>
      </c>
      <c r="C72" t="inlineStr">
        <is>
          <t>g</t>
        </is>
      </c>
    </row>
    <row r="73">
      <c r="A73" t="inlineStr">
        <is>
          <t>SFA 16:0</t>
        </is>
      </c>
      <c r="B73">
        <f>Ingredientes!BZ5</f>
        <v/>
      </c>
      <c r="C73" t="inlineStr">
        <is>
          <t>g</t>
        </is>
      </c>
    </row>
    <row r="74">
      <c r="A74" t="inlineStr">
        <is>
          <t>SFA 18:0</t>
        </is>
      </c>
      <c r="B74">
        <f>Ingredientes!CA5</f>
        <v/>
      </c>
      <c r="C74" t="inlineStr">
        <is>
          <t>g</t>
        </is>
      </c>
    </row>
    <row r="75">
      <c r="A75" t="inlineStr">
        <is>
          <t>SFA 20:0</t>
        </is>
      </c>
      <c r="B75">
        <f>Ingredientes!CB5</f>
        <v/>
      </c>
      <c r="C75" t="inlineStr">
        <is>
          <t>g</t>
        </is>
      </c>
    </row>
    <row r="76">
      <c r="A76" t="inlineStr">
        <is>
          <t>PUFA 20:4</t>
        </is>
      </c>
      <c r="B76">
        <f>Ingredientes!CC5</f>
        <v/>
      </c>
      <c r="C76" t="inlineStr">
        <is>
          <t>g</t>
        </is>
      </c>
    </row>
    <row r="77">
      <c r="A77" t="inlineStr">
        <is>
          <t>PUFA 22:6 n-3 (DHA)</t>
        </is>
      </c>
      <c r="B77">
        <f>Ingredientes!CD5</f>
        <v/>
      </c>
      <c r="C77" t="inlineStr">
        <is>
          <t>g</t>
        </is>
      </c>
    </row>
    <row r="78">
      <c r="A78" t="inlineStr">
        <is>
          <t>SFA 22:0</t>
        </is>
      </c>
      <c r="B78">
        <f>Ingredientes!CE5</f>
        <v/>
      </c>
      <c r="C78" t="inlineStr">
        <is>
          <t>g</t>
        </is>
      </c>
    </row>
    <row r="79">
      <c r="A79" t="inlineStr">
        <is>
          <t>PUFA 18:4</t>
        </is>
      </c>
      <c r="B79">
        <f>Ingredientes!CF5</f>
        <v/>
      </c>
      <c r="C79" t="inlineStr">
        <is>
          <t>g</t>
        </is>
      </c>
    </row>
    <row r="80">
      <c r="A80" t="inlineStr">
        <is>
          <t>PUFA 20:5 n-3 (EPA)</t>
        </is>
      </c>
      <c r="B80">
        <f>Ingredientes!CG5</f>
        <v/>
      </c>
      <c r="C80" t="inlineStr">
        <is>
          <t>g</t>
        </is>
      </c>
    </row>
    <row r="81">
      <c r="A81" t="inlineStr">
        <is>
          <t>PUFA 22:5 n-3 (DPA)</t>
        </is>
      </c>
      <c r="B81">
        <f>Ingredientes!CH5</f>
        <v/>
      </c>
      <c r="C81" t="inlineStr">
        <is>
          <t>g</t>
        </is>
      </c>
    </row>
    <row r="82">
      <c r="A82" t="inlineStr">
        <is>
          <t>SFA 5:0</t>
        </is>
      </c>
      <c r="B82">
        <f>Ingredientes!CI5</f>
        <v/>
      </c>
      <c r="C82" t="inlineStr">
        <is>
          <t>g</t>
        </is>
      </c>
    </row>
    <row r="83">
      <c r="A83" t="inlineStr">
        <is>
          <t>SFA 7:0</t>
        </is>
      </c>
      <c r="B83">
        <f>Ingredientes!CJ5</f>
        <v/>
      </c>
      <c r="C83" t="inlineStr">
        <is>
          <t>g</t>
        </is>
      </c>
    </row>
    <row r="84">
      <c r="A84" t="inlineStr">
        <is>
          <t>SFA 9:0</t>
        </is>
      </c>
      <c r="B84">
        <f>Ingredientes!CK5</f>
        <v/>
      </c>
      <c r="C84" t="inlineStr">
        <is>
          <t>g</t>
        </is>
      </c>
    </row>
    <row r="85">
      <c r="A85" t="inlineStr">
        <is>
          <t>MUFA 12:1</t>
        </is>
      </c>
      <c r="B85">
        <f>Ingredientes!CL5</f>
        <v/>
      </c>
      <c r="C85" t="inlineStr">
        <is>
          <t>g</t>
        </is>
      </c>
    </row>
    <row r="86">
      <c r="A86" t="inlineStr">
        <is>
          <t>SFA 15:0</t>
        </is>
      </c>
      <c r="B86">
        <f>Ingredientes!CM5</f>
        <v/>
      </c>
      <c r="C86" t="inlineStr">
        <is>
          <t>g</t>
        </is>
      </c>
    </row>
    <row r="87">
      <c r="A87" t="inlineStr">
        <is>
          <t>SFA 17:0</t>
        </is>
      </c>
      <c r="B87">
        <f>Ingredientes!CN5</f>
        <v/>
      </c>
      <c r="C87" t="inlineStr">
        <is>
          <t>g</t>
        </is>
      </c>
    </row>
    <row r="88">
      <c r="A88" t="inlineStr">
        <is>
          <t>SFA 24:0</t>
        </is>
      </c>
      <c r="B88">
        <f>Ingredientes!CO5</f>
        <v/>
      </c>
      <c r="C88" t="inlineStr">
        <is>
          <t>g</t>
        </is>
      </c>
    </row>
    <row r="89">
      <c r="A89" t="inlineStr">
        <is>
          <t>TFA 16:1 t</t>
        </is>
      </c>
      <c r="B89">
        <f>Ingredientes!CP5</f>
        <v/>
      </c>
      <c r="C89" t="inlineStr">
        <is>
          <t>g</t>
        </is>
      </c>
    </row>
    <row r="90">
      <c r="A90" t="inlineStr">
        <is>
          <t>TFA 18:1 t</t>
        </is>
      </c>
      <c r="B90">
        <f>Ingredientes!CQ5</f>
        <v/>
      </c>
      <c r="C90" t="inlineStr">
        <is>
          <t>g</t>
        </is>
      </c>
    </row>
    <row r="91">
      <c r="A91" t="inlineStr">
        <is>
          <t>TFA 22:1 t</t>
        </is>
      </c>
      <c r="B91">
        <f>Ingredientes!CR5</f>
        <v/>
      </c>
      <c r="C91" t="inlineStr">
        <is>
          <t>g</t>
        </is>
      </c>
    </row>
    <row r="92">
      <c r="A92" t="inlineStr">
        <is>
          <t>TFA 18:2 t not further defined</t>
        </is>
      </c>
      <c r="B92">
        <f>Ingredientes!CS5</f>
        <v/>
      </c>
      <c r="C92" t="inlineStr">
        <is>
          <t>g</t>
        </is>
      </c>
    </row>
    <row r="93">
      <c r="A93" t="inlineStr">
        <is>
          <t>PUFA 18:2 CLAs</t>
        </is>
      </c>
      <c r="B93">
        <f>Ingredientes!CT5</f>
        <v/>
      </c>
      <c r="C93" t="inlineStr">
        <is>
          <t>g</t>
        </is>
      </c>
    </row>
    <row r="94">
      <c r="A94" t="inlineStr">
        <is>
          <t>MUFA 24:1 c</t>
        </is>
      </c>
      <c r="B94">
        <f>Ingredientes!CU5</f>
        <v/>
      </c>
      <c r="C94" t="inlineStr">
        <is>
          <t>g</t>
        </is>
      </c>
    </row>
    <row r="95">
      <c r="A95" t="inlineStr">
        <is>
          <t>PUFA 20:2 n-6 c,c</t>
        </is>
      </c>
      <c r="B95">
        <f>Ingredientes!CV5</f>
        <v/>
      </c>
      <c r="C95" t="inlineStr">
        <is>
          <t>g</t>
        </is>
      </c>
    </row>
    <row r="96">
      <c r="A96" t="inlineStr">
        <is>
          <t>MUFA 16:1 c</t>
        </is>
      </c>
      <c r="B96">
        <f>Ingredientes!CW5</f>
        <v/>
      </c>
      <c r="C96" t="inlineStr">
        <is>
          <t>g</t>
        </is>
      </c>
    </row>
    <row r="97">
      <c r="A97" t="inlineStr">
        <is>
          <t>MUFA 18:1 c</t>
        </is>
      </c>
      <c r="B97">
        <f>Ingredientes!CX5</f>
        <v/>
      </c>
      <c r="C97" t="inlineStr">
        <is>
          <t>g</t>
        </is>
      </c>
    </row>
    <row r="98">
      <c r="A98" t="inlineStr">
        <is>
          <t>PUFA 18:2 n-6 c,c</t>
        </is>
      </c>
      <c r="B98">
        <f>Ingredientes!CY5</f>
        <v/>
      </c>
      <c r="C98" t="inlineStr">
        <is>
          <t>g</t>
        </is>
      </c>
    </row>
    <row r="99">
      <c r="A99" t="inlineStr">
        <is>
          <t>MUFA 22:1 c</t>
        </is>
      </c>
      <c r="B99">
        <f>Ingredientes!CZ5</f>
        <v/>
      </c>
      <c r="C99" t="inlineStr">
        <is>
          <t>g</t>
        </is>
      </c>
    </row>
    <row r="100">
      <c r="A100" t="inlineStr">
        <is>
          <t>MUFA 22:1 n-9</t>
        </is>
      </c>
      <c r="B100">
        <f>Ingredientes!DA5</f>
        <v/>
      </c>
      <c r="C100" t="inlineStr">
        <is>
          <t>g</t>
        </is>
      </c>
    </row>
    <row r="101">
      <c r="A101" t="inlineStr">
        <is>
          <t>MUFA 22:1 n-11</t>
        </is>
      </c>
      <c r="B101">
        <f>Ingredientes!DB5</f>
        <v/>
      </c>
      <c r="C101" t="inlineStr">
        <is>
          <t>g</t>
        </is>
      </c>
    </row>
    <row r="102">
      <c r="A102" t="inlineStr">
        <is>
          <t>SFA 21:0</t>
        </is>
      </c>
      <c r="B102">
        <f>Ingredientes!DC5</f>
        <v/>
      </c>
      <c r="C102" t="inlineStr">
        <is>
          <t>g</t>
        </is>
      </c>
    </row>
    <row r="103">
      <c r="A103" t="inlineStr">
        <is>
          <t>SFA 23:0</t>
        </is>
      </c>
      <c r="B103">
        <f>Ingredientes!DD5</f>
        <v/>
      </c>
      <c r="C103" t="inlineStr">
        <is>
          <t>g</t>
        </is>
      </c>
    </row>
    <row r="104">
      <c r="A104" t="inlineStr">
        <is>
          <t>PUFA 22:3</t>
        </is>
      </c>
      <c r="B104">
        <f>Ingredientes!DE5</f>
        <v/>
      </c>
      <c r="C104" t="inlineStr">
        <is>
          <t>g</t>
        </is>
      </c>
    </row>
    <row r="105">
      <c r="A105" t="inlineStr">
        <is>
          <t>PUFA 18:3 n-6 c,c,c</t>
        </is>
      </c>
      <c r="B105">
        <f>Ingredientes!DF5</f>
        <v/>
      </c>
      <c r="C105" t="inlineStr">
        <is>
          <t>g</t>
        </is>
      </c>
    </row>
    <row r="106">
      <c r="A106" t="inlineStr">
        <is>
          <t>MUFA 17:1</t>
        </is>
      </c>
      <c r="B106">
        <f>Ingredientes!DG5</f>
        <v/>
      </c>
      <c r="C106" t="inlineStr">
        <is>
          <t>g</t>
        </is>
      </c>
    </row>
    <row r="107">
      <c r="A107" t="inlineStr">
        <is>
          <t>Fatty acids, total trans-monoenoic</t>
        </is>
      </c>
      <c r="B107">
        <f>Ingredientes!DH5</f>
        <v/>
      </c>
      <c r="C107" t="inlineStr">
        <is>
          <t>g</t>
        </is>
      </c>
    </row>
    <row r="108">
      <c r="A108" t="inlineStr">
        <is>
          <t>Fatty acids, total trans-dienoic</t>
        </is>
      </c>
      <c r="B108">
        <f>Ingredientes!DI5</f>
        <v/>
      </c>
      <c r="C108" t="inlineStr">
        <is>
          <t>g</t>
        </is>
      </c>
    </row>
    <row r="109">
      <c r="A109" t="inlineStr">
        <is>
          <t>Fatty acids, total trans-polyenoic</t>
        </is>
      </c>
      <c r="B109">
        <f>Ingredientes!DJ5</f>
        <v/>
      </c>
      <c r="C109" t="inlineStr">
        <is>
          <t>g</t>
        </is>
      </c>
    </row>
    <row r="110">
      <c r="A110" t="inlineStr">
        <is>
          <t>MUFA 15:1</t>
        </is>
      </c>
      <c r="B110">
        <f>Ingredientes!DK5</f>
        <v/>
      </c>
      <c r="C110" t="inlineStr">
        <is>
          <t>g</t>
        </is>
      </c>
    </row>
    <row r="111">
      <c r="A111" t="inlineStr">
        <is>
          <t>PUFA 22:2</t>
        </is>
      </c>
      <c r="B111">
        <f>Ingredientes!DL5</f>
        <v/>
      </c>
      <c r="C111" t="inlineStr">
        <is>
          <t>g</t>
        </is>
      </c>
    </row>
    <row r="112">
      <c r="A112" t="inlineStr">
        <is>
          <t>SFA 11:0</t>
        </is>
      </c>
      <c r="B112">
        <f>Ingredientes!DM5</f>
        <v/>
      </c>
      <c r="C112" t="inlineStr">
        <is>
          <t>g</t>
        </is>
      </c>
    </row>
    <row r="113">
      <c r="A113" t="inlineStr">
        <is>
          <t>TFA 14:1 t</t>
        </is>
      </c>
      <c r="B113">
        <f>Ingredientes!DN5</f>
        <v/>
      </c>
      <c r="C113" t="inlineStr">
        <is>
          <t>g</t>
        </is>
      </c>
    </row>
    <row r="114">
      <c r="A114" t="inlineStr">
        <is>
          <t>MUFA 14:1 c</t>
        </is>
      </c>
      <c r="B114">
        <f>Ingredientes!DO5</f>
        <v/>
      </c>
      <c r="C114" t="inlineStr">
        <is>
          <t>g</t>
        </is>
      </c>
    </row>
    <row r="115">
      <c r="A115" t="inlineStr">
        <is>
          <t>MUFA 17:1 c</t>
        </is>
      </c>
      <c r="B115">
        <f>Ingredientes!DP5</f>
        <v/>
      </c>
      <c r="C115" t="inlineStr">
        <is>
          <t>g</t>
        </is>
      </c>
    </row>
    <row r="116">
      <c r="A116" t="inlineStr">
        <is>
          <t>MUFA 20:1 c</t>
        </is>
      </c>
      <c r="B116">
        <f>Ingredientes!DQ5</f>
        <v/>
      </c>
      <c r="C116" t="inlineStr">
        <is>
          <t>g</t>
        </is>
      </c>
    </row>
    <row r="117">
      <c r="A117" t="inlineStr">
        <is>
          <t>TFA 20:1 t</t>
        </is>
      </c>
      <c r="B117">
        <f>Ingredientes!DR5</f>
        <v/>
      </c>
      <c r="C117" t="inlineStr">
        <is>
          <t>g</t>
        </is>
      </c>
    </row>
    <row r="118">
      <c r="A118" t="inlineStr">
        <is>
          <t>PUFA 18:2 c</t>
        </is>
      </c>
      <c r="B118">
        <f>Ingredientes!DS5</f>
        <v/>
      </c>
      <c r="C118" t="inlineStr">
        <is>
          <t>g</t>
        </is>
      </c>
    </row>
    <row r="119">
      <c r="A119" t="inlineStr">
        <is>
          <t>PUFA 18:3 c</t>
        </is>
      </c>
      <c r="B119">
        <f>Ingredientes!DT5</f>
        <v/>
      </c>
      <c r="C119" t="inlineStr">
        <is>
          <t>g</t>
        </is>
      </c>
    </row>
    <row r="120">
      <c r="A120" t="inlineStr">
        <is>
          <t>TFA 18:3 t</t>
        </is>
      </c>
      <c r="B120">
        <f>Ingredientes!DU5</f>
        <v/>
      </c>
      <c r="C120" t="inlineStr">
        <is>
          <t>g</t>
        </is>
      </c>
    </row>
    <row r="121">
      <c r="A121" t="inlineStr">
        <is>
          <t>PUFA 20:3 c</t>
        </is>
      </c>
      <c r="B121">
        <f>Ingredientes!DV5</f>
        <v/>
      </c>
      <c r="C121" t="inlineStr">
        <is>
          <t>g</t>
        </is>
      </c>
    </row>
    <row r="122">
      <c r="A122" t="inlineStr">
        <is>
          <t>PUFA 20:4c</t>
        </is>
      </c>
      <c r="B122">
        <f>Ingredientes!DW5</f>
        <v/>
      </c>
      <c r="C122" t="inlineStr">
        <is>
          <t>g</t>
        </is>
      </c>
    </row>
    <row r="123">
      <c r="A123" t="inlineStr">
        <is>
          <t>PUFA 20:5c</t>
        </is>
      </c>
      <c r="B123">
        <f>Ingredientes!DX5</f>
        <v/>
      </c>
      <c r="C123" t="inlineStr">
        <is>
          <t>g</t>
        </is>
      </c>
    </row>
    <row r="124">
      <c r="A124" t="inlineStr">
        <is>
          <t>PUFA 22:5 c</t>
        </is>
      </c>
      <c r="B124">
        <f>Ingredientes!DY5</f>
        <v/>
      </c>
      <c r="C124" t="inlineStr">
        <is>
          <t>g</t>
        </is>
      </c>
    </row>
    <row r="125">
      <c r="A125" t="inlineStr">
        <is>
          <t>PUFA 22:6 c</t>
        </is>
      </c>
      <c r="B125">
        <f>Ingredientes!DZ5</f>
        <v/>
      </c>
      <c r="C125" t="inlineStr">
        <is>
          <t>g</t>
        </is>
      </c>
    </row>
    <row r="126">
      <c r="A126" t="inlineStr">
        <is>
          <t>PUFA 20:2 c</t>
        </is>
      </c>
      <c r="B126">
        <f>Ingredientes!EA5</f>
        <v/>
      </c>
      <c r="C126" t="inlineStr">
        <is>
          <t>g</t>
        </is>
      </c>
    </row>
    <row r="127">
      <c r="A127" t="inlineStr">
        <is>
          <t>PUFA 18:3 n-3 c,c,c (ALA)</t>
        </is>
      </c>
      <c r="B127">
        <f>Ingredientes!EB5</f>
        <v/>
      </c>
      <c r="C127" t="inlineStr">
        <is>
          <t>g</t>
        </is>
      </c>
    </row>
    <row r="128">
      <c r="A128" t="inlineStr">
        <is>
          <t>PUFA 20:3 n-3</t>
        </is>
      </c>
      <c r="B128">
        <f>Ingredientes!EC5</f>
        <v/>
      </c>
      <c r="C128" t="inlineStr">
        <is>
          <t>g</t>
        </is>
      </c>
    </row>
    <row r="129">
      <c r="A129" t="inlineStr">
        <is>
          <t>PUFA 20:3 n-6</t>
        </is>
      </c>
      <c r="B129">
        <f>Ingredientes!ED5</f>
        <v/>
      </c>
      <c r="C129" t="inlineStr">
        <is>
          <t>g</t>
        </is>
      </c>
    </row>
    <row r="130">
      <c r="A130" t="inlineStr">
        <is>
          <t>PUFA 22:4</t>
        </is>
      </c>
      <c r="B130">
        <f>Ingredientes!EE5</f>
        <v/>
      </c>
      <c r="C130" t="inlineStr">
        <is>
          <t>g</t>
        </is>
      </c>
    </row>
    <row r="131">
      <c r="A131" t="inlineStr">
        <is>
          <t>PUFA 20:3 n-9</t>
        </is>
      </c>
      <c r="B131">
        <f>Ingredientes!EF5</f>
        <v/>
      </c>
      <c r="C131" t="inlineStr">
        <is>
          <t>g</t>
        </is>
      </c>
    </row>
    <row r="132">
      <c r="A132" t="inlineStr">
        <is>
          <t>Tryptophan</t>
        </is>
      </c>
      <c r="B132">
        <f>Ingredientes!EG5</f>
        <v/>
      </c>
      <c r="C132" t="inlineStr">
        <is>
          <t>g</t>
        </is>
      </c>
    </row>
    <row r="133">
      <c r="A133" t="inlineStr">
        <is>
          <t>Threonine</t>
        </is>
      </c>
      <c r="B133">
        <f>Ingredientes!EH5</f>
        <v/>
      </c>
      <c r="C133" t="inlineStr">
        <is>
          <t>g</t>
        </is>
      </c>
    </row>
    <row r="134">
      <c r="A134" t="inlineStr">
        <is>
          <t>Isoleucine</t>
        </is>
      </c>
      <c r="B134">
        <f>Ingredientes!EI5</f>
        <v/>
      </c>
      <c r="C134" t="inlineStr">
        <is>
          <t>g</t>
        </is>
      </c>
    </row>
    <row r="135">
      <c r="A135" t="inlineStr">
        <is>
          <t>Leucine</t>
        </is>
      </c>
      <c r="B135">
        <f>Ingredientes!EJ5</f>
        <v/>
      </c>
      <c r="C135" t="inlineStr">
        <is>
          <t>g</t>
        </is>
      </c>
    </row>
    <row r="136">
      <c r="A136" t="inlineStr">
        <is>
          <t>Lysine</t>
        </is>
      </c>
      <c r="B136">
        <f>Ingredientes!EK5</f>
        <v/>
      </c>
      <c r="C136" t="inlineStr">
        <is>
          <t>g</t>
        </is>
      </c>
    </row>
    <row r="137">
      <c r="A137" t="inlineStr">
        <is>
          <t>Methionine</t>
        </is>
      </c>
      <c r="B137">
        <f>Ingredientes!EL5</f>
        <v/>
      </c>
      <c r="C137" t="inlineStr">
        <is>
          <t>g</t>
        </is>
      </c>
    </row>
    <row r="138">
      <c r="A138" t="inlineStr">
        <is>
          <t>Phenylalanine</t>
        </is>
      </c>
      <c r="B138">
        <f>Ingredientes!EM5</f>
        <v/>
      </c>
      <c r="C138" t="inlineStr">
        <is>
          <t>g</t>
        </is>
      </c>
    </row>
    <row r="139">
      <c r="A139" t="inlineStr">
        <is>
          <t>Tyrosine</t>
        </is>
      </c>
      <c r="B139">
        <f>Ingredientes!EN5</f>
        <v/>
      </c>
      <c r="C139" t="inlineStr">
        <is>
          <t>g</t>
        </is>
      </c>
    </row>
    <row r="140">
      <c r="A140" t="inlineStr">
        <is>
          <t>Valine</t>
        </is>
      </c>
      <c r="B140">
        <f>Ingredientes!EO5</f>
        <v/>
      </c>
      <c r="C140" t="inlineStr">
        <is>
          <t>g</t>
        </is>
      </c>
    </row>
    <row r="141">
      <c r="A141" t="inlineStr">
        <is>
          <t>Arginine</t>
        </is>
      </c>
      <c r="B141">
        <f>Ingredientes!EP5</f>
        <v/>
      </c>
      <c r="C141" t="inlineStr">
        <is>
          <t>g</t>
        </is>
      </c>
    </row>
    <row r="142">
      <c r="A142" t="inlineStr">
        <is>
          <t>Histidine</t>
        </is>
      </c>
      <c r="B142">
        <f>Ingredientes!EQ5</f>
        <v/>
      </c>
      <c r="C142" t="inlineStr">
        <is>
          <t>g</t>
        </is>
      </c>
    </row>
    <row r="143">
      <c r="A143" t="inlineStr">
        <is>
          <t>Alanine</t>
        </is>
      </c>
      <c r="B143">
        <f>Ingredientes!ER5</f>
        <v/>
      </c>
      <c r="C143" t="inlineStr">
        <is>
          <t>g</t>
        </is>
      </c>
    </row>
    <row r="144">
      <c r="A144" t="inlineStr">
        <is>
          <t>Aspartic acid</t>
        </is>
      </c>
      <c r="B144">
        <f>Ingredientes!ES5</f>
        <v/>
      </c>
      <c r="C144" t="inlineStr">
        <is>
          <t>g</t>
        </is>
      </c>
    </row>
    <row r="145">
      <c r="A145" t="inlineStr">
        <is>
          <t>Glutamic acid</t>
        </is>
      </c>
      <c r="B145">
        <f>Ingredientes!ET5</f>
        <v/>
      </c>
      <c r="C145" t="inlineStr">
        <is>
          <t>g</t>
        </is>
      </c>
    </row>
    <row r="146">
      <c r="A146" t="inlineStr">
        <is>
          <t>Glycine</t>
        </is>
      </c>
      <c r="B146">
        <f>Ingredientes!EU5</f>
        <v/>
      </c>
      <c r="C146" t="inlineStr">
        <is>
          <t>g</t>
        </is>
      </c>
    </row>
    <row r="147">
      <c r="A147" t="inlineStr">
        <is>
          <t>Proline</t>
        </is>
      </c>
      <c r="B147">
        <f>Ingredientes!EV5</f>
        <v/>
      </c>
      <c r="C147" t="inlineStr">
        <is>
          <t>g</t>
        </is>
      </c>
    </row>
    <row r="148">
      <c r="A148" t="inlineStr">
        <is>
          <t>Serine</t>
        </is>
      </c>
      <c r="B148">
        <f>Ingredientes!EW5</f>
        <v/>
      </c>
      <c r="C148" t="inlineStr">
        <is>
          <t>g</t>
        </is>
      </c>
    </row>
    <row r="149">
      <c r="A149" t="inlineStr">
        <is>
          <t>Hydroxyproline</t>
        </is>
      </c>
      <c r="B149">
        <f>Ingredientes!EX5</f>
        <v/>
      </c>
      <c r="C149" t="inlineStr">
        <is>
          <t>g</t>
        </is>
      </c>
    </row>
    <row r="150">
      <c r="A150" t="inlineStr">
        <is>
          <t>Cysteine</t>
        </is>
      </c>
      <c r="B150">
        <f>Ingredientes!EY5</f>
        <v/>
      </c>
      <c r="C150" t="inlineStr">
        <is>
          <t>g</t>
        </is>
      </c>
    </row>
    <row r="151">
      <c r="A151" t="inlineStr">
        <is>
          <t>25-hydroxycholecalciferol</t>
        </is>
      </c>
      <c r="B151">
        <f>Ingredientes!EZ5</f>
        <v/>
      </c>
      <c r="C151" t="inlineStr">
        <is>
          <t>μg</t>
        </is>
      </c>
    </row>
    <row r="152">
      <c r="A152" t="inlineStr">
        <is>
          <t>Cryptoxanthin, beta</t>
        </is>
      </c>
      <c r="B152">
        <f>Ingredientes!FA5</f>
        <v/>
      </c>
      <c r="C152" t="inlineStr">
        <is>
          <t>μg</t>
        </is>
      </c>
    </row>
    <row r="153">
      <c r="A153" t="inlineStr">
        <is>
          <t>Cryptoxanthin, alpha</t>
        </is>
      </c>
      <c r="B153">
        <f>Ingredientes!FB5</f>
        <v/>
      </c>
      <c r="C153" t="inlineStr">
        <is>
          <t>μg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2026-01-07T14:03:35Z</dcterms:created>
  <dcterms:modified xsi:type="dcterms:W3CDTF">2026-01-07T14:03:37Z</dcterms:modified>
</cp:coreProperties>
</file>