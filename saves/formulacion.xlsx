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gredientes" sheetId="1" state="visible" r:id="rId1"/>
    <sheet name="Tota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DAEEF3"/>
      </patternFill>
    </fill>
    <fill>
      <patternFill patternType="solid">
        <fgColor rgb="00E6B8B7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164" fontId="0" fillId="0" borderId="0" pivotButton="0" quotePrefix="0" xfId="0"/>
    <xf numFmtId="10" fontId="0" fillId="0" borderId="0" pivotButton="0" quotePrefix="0" xfId="0"/>
    <xf numFmtId="164" fontId="0" fillId="5" borderId="0" pivotButton="0" quotePrefix="0" xfId="0"/>
    <xf numFmtId="10" fontId="0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8" customWidth="1" min="3" max="3"/>
    <col width="14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Detalles de formulación</t>
        </is>
      </c>
      <c r="G1" s="2" t="inlineStr">
        <is>
          <t>Proximates</t>
        </is>
      </c>
      <c r="L1" s="3" t="inlineStr">
        <is>
          <t>Carbohydrates</t>
        </is>
      </c>
    </row>
    <row r="2">
      <c r="A2" s="4" t="inlineStr">
        <is>
          <t>FDC ID</t>
        </is>
      </c>
      <c r="B2" s="4" t="inlineStr">
        <is>
          <t>Ingrediente</t>
        </is>
      </c>
      <c r="C2" s="4" t="inlineStr">
        <is>
          <t>Marca / Origen</t>
        </is>
      </c>
      <c r="D2" s="4" t="inlineStr">
        <is>
          <t>Tipo de dato</t>
        </is>
      </c>
      <c r="E2" s="4" t="inlineStr">
        <is>
          <t>Cantidad (g)</t>
        </is>
      </c>
      <c r="F2" s="4" t="inlineStr">
        <is>
          <t>Cantidad (%)</t>
        </is>
      </c>
      <c r="G2" s="2" t="inlineStr">
        <is>
          <t>Water (g)</t>
        </is>
      </c>
      <c r="H2" s="2" t="inlineStr">
        <is>
          <t>Energy (kcal)</t>
        </is>
      </c>
      <c r="I2" s="2" t="inlineStr">
        <is>
          <t>Protein (g)</t>
        </is>
      </c>
      <c r="J2" s="2" t="inlineStr">
        <is>
          <t>Total lipid (fat) (g)</t>
        </is>
      </c>
      <c r="K2" s="2" t="inlineStr">
        <is>
          <t>Carbohydrate, by difference (g)</t>
        </is>
      </c>
      <c r="L2" s="3" t="inlineStr">
        <is>
          <t>Fiber, total dietary (g)</t>
        </is>
      </c>
    </row>
    <row r="3">
      <c r="A3" t="n">
        <v>748967</v>
      </c>
      <c r="B3" t="inlineStr">
        <is>
          <t>Eggs, Grade A, Large, egg whole</t>
        </is>
      </c>
      <c r="C3" t="inlineStr"/>
      <c r="D3" t="inlineStr">
        <is>
          <t>Foundation</t>
        </is>
      </c>
      <c r="E3" s="5" t="n">
        <v>150</v>
      </c>
      <c r="F3" s="6">
        <f>E3/SUM($E$3:$E$33)</f>
        <v/>
      </c>
      <c r="G3" t="n">
        <v>75.8</v>
      </c>
      <c r="H3" t="n">
        <v>143.08</v>
      </c>
      <c r="I3" t="n">
        <v>12.4</v>
      </c>
      <c r="J3" t="n">
        <v>9.960000000000001</v>
      </c>
      <c r="K3" t="n">
        <v>0.96</v>
      </c>
      <c r="L3" t="n">
        <v>0</v>
      </c>
    </row>
    <row r="4">
      <c r="A4" t="n">
        <v>174158</v>
      </c>
      <c r="B4" t="inlineStr">
        <is>
          <t>Water, bottled, generic</t>
        </is>
      </c>
      <c r="C4" t="inlineStr"/>
      <c r="D4" t="inlineStr">
        <is>
          <t>SR Legacy</t>
        </is>
      </c>
      <c r="E4" s="5" t="n">
        <v>116.4730390055723</v>
      </c>
      <c r="F4" s="6">
        <f>E4/SUM($E$3:$E$33)</f>
        <v/>
      </c>
      <c r="G4" t="n">
        <v>100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171320</v>
      </c>
      <c r="B5" t="inlineStr">
        <is>
          <t>Spices, cinnamon, ground</t>
        </is>
      </c>
      <c r="C5" t="inlineStr"/>
      <c r="D5" t="inlineStr">
        <is>
          <t>SR Legacy</t>
        </is>
      </c>
      <c r="E5" s="5" t="n">
        <v>39.66666666666669</v>
      </c>
      <c r="F5" s="6">
        <f>E5/SUM($E$3:$E$33)</f>
        <v/>
      </c>
      <c r="G5" t="n">
        <v>10.6</v>
      </c>
      <c r="H5" t="n">
        <v>349.52</v>
      </c>
      <c r="I5" t="n">
        <v>3.99</v>
      </c>
      <c r="J5" t="n">
        <v>1.24</v>
      </c>
      <c r="K5" t="n">
        <v>80.59999999999999</v>
      </c>
      <c r="L5" t="n">
        <v>53.1</v>
      </c>
    </row>
    <row r="6">
      <c r="A6" t="n">
        <v>172336</v>
      </c>
      <c r="B6" t="inlineStr">
        <is>
          <t>Oil, canola</t>
        </is>
      </c>
      <c r="C6" t="inlineStr"/>
      <c r="D6" t="inlineStr">
        <is>
          <t>SR Legacy</t>
        </is>
      </c>
      <c r="E6" s="5" t="n">
        <v>30</v>
      </c>
      <c r="F6" s="6">
        <f>E6/SUM($E$3:$E$33)</f>
        <v/>
      </c>
      <c r="G6" t="n">
        <v>0</v>
      </c>
      <c r="H6" t="n">
        <v>900</v>
      </c>
      <c r="I6" t="n">
        <v>0</v>
      </c>
      <c r="J6" t="n">
        <v>100</v>
      </c>
      <c r="K6" t="n">
        <v>0</v>
      </c>
      <c r="L6" t="n">
        <v>0</v>
      </c>
    </row>
    <row r="7">
      <c r="A7" t="n">
        <v>748366</v>
      </c>
      <c r="B7" t="inlineStr">
        <is>
          <t>Oil, soybean</t>
        </is>
      </c>
      <c r="C7" t="inlineStr"/>
      <c r="D7" t="inlineStr">
        <is>
          <t>Foundation</t>
        </is>
      </c>
      <c r="E7" s="5" t="n">
        <v>5</v>
      </c>
      <c r="F7" s="6">
        <f>E7/SUM($E$3:$E$33)</f>
        <v/>
      </c>
      <c r="H7" t="n">
        <v>851.4</v>
      </c>
      <c r="J7" t="n">
        <v>94.59999999999999</v>
      </c>
    </row>
    <row r="8">
      <c r="A8" t="n">
        <v>173468</v>
      </c>
      <c r="B8" t="inlineStr">
        <is>
          <t>Salt, table</t>
        </is>
      </c>
      <c r="C8" t="inlineStr"/>
      <c r="D8" t="inlineStr">
        <is>
          <t>SR Legacy</t>
        </is>
      </c>
      <c r="E8" s="5" t="n">
        <v>3.130147163880557</v>
      </c>
      <c r="F8" s="6">
        <f>E8/SUM($E$3:$E$33)</f>
        <v/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2644283</v>
      </c>
      <c r="B9" t="inlineStr">
        <is>
          <t>Lentils, dry</t>
        </is>
      </c>
      <c r="C9" t="inlineStr"/>
      <c r="D9" t="inlineStr">
        <is>
          <t>Foundation</t>
        </is>
      </c>
      <c r="E9" s="5" t="n">
        <v>32.80000000000001</v>
      </c>
      <c r="F9" s="6">
        <f>E9/SUM($E$3:$E$33)</f>
        <v/>
      </c>
      <c r="G9" t="n">
        <v>9.449999999999999</v>
      </c>
      <c r="H9" t="n">
        <v>360.48</v>
      </c>
      <c r="I9" t="n">
        <v>23.6</v>
      </c>
      <c r="J9" t="n">
        <v>1.92</v>
      </c>
      <c r="K9" t="n">
        <v>62.2</v>
      </c>
    </row>
    <row r="10">
      <c r="A10" t="n">
        <v>2707920</v>
      </c>
      <c r="B10" t="inlineStr">
        <is>
          <t>Cookie, chocolate sandwich</t>
        </is>
      </c>
      <c r="C10" t="inlineStr"/>
      <c r="D10" t="inlineStr">
        <is>
          <t>Survey (FNDDS)</t>
        </is>
      </c>
      <c r="E10" s="5" t="n">
        <v>100</v>
      </c>
      <c r="F10" s="6">
        <f>E10/SUM($E$3:$E$33)</f>
        <v/>
      </c>
      <c r="G10" t="n">
        <v>3.11</v>
      </c>
      <c r="H10" t="n">
        <v>476.74</v>
      </c>
      <c r="I10" t="n">
        <v>5.21</v>
      </c>
      <c r="J10" t="n">
        <v>19.1</v>
      </c>
      <c r="K10" t="n">
        <v>71</v>
      </c>
      <c r="L10" t="n">
        <v>2.9</v>
      </c>
    </row>
    <row r="11">
      <c r="A11" t="n">
        <v>746782</v>
      </c>
      <c r="B11" t="inlineStr">
        <is>
          <t>Milk, whole, 3.25% milkfat, with added vitamin D</t>
        </is>
      </c>
      <c r="C11" t="inlineStr"/>
      <c r="D11" t="inlineStr">
        <is>
          <t>Foundation</t>
        </is>
      </c>
      <c r="E11" s="5" t="n">
        <v>100</v>
      </c>
      <c r="F11" s="6">
        <f>E11/SUM($E$3:$E$33)</f>
        <v/>
      </c>
      <c r="G11" t="n">
        <v>88.09999999999999</v>
      </c>
      <c r="H11" t="n">
        <v>60.40000000000001</v>
      </c>
      <c r="I11" t="n">
        <v>3.27</v>
      </c>
      <c r="J11" t="n">
        <v>3.2</v>
      </c>
      <c r="K11" t="n">
        <v>4.63</v>
      </c>
    </row>
    <row r="12">
      <c r="A12" t="n">
        <v>2720960</v>
      </c>
      <c r="B12" t="inlineStr">
        <is>
          <t>Pringles Crisps Bbq 16.9oz</t>
        </is>
      </c>
      <c r="C12" t="inlineStr">
        <is>
          <t>Kellogg Company US</t>
        </is>
      </c>
      <c r="D12" t="inlineStr">
        <is>
          <t>Branded</t>
        </is>
      </c>
      <c r="E12" s="5" t="n">
        <v>100</v>
      </c>
      <c r="F12" s="6">
        <f>E12/SUM($E$3:$E$33)</f>
        <v/>
      </c>
      <c r="G12" t="n">
        <v>4.299999999999983</v>
      </c>
      <c r="H12" t="n">
        <v>529.2</v>
      </c>
      <c r="I12" t="n">
        <v>4.5</v>
      </c>
      <c r="J12" t="n">
        <v>31.2</v>
      </c>
      <c r="K12" t="n">
        <v>57.6</v>
      </c>
      <c r="L12" t="n">
        <v>2.4</v>
      </c>
    </row>
    <row r="13">
      <c r="A13" t="n">
        <v>2257045</v>
      </c>
      <c r="B13" t="inlineStr">
        <is>
          <t>Almond milk, unsweetened, plain, refrigerated</t>
        </is>
      </c>
      <c r="C13" t="inlineStr"/>
      <c r="D13" t="inlineStr">
        <is>
          <t>Foundation</t>
        </is>
      </c>
      <c r="E13" s="5" t="n">
        <v>100</v>
      </c>
      <c r="F13" s="6">
        <f>E13/SUM($E$3:$E$33)</f>
        <v/>
      </c>
      <c r="G13" t="n">
        <v>96.5</v>
      </c>
      <c r="H13" t="n">
        <v>19.348</v>
      </c>
      <c r="I13" t="n">
        <v>0.656</v>
      </c>
      <c r="J13" t="n">
        <v>1.56</v>
      </c>
      <c r="K13" t="n">
        <v>0.671</v>
      </c>
      <c r="L13" t="n">
        <v>0</v>
      </c>
    </row>
    <row r="14">
      <c r="A14" t="n">
        <v>1999631</v>
      </c>
      <c r="B14" t="inlineStr">
        <is>
          <t>Almond milk, unsweetened, plain, shelf stable</t>
        </is>
      </c>
      <c r="C14" t="inlineStr"/>
      <c r="D14" t="inlineStr">
        <is>
          <t>Foundation</t>
        </is>
      </c>
      <c r="E14" s="5" t="n">
        <v>100</v>
      </c>
      <c r="F14" s="6">
        <f>E14/SUM($E$3:$E$33)</f>
        <v/>
      </c>
      <c r="G14" t="n">
        <v>97.40000000000001</v>
      </c>
      <c r="H14" t="n">
        <v>14.548</v>
      </c>
      <c r="I14" t="n">
        <v>0.555</v>
      </c>
      <c r="J14" t="n">
        <v>1.22</v>
      </c>
      <c r="K14" t="n">
        <v>0.337</v>
      </c>
      <c r="L14" t="n">
        <v>0</v>
      </c>
    </row>
    <row r="15">
      <c r="A15" t="n">
        <v>2259796</v>
      </c>
      <c r="B15" t="inlineStr">
        <is>
          <t>Cheese, feta, whole milk, crumbled</t>
        </is>
      </c>
      <c r="C15" t="inlineStr"/>
      <c r="D15" t="inlineStr">
        <is>
          <t>Foundation</t>
        </is>
      </c>
      <c r="E15" s="5" t="n">
        <v>100</v>
      </c>
      <c r="F15" s="6">
        <f>E15/SUM($E$3:$E$33)</f>
        <v/>
      </c>
      <c r="G15" t="n">
        <v>51.9</v>
      </c>
      <c r="H15" t="n">
        <v>273.02</v>
      </c>
      <c r="I15" t="n">
        <v>19.7</v>
      </c>
      <c r="J15" t="n">
        <v>19.1</v>
      </c>
      <c r="K15" t="n">
        <v>5.58</v>
      </c>
    </row>
    <row r="16">
      <c r="A16" t="n">
        <v>746766</v>
      </c>
      <c r="B16" t="inlineStr">
        <is>
          <t>Cheese, ricotta, whole milk</t>
        </is>
      </c>
      <c r="C16" t="inlineStr"/>
      <c r="D16" t="inlineStr">
        <is>
          <t>Foundation</t>
        </is>
      </c>
      <c r="E16" s="5" t="n">
        <v>100</v>
      </c>
      <c r="F16" s="6">
        <f>E16/SUM($E$3:$E$33)</f>
        <v/>
      </c>
      <c r="G16" t="n">
        <v>72.90000000000001</v>
      </c>
      <c r="H16" t="n">
        <v>157.68</v>
      </c>
      <c r="I16" t="n">
        <v>7.81</v>
      </c>
      <c r="J16" t="n">
        <v>11</v>
      </c>
      <c r="K16" t="n">
        <v>6.86</v>
      </c>
    </row>
    <row r="17">
      <c r="A17" t="n">
        <v>746772</v>
      </c>
      <c r="B17" t="inlineStr">
        <is>
          <t>Milk, lowfat, fluid, 1% milkfat, with added vitamin A and vitamin D</t>
        </is>
      </c>
      <c r="C17" t="inlineStr"/>
      <c r="D17" t="inlineStr">
        <is>
          <t>Foundation</t>
        </is>
      </c>
      <c r="E17" s="5" t="n">
        <v>100</v>
      </c>
      <c r="F17" s="6">
        <f>E17/SUM($E$3:$E$33)</f>
        <v/>
      </c>
      <c r="G17" t="n">
        <v>89.7</v>
      </c>
      <c r="H17" t="n">
        <v>42.78999999999999</v>
      </c>
      <c r="I17" t="n">
        <v>3.38</v>
      </c>
      <c r="J17" t="n">
        <v>0.95</v>
      </c>
      <c r="K17" t="n">
        <v>5.18</v>
      </c>
    </row>
    <row r="18">
      <c r="A18" t="n">
        <v>746776</v>
      </c>
      <c r="B18" t="inlineStr">
        <is>
          <t>Milk, nonfat, fluid, with added vitamin A and vitamin D (fat free or skim)</t>
        </is>
      </c>
      <c r="C18" t="inlineStr"/>
      <c r="D18" t="inlineStr">
        <is>
          <t>Foundation</t>
        </is>
      </c>
      <c r="E18" s="5" t="n">
        <v>100</v>
      </c>
      <c r="F18" s="6">
        <f>E18/SUM($E$3:$E$33)</f>
        <v/>
      </c>
      <c r="G18" t="n">
        <v>90.8</v>
      </c>
      <c r="H18" t="n">
        <v>34.12</v>
      </c>
      <c r="I18" t="n">
        <v>3.43</v>
      </c>
      <c r="J18" t="n">
        <v>0.08</v>
      </c>
      <c r="K18" t="n">
        <v>4.92</v>
      </c>
    </row>
    <row r="19">
      <c r="A19" t="n">
        <v>746778</v>
      </c>
      <c r="B19" t="inlineStr">
        <is>
          <t>Milk, reduced fat, fluid, 2% milkfat, with added vitamin A and vitamin D</t>
        </is>
      </c>
      <c r="C19" t="inlineStr"/>
      <c r="D19" t="inlineStr">
        <is>
          <t>Foundation</t>
        </is>
      </c>
      <c r="E19" s="5" t="n">
        <v>100</v>
      </c>
      <c r="F19" s="6">
        <f>E19/SUM($E$3:$E$33)</f>
        <v/>
      </c>
      <c r="G19" t="n">
        <v>89.09999999999999</v>
      </c>
      <c r="H19" t="n">
        <v>50.14</v>
      </c>
      <c r="I19" t="n">
        <v>3.36</v>
      </c>
      <c r="J19" t="n">
        <v>1.9</v>
      </c>
      <c r="K19" t="n">
        <v>4.9</v>
      </c>
    </row>
    <row r="20">
      <c r="A20" t="n">
        <v>2257046</v>
      </c>
      <c r="B20" t="inlineStr">
        <is>
          <t>Oat milk, unsweetened, plain, refrigerated</t>
        </is>
      </c>
      <c r="C20" t="inlineStr"/>
      <c r="D20" t="inlineStr">
        <is>
          <t>Foundation</t>
        </is>
      </c>
      <c r="E20" s="5" t="n">
        <v>100</v>
      </c>
      <c r="F20" s="6">
        <f>E20/SUM($E$3:$E$33)</f>
        <v/>
      </c>
      <c r="G20" t="n">
        <v>90.59999999999999</v>
      </c>
      <c r="H20" t="n">
        <v>48.33799999999999</v>
      </c>
      <c r="I20" t="n">
        <v>0.797</v>
      </c>
      <c r="J20" t="n">
        <v>2.75</v>
      </c>
      <c r="K20" t="n">
        <v>5.1</v>
      </c>
      <c r="L20" t="n">
        <v>0</v>
      </c>
    </row>
    <row r="21">
      <c r="A21" t="n">
        <v>2257044</v>
      </c>
      <c r="B21" t="inlineStr">
        <is>
          <t>Soy milk, sweetened, plain, refrigerated</t>
        </is>
      </c>
      <c r="C21" t="inlineStr"/>
      <c r="D21" t="inlineStr">
        <is>
          <t>Foundation</t>
        </is>
      </c>
      <c r="E21" s="5" t="n">
        <v>100</v>
      </c>
      <c r="F21" s="6">
        <f>E21/SUM($E$3:$E$33)</f>
        <v/>
      </c>
      <c r="G21" t="n">
        <v>91.5</v>
      </c>
      <c r="H21" t="n">
        <v>40.76</v>
      </c>
      <c r="I21" t="n">
        <v>2.78</v>
      </c>
      <c r="J21" t="n">
        <v>1.96</v>
      </c>
      <c r="K21" t="n">
        <v>3</v>
      </c>
      <c r="L21" t="n">
        <v>0</v>
      </c>
    </row>
    <row r="22">
      <c r="A22" t="n">
        <v>1999630</v>
      </c>
      <c r="B22" t="inlineStr">
        <is>
          <t>Soy milk, unsweetened, plain, shelf stable</t>
        </is>
      </c>
      <c r="C22" t="inlineStr"/>
      <c r="D22" t="inlineStr">
        <is>
          <t>Foundation</t>
        </is>
      </c>
      <c r="E22" s="5" t="n">
        <v>100</v>
      </c>
      <c r="F22" s="6">
        <f>E22/SUM($E$3:$E$33)</f>
        <v/>
      </c>
      <c r="G22" t="n">
        <v>92.40000000000001</v>
      </c>
      <c r="H22" t="n">
        <v>38.44</v>
      </c>
      <c r="I22" t="n">
        <v>3.55</v>
      </c>
      <c r="J22" t="n">
        <v>2.12</v>
      </c>
      <c r="K22" t="n">
        <v>1.29</v>
      </c>
      <c r="L22" t="n">
        <v>0</v>
      </c>
    </row>
    <row r="23">
      <c r="A23" t="n">
        <v>173532</v>
      </c>
      <c r="B23" t="inlineStr">
        <is>
          <t>Babyfood, cereal, mixed, with honey, prepared with whole milk</t>
        </is>
      </c>
      <c r="C23" t="inlineStr"/>
      <c r="D23" t="inlineStr">
        <is>
          <t>SR Legacy</t>
        </is>
      </c>
      <c r="E23" s="5" t="n">
        <v>100</v>
      </c>
      <c r="F23" s="6">
        <f>E23/SUM($E$3:$E$33)</f>
        <v/>
      </c>
      <c r="G23" t="n">
        <v>74.2</v>
      </c>
      <c r="H23" t="n">
        <v>116</v>
      </c>
      <c r="I23" t="n">
        <v>5</v>
      </c>
      <c r="J23" t="n">
        <v>3.6</v>
      </c>
      <c r="K23" t="n">
        <v>15.9</v>
      </c>
    </row>
    <row r="24">
      <c r="A24" t="n">
        <v>173534</v>
      </c>
      <c r="B24" t="inlineStr">
        <is>
          <t>Babyfood, cereal, rice, with bananas, prepared with whole milk</t>
        </is>
      </c>
      <c r="C24" t="inlineStr"/>
      <c r="D24" t="inlineStr">
        <is>
          <t>SR Legacy</t>
        </is>
      </c>
      <c r="E24" s="5" t="n">
        <v>100</v>
      </c>
      <c r="F24" s="6">
        <f>E24/SUM($E$3:$E$33)</f>
        <v/>
      </c>
      <c r="G24" t="n">
        <v>81.8</v>
      </c>
      <c r="H24" t="n">
        <v>86.16</v>
      </c>
      <c r="I24" t="n">
        <v>3.57</v>
      </c>
      <c r="J24" t="n">
        <v>3.32</v>
      </c>
      <c r="K24" t="n">
        <v>10.5</v>
      </c>
      <c r="L24" t="n">
        <v>0.1</v>
      </c>
    </row>
    <row r="25">
      <c r="A25" t="n">
        <v>2003591</v>
      </c>
      <c r="B25" t="inlineStr">
        <is>
          <t>Orange juice, no pulp, not fortified, from concentrate, refrigerated</t>
        </is>
      </c>
      <c r="C25" t="inlineStr"/>
      <c r="D25" t="inlineStr">
        <is>
          <t>Foundation</t>
        </is>
      </c>
      <c r="E25" s="5" t="n">
        <v>100</v>
      </c>
      <c r="F25" s="6">
        <f>E25/SUM($E$3:$E$33)</f>
        <v/>
      </c>
      <c r="G25" t="n">
        <v>88.2</v>
      </c>
      <c r="H25" t="n">
        <v>47.061</v>
      </c>
      <c r="I25" t="n">
        <v>0.734</v>
      </c>
      <c r="J25" t="n">
        <v>0.325</v>
      </c>
      <c r="K25" t="n">
        <v>10.3</v>
      </c>
    </row>
    <row r="26">
      <c r="A26" t="n">
        <v>2003597</v>
      </c>
      <c r="B26" t="inlineStr">
        <is>
          <t>Orange juice, no pulp, not fortified, not from concentrate, refrigerated</t>
        </is>
      </c>
      <c r="C26" t="inlineStr"/>
      <c r="D26" t="inlineStr">
        <is>
          <t>Foundation</t>
        </is>
      </c>
      <c r="E26" s="5" t="n">
        <v>100</v>
      </c>
      <c r="F26" s="6">
        <f>E26/SUM($E$3:$E$33)</f>
        <v/>
      </c>
      <c r="G26" t="n">
        <v>88.5</v>
      </c>
      <c r="H26" t="n">
        <v>46.452</v>
      </c>
      <c r="I26" t="n">
        <v>0.8120000000000001</v>
      </c>
      <c r="J26" t="n">
        <v>0.356</v>
      </c>
      <c r="K26" t="n">
        <v>10</v>
      </c>
    </row>
    <row r="27">
      <c r="A27" t="n">
        <v>169102</v>
      </c>
      <c r="B27" t="inlineStr">
        <is>
          <t>Orange juice, frozen concentrate, unsweetened, diluted with 3 volume water</t>
        </is>
      </c>
      <c r="C27" t="inlineStr"/>
      <c r="D27" t="inlineStr">
        <is>
          <t>SR Legacy</t>
        </is>
      </c>
      <c r="E27" s="5" t="n">
        <v>100</v>
      </c>
      <c r="F27" s="6">
        <f>E27/SUM($E$3:$E$33)</f>
        <v/>
      </c>
      <c r="G27" t="n">
        <v>90.09999999999999</v>
      </c>
      <c r="H27" t="n">
        <v>38.14</v>
      </c>
      <c r="I27" t="n">
        <v>0.6</v>
      </c>
      <c r="J27" t="n">
        <v>0.06</v>
      </c>
      <c r="K27" t="n">
        <v>8.800000000000001</v>
      </c>
      <c r="L27" t="n">
        <v>0.2</v>
      </c>
    </row>
    <row r="28">
      <c r="A28" t="n">
        <v>168113</v>
      </c>
      <c r="B28" t="inlineStr">
        <is>
          <t>Frozen novelties, juice type, orange</t>
        </is>
      </c>
      <c r="C28" t="inlineStr"/>
      <c r="D28" t="inlineStr">
        <is>
          <t>SR Legacy</t>
        </is>
      </c>
      <c r="E28" s="5" t="n">
        <v>100</v>
      </c>
      <c r="F28" s="6">
        <f>E28/SUM($E$3:$E$33)</f>
        <v/>
      </c>
      <c r="G28" t="n">
        <v>76.09999999999999</v>
      </c>
      <c r="H28" t="n">
        <v>94.8</v>
      </c>
      <c r="I28" t="n">
        <v>0.5</v>
      </c>
      <c r="J28" t="n">
        <v>0</v>
      </c>
      <c r="K28" t="n">
        <v>23.2</v>
      </c>
      <c r="L28" t="n">
        <v>0.1</v>
      </c>
    </row>
    <row r="29">
      <c r="A29" t="n">
        <v>171354</v>
      </c>
      <c r="B29" t="inlineStr">
        <is>
          <t>Babyfood, juice, orange</t>
        </is>
      </c>
      <c r="C29" t="inlineStr"/>
      <c r="D29" t="inlineStr">
        <is>
          <t>SR Legacy</t>
        </is>
      </c>
      <c r="E29" s="5" t="n">
        <v>100</v>
      </c>
      <c r="F29" s="6">
        <f>E29/SUM($E$3:$E$33)</f>
        <v/>
      </c>
      <c r="G29" t="n">
        <v>88.5</v>
      </c>
      <c r="H29" t="n">
        <v>45.9</v>
      </c>
      <c r="I29" t="n">
        <v>0.6</v>
      </c>
      <c r="J29" t="n">
        <v>0.3</v>
      </c>
      <c r="K29" t="n">
        <v>10.2</v>
      </c>
      <c r="L29" t="n">
        <v>0.1</v>
      </c>
    </row>
    <row r="30">
      <c r="A30" t="n">
        <v>1104812</v>
      </c>
      <c r="B30" t="inlineStr">
        <is>
          <t>Flour, rice, brown</t>
        </is>
      </c>
      <c r="C30" t="inlineStr"/>
      <c r="D30" t="inlineStr">
        <is>
          <t>Foundation</t>
        </is>
      </c>
      <c r="E30" s="5" t="n">
        <v>100</v>
      </c>
      <c r="F30" s="6">
        <f>E30/SUM($E$3:$E$33)</f>
        <v/>
      </c>
      <c r="G30" t="n">
        <v>12.1</v>
      </c>
      <c r="H30" t="n">
        <v>365.41</v>
      </c>
      <c r="I30" t="n">
        <v>7.19</v>
      </c>
      <c r="J30" t="n">
        <v>3.85</v>
      </c>
      <c r="K30" t="n">
        <v>75.5</v>
      </c>
    </row>
    <row r="31">
      <c r="A31" t="n">
        <v>169707</v>
      </c>
      <c r="B31" t="inlineStr">
        <is>
          <t>Rice, white, long-grain, parboiled, enriched, dry</t>
        </is>
      </c>
      <c r="C31" t="inlineStr"/>
      <c r="D31" t="inlineStr">
        <is>
          <t>SR Legacy</t>
        </is>
      </c>
      <c r="E31" s="5" t="n">
        <v>100</v>
      </c>
      <c r="F31" s="6">
        <f>E31/SUM($E$3:$E$33)</f>
        <v/>
      </c>
      <c r="G31" t="n">
        <v>9.859999999999999</v>
      </c>
      <c r="H31" t="n">
        <v>362.91</v>
      </c>
      <c r="I31" t="n">
        <v>7.51</v>
      </c>
      <c r="J31" t="n">
        <v>1.03</v>
      </c>
      <c r="K31" t="n">
        <v>80.90000000000001</v>
      </c>
      <c r="L31" t="n">
        <v>1.8</v>
      </c>
    </row>
    <row r="32">
      <c r="A32" t="n">
        <v>169758</v>
      </c>
      <c r="B32" t="inlineStr">
        <is>
          <t>Rice, white, long-grain, parboiled, unenriched, dry</t>
        </is>
      </c>
      <c r="C32" t="inlineStr"/>
      <c r="D32" t="inlineStr">
        <is>
          <t>SR Legacy</t>
        </is>
      </c>
      <c r="E32" s="5" t="n">
        <v>100</v>
      </c>
      <c r="F32" s="6">
        <f>E32/SUM($E$3:$E$33)</f>
        <v/>
      </c>
      <c r="G32" t="n">
        <v>9.859999999999999</v>
      </c>
      <c r="H32" t="n">
        <v>362.91</v>
      </c>
      <c r="I32" t="n">
        <v>7.51</v>
      </c>
      <c r="J32" t="n">
        <v>1.03</v>
      </c>
      <c r="K32" t="n">
        <v>80.90000000000001</v>
      </c>
      <c r="L32" t="n">
        <v>1.8</v>
      </c>
    </row>
    <row r="33">
      <c r="A33" t="n">
        <v>2512381</v>
      </c>
      <c r="B33" t="inlineStr">
        <is>
          <t>Rice, white, long grain, unenriched, raw</t>
        </is>
      </c>
      <c r="C33" t="inlineStr"/>
      <c r="D33" t="inlineStr">
        <is>
          <t>Foundation</t>
        </is>
      </c>
      <c r="E33" s="5" t="n">
        <v>100</v>
      </c>
      <c r="F33" s="6">
        <f>E33/SUM($E$3:$E$33)</f>
        <v/>
      </c>
      <c r="G33" t="n">
        <v>11.2</v>
      </c>
      <c r="H33" t="n">
        <v>358.63</v>
      </c>
      <c r="I33" t="n">
        <v>7.04</v>
      </c>
      <c r="J33" t="n">
        <v>1.03</v>
      </c>
      <c r="K33" t="n">
        <v>80.3</v>
      </c>
      <c r="L33" t="n">
        <v>0.149</v>
      </c>
    </row>
    <row r="34">
      <c r="A34" t="inlineStr">
        <is>
          <t>Total</t>
        </is>
      </c>
      <c r="B34" t="inlineStr">
        <is>
          <t>Formulado</t>
        </is>
      </c>
      <c r="C34" t="inlineStr">
        <is>
          <t>Formulado</t>
        </is>
      </c>
      <c r="D34" t="inlineStr">
        <is>
          <t>Formulado</t>
        </is>
      </c>
      <c r="E34" s="7">
        <f>SUBTOTAL(9,E3:E33)</f>
        <v/>
      </c>
      <c r="F34" s="8" t="inlineStr">
        <is>
          <t>100%</t>
        </is>
      </c>
      <c r="G34" s="9">
        <f>SUMPRODUCT($F$3:$F$33,$G$3:$G$33)</f>
        <v/>
      </c>
      <c r="H34" s="9">
        <f>SUMPRODUCT($F$3:$F$33,$H$3:$H$33)</f>
        <v/>
      </c>
      <c r="I34" s="9">
        <f>SUMPRODUCT($F$3:$F$33,$I$3:$I$33)</f>
        <v/>
      </c>
      <c r="J34" s="9">
        <f>SUMPRODUCT($F$3:$F$33,$J$3:$J$33)</f>
        <v/>
      </c>
      <c r="K34" s="9">
        <f>SUMPRODUCT($F$3:$F$33,$K$3:$K$33)</f>
        <v/>
      </c>
      <c r="L34" s="9">
        <f>SUMPRODUCT($F$3:$F$33,$L$3:$L$33)</f>
        <v/>
      </c>
    </row>
  </sheetData>
  <mergeCells count="3">
    <mergeCell ref="A1:F1"/>
    <mergeCell ref="L1"/>
    <mergeCell ref="G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Nutriente</t>
        </is>
      </c>
      <c r="B1" s="4" t="inlineStr">
        <is>
          <t>Total</t>
        </is>
      </c>
      <c r="C1" s="4" t="inlineStr">
        <is>
          <t>Unidad</t>
        </is>
      </c>
    </row>
    <row r="2">
      <c r="A2" t="inlineStr">
        <is>
          <t>Water</t>
        </is>
      </c>
      <c r="B2">
        <f>Ingredientes!G34</f>
        <v/>
      </c>
      <c r="C2" t="inlineStr">
        <is>
          <t>g</t>
        </is>
      </c>
    </row>
    <row r="3">
      <c r="A3" t="inlineStr">
        <is>
          <t>Energy</t>
        </is>
      </c>
      <c r="B3">
        <f>Ingredientes!H34</f>
        <v/>
      </c>
      <c r="C3" t="inlineStr">
        <is>
          <t>kcal</t>
        </is>
      </c>
    </row>
    <row r="4">
      <c r="A4" t="inlineStr">
        <is>
          <t>Protein</t>
        </is>
      </c>
      <c r="B4">
        <f>Ingredientes!I34</f>
        <v/>
      </c>
      <c r="C4" t="inlineStr">
        <is>
          <t>g</t>
        </is>
      </c>
    </row>
    <row r="5">
      <c r="A5" t="inlineStr">
        <is>
          <t>Total lipid (fat)</t>
        </is>
      </c>
      <c r="B5">
        <f>Ingredientes!J34</f>
        <v/>
      </c>
      <c r="C5" t="inlineStr">
        <is>
          <t>g</t>
        </is>
      </c>
    </row>
    <row r="6">
      <c r="A6" t="inlineStr">
        <is>
          <t>Carbohydrate, by difference</t>
        </is>
      </c>
      <c r="B6">
        <f>Ingredientes!K34</f>
        <v/>
      </c>
      <c r="C6" t="inlineStr">
        <is>
          <t>g</t>
        </is>
      </c>
    </row>
    <row r="7">
      <c r="A7" t="inlineStr">
        <is>
          <t>Fiber, total dietary</t>
        </is>
      </c>
      <c r="B7">
        <f>Ingredientes!L34</f>
        <v/>
      </c>
      <c r="C7" t="inlineStr">
        <is>
          <t>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2025-12-22T23:15:28Z</dcterms:created>
  <dcterms:modified xsi:type="dcterms:W3CDTF">2025-12-22T23:15:28Z</dcterms:modified>
</cp:coreProperties>
</file>