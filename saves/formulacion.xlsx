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gredientes" sheetId="1" state="visible" r:id="rId1"/>
    <sheet name="Total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">
    <font>
      <name val="Calibri"/>
      <family val="2"/>
      <color theme="1"/>
      <sz val="11"/>
      <scheme val="minor"/>
    </font>
  </fonts>
  <fills count="9">
    <fill>
      <patternFill/>
    </fill>
    <fill>
      <patternFill patternType="gray125"/>
    </fill>
    <fill>
      <patternFill patternType="solid">
        <fgColor rgb="00DAEEF3"/>
      </patternFill>
    </fill>
    <fill>
      <patternFill patternType="solid">
        <fgColor rgb="00E6B8B7"/>
      </patternFill>
    </fill>
    <fill>
      <patternFill patternType="solid">
        <fgColor rgb="00C4D79B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E4DFEC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164" fontId="0" fillId="0" borderId="0" pivotButton="0" quotePrefix="0" xfId="0"/>
    <xf numFmtId="10" fontId="0" fillId="0" borderId="0" pivotButton="0" quotePrefix="0" xfId="0"/>
    <xf numFmtId="164" fontId="0" fillId="5" borderId="0" pivotButton="0" quotePrefix="0" xfId="0"/>
    <xf numFmtId="10" fontId="0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W16"/>
  <sheetViews>
    <sheetView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8" customWidth="1" min="3" max="3"/>
    <col width="14" customWidth="1" min="4" max="4"/>
    <col width="12" customWidth="1" min="5" max="5"/>
    <col width="12" customWidth="1" min="6" max="6"/>
  </cols>
  <sheetData>
    <row r="1">
      <c r="A1" s="1" t="inlineStr">
        <is>
          <t>Detalles de formulación</t>
        </is>
      </c>
      <c r="G1" s="2" t="inlineStr">
        <is>
          <t>Proximates</t>
        </is>
      </c>
      <c r="Q1" s="3" t="inlineStr">
        <is>
          <t>Carbohydrates</t>
        </is>
      </c>
      <c r="Z1" s="4" t="inlineStr">
        <is>
          <t>Minerals</t>
        </is>
      </c>
      <c r="AL1" s="5" t="inlineStr">
        <is>
          <t>Vitamins and Other Components</t>
        </is>
      </c>
      <c r="CM1" s="6" t="inlineStr">
        <is>
          <t>Lipids</t>
        </is>
      </c>
      <c r="FN1" s="7" t="inlineStr">
        <is>
          <t>Amino acids</t>
        </is>
      </c>
      <c r="GK1" s="8" t="inlineStr">
        <is>
          <t>Vitamin A</t>
        </is>
      </c>
      <c r="GL1" s="8" t="inlineStr">
        <is>
          <t>Isoflavones</t>
        </is>
      </c>
      <c r="GQ1" s="8" t="inlineStr">
        <is>
          <t>Oligosaccharides</t>
        </is>
      </c>
      <c r="GT1" s="8" t="inlineStr">
        <is>
          <t>Organic acids</t>
        </is>
      </c>
    </row>
    <row r="2">
      <c r="A2" s="8" t="inlineStr">
        <is>
          <t>FDC ID</t>
        </is>
      </c>
      <c r="B2" s="8" t="inlineStr">
        <is>
          <t>Ingrediente</t>
        </is>
      </c>
      <c r="C2" s="8" t="inlineStr">
        <is>
          <t>Marca / Origen</t>
        </is>
      </c>
      <c r="D2" s="8" t="inlineStr">
        <is>
          <t>Tipo de dato</t>
        </is>
      </c>
      <c r="E2" s="8" t="inlineStr">
        <is>
          <t>Cantidad (g)</t>
        </is>
      </c>
      <c r="F2" s="8" t="inlineStr">
        <is>
          <t>Cantidad (%)</t>
        </is>
      </c>
      <c r="G2" s="2" t="inlineStr">
        <is>
          <t>Water (g)</t>
        </is>
      </c>
      <c r="H2" s="2" t="inlineStr">
        <is>
          <t>Energy (Atwater General Factors) (kcal)</t>
        </is>
      </c>
      <c r="I2" s="2" t="inlineStr">
        <is>
          <t>Energy (Atwater Specific Factors) (kcal)</t>
        </is>
      </c>
      <c r="J2" s="2" t="inlineStr">
        <is>
          <t>Energy (kcal)</t>
        </is>
      </c>
      <c r="K2" s="2" t="inlineStr">
        <is>
          <t>Energy (kJ)</t>
        </is>
      </c>
      <c r="L2" s="2" t="inlineStr">
        <is>
          <t>Nitrogen (g)</t>
        </is>
      </c>
      <c r="M2" s="2" t="inlineStr">
        <is>
          <t>Protein (g)</t>
        </is>
      </c>
      <c r="N2" s="2" t="inlineStr">
        <is>
          <t>Total fat (NLEA) (g)</t>
        </is>
      </c>
      <c r="O2" s="2" t="inlineStr">
        <is>
          <t>Total lipid (fat) (g)</t>
        </is>
      </c>
      <c r="P2" s="2" t="inlineStr">
        <is>
          <t>Ash (g)</t>
        </is>
      </c>
      <c r="Q2" s="3" t="inlineStr">
        <is>
          <t>Carbohydrate, by difference (g)</t>
        </is>
      </c>
      <c r="R2" s="3" t="inlineStr">
        <is>
          <t>Fiber, total dietary (g)</t>
        </is>
      </c>
      <c r="S2" s="3" t="inlineStr">
        <is>
          <t>Sugars, Total (g)</t>
        </is>
      </c>
      <c r="T2" s="3" t="inlineStr">
        <is>
          <t>Sucrose (g)</t>
        </is>
      </c>
      <c r="U2" s="3" t="inlineStr">
        <is>
          <t>Glucose (g)</t>
        </is>
      </c>
      <c r="V2" s="3" t="inlineStr">
        <is>
          <t>Fructose (g)</t>
        </is>
      </c>
      <c r="W2" s="3" t="inlineStr">
        <is>
          <t>Lactose (g)</t>
        </is>
      </c>
      <c r="X2" s="3" t="inlineStr">
        <is>
          <t>Maltose (g)</t>
        </is>
      </c>
      <c r="Y2" s="3" t="inlineStr">
        <is>
          <t>Galactose (g)</t>
        </is>
      </c>
      <c r="Z2" s="4" t="inlineStr">
        <is>
          <t>Calcium, Ca (mg)</t>
        </is>
      </c>
      <c r="AA2" s="4" t="inlineStr">
        <is>
          <t>Iron, Fe (mg)</t>
        </is>
      </c>
      <c r="AB2" s="4" t="inlineStr">
        <is>
          <t>Magnesium, Mg (mg)</t>
        </is>
      </c>
      <c r="AC2" s="4" t="inlineStr">
        <is>
          <t>Phosphorus, P (mg)</t>
        </is>
      </c>
      <c r="AD2" s="4" t="inlineStr">
        <is>
          <t>Potassium, K (mg)</t>
        </is>
      </c>
      <c r="AE2" s="4" t="inlineStr">
        <is>
          <t>Sodium, Na (mg)</t>
        </is>
      </c>
      <c r="AF2" s="4" t="inlineStr">
        <is>
          <t>Zinc, Zn (mg)</t>
        </is>
      </c>
      <c r="AG2" s="4" t="inlineStr">
        <is>
          <t>Copper, Cu (mg)</t>
        </is>
      </c>
      <c r="AH2" s="4" t="inlineStr">
        <is>
          <t>Manganese, Mn (mg)</t>
        </is>
      </c>
      <c r="AI2" s="4" t="inlineStr">
        <is>
          <t>Iodine, I (µg)</t>
        </is>
      </c>
      <c r="AJ2" s="4" t="inlineStr">
        <is>
          <t>Selenium, Se (µg)</t>
        </is>
      </c>
      <c r="AK2" s="4" t="inlineStr">
        <is>
          <t>Molybdenum, Mo (µg)</t>
        </is>
      </c>
      <c r="AL2" s="5" t="inlineStr">
        <is>
          <t>Vitamin C, total ascorbic acid (mg)</t>
        </is>
      </c>
      <c r="AM2" s="5" t="inlineStr">
        <is>
          <t>Thiamin (mg)</t>
        </is>
      </c>
      <c r="AN2" s="5" t="inlineStr">
        <is>
          <t>Riboflavin (mg)</t>
        </is>
      </c>
      <c r="AO2" s="5" t="inlineStr">
        <is>
          <t>Niacin (mg)</t>
        </is>
      </c>
      <c r="AP2" s="5" t="inlineStr">
        <is>
          <t>Pantothenic acid (mg)</t>
        </is>
      </c>
      <c r="AQ2" s="5" t="inlineStr">
        <is>
          <t>Vitamin B-6 (mg)</t>
        </is>
      </c>
      <c r="AR2" s="5" t="inlineStr">
        <is>
          <t>Biotin (µg)</t>
        </is>
      </c>
      <c r="AS2" s="5" t="inlineStr">
        <is>
          <t>Folate, total (µg)</t>
        </is>
      </c>
      <c r="AT2" s="5" t="inlineStr">
        <is>
          <t>Folic acid (µg)</t>
        </is>
      </c>
      <c r="AU2" s="5" t="inlineStr">
        <is>
          <t>Folate, food (µg)</t>
        </is>
      </c>
      <c r="AV2" s="5" t="inlineStr">
        <is>
          <t>Folate, DFE (µg)</t>
        </is>
      </c>
      <c r="AW2" s="5" t="inlineStr">
        <is>
          <t>Choline, total (mg)</t>
        </is>
      </c>
      <c r="AX2" s="5" t="inlineStr">
        <is>
          <t>Choline, free (mg)</t>
        </is>
      </c>
      <c r="AY2" s="5" t="inlineStr">
        <is>
          <t>Choline, from phosphocholine (mg)</t>
        </is>
      </c>
      <c r="AZ2" s="5" t="inlineStr">
        <is>
          <t>Choline, from phosphotidyl choline (mg)</t>
        </is>
      </c>
      <c r="BA2" s="5" t="inlineStr">
        <is>
          <t>Choline, from glycerophosphocholine (mg)</t>
        </is>
      </c>
      <c r="BB2" s="5" t="inlineStr">
        <is>
          <t>Choline, from sphingomyelin (mg)</t>
        </is>
      </c>
      <c r="BC2" s="5" t="inlineStr">
        <is>
          <t>Betaine (mg)</t>
        </is>
      </c>
      <c r="BD2" s="5" t="inlineStr">
        <is>
          <t>Vitamin B-12 (µg)</t>
        </is>
      </c>
      <c r="BE2" s="5" t="inlineStr">
        <is>
          <t>Vitamin B-12, added (µg)</t>
        </is>
      </c>
      <c r="BF2" s="5" t="inlineStr">
        <is>
          <t>Vitamin A, RAE (µg)</t>
        </is>
      </c>
      <c r="BG2" s="5" t="inlineStr">
        <is>
          <t>Retinol (µg)</t>
        </is>
      </c>
      <c r="BH2" s="5" t="inlineStr">
        <is>
          <t>Carotene, beta (µg)</t>
        </is>
      </c>
      <c r="BI2" s="5" t="inlineStr">
        <is>
          <t>cis-beta-Carotene (µg)</t>
        </is>
      </c>
      <c r="BJ2" s="5" t="inlineStr">
        <is>
          <t>trans-beta-Carotene (µg)</t>
        </is>
      </c>
      <c r="BK2" s="5" t="inlineStr">
        <is>
          <t>Carotene, alpha (µg)</t>
        </is>
      </c>
      <c r="BL2" s="5" t="inlineStr">
        <is>
          <t>Carotene, gamma (µg)</t>
        </is>
      </c>
      <c r="BM2" s="5" t="inlineStr">
        <is>
          <t>Cryptoxanthin, beta (µg)</t>
        </is>
      </c>
      <c r="BN2" s="5" t="inlineStr">
        <is>
          <t>Cryptoxanthin, alpha (µg)</t>
        </is>
      </c>
      <c r="BO2" s="5" t="inlineStr">
        <is>
          <t>Vitamin A, IU (iu)</t>
        </is>
      </c>
      <c r="BP2" s="5" t="inlineStr">
        <is>
          <t>Lycopene (µg)</t>
        </is>
      </c>
      <c r="BQ2" s="5" t="inlineStr">
        <is>
          <t>cis-Lycopene (µg)</t>
        </is>
      </c>
      <c r="BR2" s="5" t="inlineStr">
        <is>
          <t>trans-Lycopene (µg)</t>
        </is>
      </c>
      <c r="BS2" s="5" t="inlineStr">
        <is>
          <t>Lutein + zeaxanthin (µg)</t>
        </is>
      </c>
      <c r="BT2" s="5" t="inlineStr">
        <is>
          <t>cis-Lutein/Zeaxanthin (µg)</t>
        </is>
      </c>
      <c r="BU2" s="5" t="inlineStr">
        <is>
          <t>Lutein (µg)</t>
        </is>
      </c>
      <c r="BV2" s="5" t="inlineStr">
        <is>
          <t>Zeaxanthin (µg)</t>
        </is>
      </c>
      <c r="BW2" s="5" t="inlineStr">
        <is>
          <t>Vitamin E (alpha-tocopherol) (mg)</t>
        </is>
      </c>
      <c r="BX2" s="5" t="inlineStr">
        <is>
          <t>Vitamin E, added (mg)</t>
        </is>
      </c>
      <c r="BY2" s="5" t="inlineStr">
        <is>
          <t>Tocopherol, beta (mg)</t>
        </is>
      </c>
      <c r="BZ2" s="5" t="inlineStr">
        <is>
          <t>Tocopherol, gamma (mg)</t>
        </is>
      </c>
      <c r="CA2" s="5" t="inlineStr">
        <is>
          <t>Tocopherol, delta (mg)</t>
        </is>
      </c>
      <c r="CB2" s="5" t="inlineStr">
        <is>
          <t>Tocotrienol, alpha (mg)</t>
        </is>
      </c>
      <c r="CC2" s="5" t="inlineStr">
        <is>
          <t>Tocotrienol, beta (mg)</t>
        </is>
      </c>
      <c r="CD2" s="5" t="inlineStr">
        <is>
          <t>Tocotrienol, gamma (mg)</t>
        </is>
      </c>
      <c r="CE2" s="5" t="inlineStr">
        <is>
          <t>Tocotrienol, delta (mg)</t>
        </is>
      </c>
      <c r="CF2" s="5" t="inlineStr">
        <is>
          <t>Vitamin D (D2 + D3), International Units (iu)</t>
        </is>
      </c>
      <c r="CG2" s="5" t="inlineStr">
        <is>
          <t>Vitamin D (D2 + D3) (µg)</t>
        </is>
      </c>
      <c r="CH2" s="5" t="inlineStr">
        <is>
          <t>Vitamin D3 (cholecalciferol) (µg)</t>
        </is>
      </c>
      <c r="CI2" s="5" t="inlineStr">
        <is>
          <t>25-hydroxycholecalciferol (µg)</t>
        </is>
      </c>
      <c r="CJ2" s="5" t="inlineStr">
        <is>
          <t>Vitamin K (phylloquinone) (µg)</t>
        </is>
      </c>
      <c r="CK2" s="5" t="inlineStr">
        <is>
          <t>Vitamin K (Dihydrophylloquinone) (µg)</t>
        </is>
      </c>
      <c r="CL2" s="5" t="inlineStr">
        <is>
          <t>Vitamin K (Menaquinone-4) (µg)</t>
        </is>
      </c>
      <c r="CM2" s="6" t="inlineStr">
        <is>
          <t>Fatty acids, total saturated (g)</t>
        </is>
      </c>
      <c r="CN2" s="6" t="inlineStr">
        <is>
          <t>SFA 4:0 (g)</t>
        </is>
      </c>
      <c r="CO2" s="6" t="inlineStr">
        <is>
          <t>SFA 5:0 (g)</t>
        </is>
      </c>
      <c r="CP2" s="6" t="inlineStr">
        <is>
          <t>SFA 6:0 (g)</t>
        </is>
      </c>
      <c r="CQ2" s="6" t="inlineStr">
        <is>
          <t>SFA 7:0 (g)</t>
        </is>
      </c>
      <c r="CR2" s="6" t="inlineStr">
        <is>
          <t>SFA 8:0 (g)</t>
        </is>
      </c>
      <c r="CS2" s="6" t="inlineStr">
        <is>
          <t>SFA 9:0 (g)</t>
        </is>
      </c>
      <c r="CT2" s="6" t="inlineStr">
        <is>
          <t>SFA 10:0 (g)</t>
        </is>
      </c>
      <c r="CU2" s="6" t="inlineStr">
        <is>
          <t>SFA 11:0 (g)</t>
        </is>
      </c>
      <c r="CV2" s="6" t="inlineStr">
        <is>
          <t>SFA 12:0 (g)</t>
        </is>
      </c>
      <c r="CW2" s="6" t="inlineStr">
        <is>
          <t>SFA 13:0 (g)</t>
        </is>
      </c>
      <c r="CX2" s="6" t="inlineStr">
        <is>
          <t>SFA 14:0 (g)</t>
        </is>
      </c>
      <c r="CY2" s="6" t="inlineStr">
        <is>
          <t>SFA 15:0 (g)</t>
        </is>
      </c>
      <c r="CZ2" s="6" t="inlineStr">
        <is>
          <t>SFA 16:0 (g)</t>
        </is>
      </c>
      <c r="DA2" s="6" t="inlineStr">
        <is>
          <t>SFA 17:0 (g)</t>
        </is>
      </c>
      <c r="DB2" s="6" t="inlineStr">
        <is>
          <t>SFA 18:0 (g)</t>
        </is>
      </c>
      <c r="DC2" s="6" t="inlineStr">
        <is>
          <t>SFA 20:0 (g)</t>
        </is>
      </c>
      <c r="DD2" s="6" t="inlineStr">
        <is>
          <t>SFA 21:0 (g)</t>
        </is>
      </c>
      <c r="DE2" s="6" t="inlineStr">
        <is>
          <t>SFA 22:0 (g)</t>
        </is>
      </c>
      <c r="DF2" s="6" t="inlineStr">
        <is>
          <t>SFA 23:0 (g)</t>
        </is>
      </c>
      <c r="DG2" s="6" t="inlineStr">
        <is>
          <t>SFA 24:0 (g)</t>
        </is>
      </c>
      <c r="DH2" s="6" t="inlineStr">
        <is>
          <t>Fatty acids, total monounsaturated (g)</t>
        </is>
      </c>
      <c r="DI2" s="6" t="inlineStr">
        <is>
          <t>MUFA 12:1 (g)</t>
        </is>
      </c>
      <c r="DJ2" s="6" t="inlineStr">
        <is>
          <t>MUFA 14:1 (g)</t>
        </is>
      </c>
      <c r="DK2" s="6" t="inlineStr">
        <is>
          <t>MUFA 14:1 c (g)</t>
        </is>
      </c>
      <c r="DL2" s="6" t="inlineStr">
        <is>
          <t>MUFA 15:1 (g)</t>
        </is>
      </c>
      <c r="DM2" s="6" t="inlineStr">
        <is>
          <t>MUFA 16:1 (g)</t>
        </is>
      </c>
      <c r="DN2" s="6" t="inlineStr">
        <is>
          <t>MUFA 16:1 c (g)</t>
        </is>
      </c>
      <c r="DO2" s="6" t="inlineStr">
        <is>
          <t>MUFA 17:1 (g)</t>
        </is>
      </c>
      <c r="DP2" s="6" t="inlineStr">
        <is>
          <t>MUFA 17:1 c (g)</t>
        </is>
      </c>
      <c r="DQ2" s="6" t="inlineStr">
        <is>
          <t>MUFA 18:1 (g)</t>
        </is>
      </c>
      <c r="DR2" s="6" t="inlineStr">
        <is>
          <t>MUFA 18:1 c (g)</t>
        </is>
      </c>
      <c r="DS2" s="6" t="inlineStr">
        <is>
          <t>MUFA 20:1 (g)</t>
        </is>
      </c>
      <c r="DT2" s="6" t="inlineStr">
        <is>
          <t>MUFA 20:1 c (g)</t>
        </is>
      </c>
      <c r="DU2" s="6" t="inlineStr">
        <is>
          <t>MUFA 22:1 (g)</t>
        </is>
      </c>
      <c r="DV2" s="6" t="inlineStr">
        <is>
          <t>MUFA 22:1 c (g)</t>
        </is>
      </c>
      <c r="DW2" s="6" t="inlineStr">
        <is>
          <t>MUFA 22:1 n-9 (g)</t>
        </is>
      </c>
      <c r="DX2" s="6" t="inlineStr">
        <is>
          <t>MUFA 22:1 n-11 (g)</t>
        </is>
      </c>
      <c r="DY2" s="6" t="inlineStr">
        <is>
          <t>MUFA 24:1 c (g)</t>
        </is>
      </c>
      <c r="DZ2" s="6" t="inlineStr">
        <is>
          <t>Fatty acids, total polyunsaturated (g)</t>
        </is>
      </c>
      <c r="EA2" s="6" t="inlineStr">
        <is>
          <t>PUFA 18:2 (g)</t>
        </is>
      </c>
      <c r="EB2" s="6" t="inlineStr">
        <is>
          <t>PUFA 18:2 c (g)</t>
        </is>
      </c>
      <c r="EC2" s="6" t="inlineStr">
        <is>
          <t>PUFA 18:2 n-6 c,c (g)</t>
        </is>
      </c>
      <c r="ED2" s="6" t="inlineStr">
        <is>
          <t>PUFA 18:2 CLAs (g)</t>
        </is>
      </c>
      <c r="EE2" s="6" t="inlineStr">
        <is>
          <t>PUFA 18:3 (g)</t>
        </is>
      </c>
      <c r="EF2" s="6" t="inlineStr">
        <is>
          <t>PUFA 18:3 c (g)</t>
        </is>
      </c>
      <c r="EG2" s="6" t="inlineStr">
        <is>
          <t>PUFA 18:3 n-3 c,c,c (ALA) (g)</t>
        </is>
      </c>
      <c r="EH2" s="6" t="inlineStr">
        <is>
          <t>PUFA 18:3 n-6 c,c,c (g)</t>
        </is>
      </c>
      <c r="EI2" s="6" t="inlineStr">
        <is>
          <t>PUFA 18:4 (g)</t>
        </is>
      </c>
      <c r="EJ2" s="6" t="inlineStr">
        <is>
          <t>PUFA 20:2 c (g)</t>
        </is>
      </c>
      <c r="EK2" s="6" t="inlineStr">
        <is>
          <t>PUFA 20:2 n-6 c,c (g)</t>
        </is>
      </c>
      <c r="EL2" s="6" t="inlineStr">
        <is>
          <t>PUFA 20:3 c (g)</t>
        </is>
      </c>
      <c r="EM2" s="6" t="inlineStr">
        <is>
          <t>PUFA 20:3 n-3 (g)</t>
        </is>
      </c>
      <c r="EN2" s="6" t="inlineStr">
        <is>
          <t>PUFA 20:3 n-6 (g)</t>
        </is>
      </c>
      <c r="EO2" s="6" t="inlineStr">
        <is>
          <t>PUFA 20:3 n-9 (g)</t>
        </is>
      </c>
      <c r="EP2" s="6" t="inlineStr">
        <is>
          <t>PUFA 22:3 (g)</t>
        </is>
      </c>
      <c r="EQ2" s="6" t="inlineStr">
        <is>
          <t>PUFA 20:4 (g)</t>
        </is>
      </c>
      <c r="ER2" s="6" t="inlineStr">
        <is>
          <t>PUFA 20:4c (g)</t>
        </is>
      </c>
      <c r="ES2" s="6" t="inlineStr">
        <is>
          <t>PUFA 20:5c (g)</t>
        </is>
      </c>
      <c r="ET2" s="6" t="inlineStr">
        <is>
          <t>PUFA 20:5 n-3 (EPA) (g)</t>
        </is>
      </c>
      <c r="EU2" s="6" t="inlineStr">
        <is>
          <t>PUFA 22:2 (g)</t>
        </is>
      </c>
      <c r="EV2" s="6" t="inlineStr">
        <is>
          <t>PUFA 22:5 c (g)</t>
        </is>
      </c>
      <c r="EW2" s="6" t="inlineStr">
        <is>
          <t>PUFA 22:4 (g)</t>
        </is>
      </c>
      <c r="EX2" s="6" t="inlineStr">
        <is>
          <t>PUFA 22:5 n-3 (DPA) (g)</t>
        </is>
      </c>
      <c r="EY2" s="6" t="inlineStr">
        <is>
          <t>PUFA 22:6 c (g)</t>
        </is>
      </c>
      <c r="EZ2" s="6" t="inlineStr">
        <is>
          <t>PUFA 22:6 n-3 (DHA) (g)</t>
        </is>
      </c>
      <c r="FA2" s="6" t="inlineStr">
        <is>
          <t>Fatty acids, total trans (g)</t>
        </is>
      </c>
      <c r="FB2" s="6" t="inlineStr">
        <is>
          <t>Fatty acids, total trans-monoenoic (g)</t>
        </is>
      </c>
      <c r="FC2" s="6" t="inlineStr">
        <is>
          <t>TFA 14:1 t (g)</t>
        </is>
      </c>
      <c r="FD2" s="6" t="inlineStr">
        <is>
          <t>TFA 16:1 t (g)</t>
        </is>
      </c>
      <c r="FE2" s="6" t="inlineStr">
        <is>
          <t>TFA 18:1 t (g)</t>
        </is>
      </c>
      <c r="FF2" s="6" t="inlineStr">
        <is>
          <t>TFA 20:1 t (g)</t>
        </is>
      </c>
      <c r="FG2" s="6" t="inlineStr">
        <is>
          <t>TFA 22:1 t (g)</t>
        </is>
      </c>
      <c r="FH2" s="6" t="inlineStr">
        <is>
          <t>Fatty acids, total trans-dienoic (g)</t>
        </is>
      </c>
      <c r="FI2" s="6" t="inlineStr">
        <is>
          <t>TFA 18:2 t not further defined (g)</t>
        </is>
      </c>
      <c r="FJ2" s="6" t="inlineStr">
        <is>
          <t>TFA 18:2 t (g)</t>
        </is>
      </c>
      <c r="FK2" s="6" t="inlineStr">
        <is>
          <t>Fatty acids, total trans-polyenoic (g)</t>
        </is>
      </c>
      <c r="FL2" s="6" t="inlineStr">
        <is>
          <t>TFA 18:3 t (g)</t>
        </is>
      </c>
      <c r="FM2" s="6" t="inlineStr">
        <is>
          <t>Cholesterol (mg)</t>
        </is>
      </c>
      <c r="FN2" s="7" t="inlineStr">
        <is>
          <t>Tryptophan (g)</t>
        </is>
      </c>
      <c r="FO2" s="7" t="inlineStr">
        <is>
          <t>Threonine (g)</t>
        </is>
      </c>
      <c r="FP2" s="7" t="inlineStr">
        <is>
          <t>Isoleucine (g)</t>
        </is>
      </c>
      <c r="FQ2" s="7" t="inlineStr">
        <is>
          <t>Leucine (g)</t>
        </is>
      </c>
      <c r="FR2" s="7" t="inlineStr">
        <is>
          <t>Lysine (g)</t>
        </is>
      </c>
      <c r="FS2" s="7" t="inlineStr">
        <is>
          <t>Methionine (g)</t>
        </is>
      </c>
      <c r="FT2" s="7" t="inlineStr">
        <is>
          <t>Cystine (g)</t>
        </is>
      </c>
      <c r="FU2" s="7" t="inlineStr">
        <is>
          <t>Phenylalanine (g)</t>
        </is>
      </c>
      <c r="FV2" s="7" t="inlineStr">
        <is>
          <t>Tyrosine (g)</t>
        </is>
      </c>
      <c r="FW2" s="7" t="inlineStr">
        <is>
          <t>Valine (g)</t>
        </is>
      </c>
      <c r="FX2" s="7" t="inlineStr">
        <is>
          <t>Arginine (g)</t>
        </is>
      </c>
      <c r="FY2" s="7" t="inlineStr">
        <is>
          <t>Histidine (g)</t>
        </is>
      </c>
      <c r="FZ2" s="7" t="inlineStr">
        <is>
          <t>Alanine (g)</t>
        </is>
      </c>
      <c r="GA2" s="7" t="inlineStr">
        <is>
          <t>Aspartic acid (g)</t>
        </is>
      </c>
      <c r="GB2" s="7" t="inlineStr">
        <is>
          <t>Glutamic acid (g)</t>
        </is>
      </c>
      <c r="GC2" s="7" t="inlineStr">
        <is>
          <t>Glycine (g)</t>
        </is>
      </c>
      <c r="GD2" s="7" t="inlineStr">
        <is>
          <t>Proline (g)</t>
        </is>
      </c>
      <c r="GE2" s="7" t="inlineStr">
        <is>
          <t>Serine (g)</t>
        </is>
      </c>
      <c r="GF2" s="7" t="inlineStr">
        <is>
          <t>Hydroxyproline (g)</t>
        </is>
      </c>
      <c r="GG2" s="7" t="inlineStr">
        <is>
          <t>Cysteine (g)</t>
        </is>
      </c>
      <c r="GH2" s="7" t="inlineStr">
        <is>
          <t>Alcohol, ethyl (g)</t>
        </is>
      </c>
      <c r="GI2" s="7" t="inlineStr">
        <is>
          <t>Caffeine (mg)</t>
        </is>
      </c>
      <c r="GJ2" s="7" t="inlineStr">
        <is>
          <t>Theobromine (mg)</t>
        </is>
      </c>
      <c r="GK2" s="8" t="inlineStr">
        <is>
          <t>Vitamin D2 (ergocalciferol) (µg)</t>
        </is>
      </c>
      <c r="GL2" s="8" t="inlineStr">
        <is>
          <t>Daidzein (mg)</t>
        </is>
      </c>
      <c r="GM2" s="8" t="inlineStr">
        <is>
          <t>Genistein (mg)</t>
        </is>
      </c>
      <c r="GN2" s="8" t="inlineStr">
        <is>
          <t>Daidzin (mg)</t>
        </is>
      </c>
      <c r="GO2" s="8" t="inlineStr">
        <is>
          <t>Genistin (mg)</t>
        </is>
      </c>
      <c r="GP2" s="8" t="inlineStr">
        <is>
          <t>Glycitin (mg)</t>
        </is>
      </c>
      <c r="GQ2" s="8" t="inlineStr">
        <is>
          <t>Raffinose (g)</t>
        </is>
      </c>
      <c r="GR2" s="8" t="inlineStr">
        <is>
          <t>Stachyose (g)</t>
        </is>
      </c>
      <c r="GS2" s="8" t="inlineStr">
        <is>
          <t>Verbascose (g)</t>
        </is>
      </c>
      <c r="GT2" s="8" t="inlineStr">
        <is>
          <t>Citric acid (mg)</t>
        </is>
      </c>
      <c r="GU2" s="8" t="inlineStr">
        <is>
          <t>Malic acid (mg)</t>
        </is>
      </c>
      <c r="GV2" s="8" t="inlineStr">
        <is>
          <t>Oxalic acid (mg)</t>
        </is>
      </c>
      <c r="GW2" s="8" t="inlineStr">
        <is>
          <t>Quinic acid (mg)</t>
        </is>
      </c>
    </row>
    <row r="3">
      <c r="A3" t="n">
        <v>746766</v>
      </c>
      <c r="B3" t="inlineStr">
        <is>
          <t>Cheese, ricotta, whole milk</t>
        </is>
      </c>
      <c r="C3" t="inlineStr"/>
      <c r="D3" t="inlineStr">
        <is>
          <t>Foundation</t>
        </is>
      </c>
      <c r="E3" s="9" t="n">
        <v>100</v>
      </c>
      <c r="F3" s="10">
        <f>E3/SUM($E$3:$E$15)</f>
        <v/>
      </c>
      <c r="G3" t="n">
        <v>72.90000000000001</v>
      </c>
      <c r="J3" t="n">
        <v>157</v>
      </c>
      <c r="K3" t="n">
        <v>657</v>
      </c>
      <c r="L3" t="n">
        <v>1.22</v>
      </c>
      <c r="M3" t="n">
        <v>7.81</v>
      </c>
      <c r="N3" t="n">
        <v>10.3</v>
      </c>
      <c r="O3" t="n">
        <v>11</v>
      </c>
      <c r="P3" t="n">
        <v>1.36</v>
      </c>
      <c r="Q3" t="n">
        <v>6.86</v>
      </c>
      <c r="Z3" t="n">
        <v>224</v>
      </c>
      <c r="AA3" t="n">
        <v>0.1</v>
      </c>
      <c r="AB3" t="n">
        <v>19.7</v>
      </c>
      <c r="AC3" t="n">
        <v>162</v>
      </c>
      <c r="AD3" t="n">
        <v>230</v>
      </c>
      <c r="AE3" t="n">
        <v>105</v>
      </c>
      <c r="AF3" t="n">
        <v>0.5600000000000001</v>
      </c>
      <c r="AG3" t="n">
        <v>0</v>
      </c>
      <c r="AH3" t="n">
        <v>0</v>
      </c>
      <c r="AJ3" t="n">
        <v>5.5</v>
      </c>
      <c r="AM3" t="n">
        <v>0.043</v>
      </c>
      <c r="AN3" t="n">
        <v>0.327</v>
      </c>
      <c r="AO3" t="n">
        <v>0.168</v>
      </c>
      <c r="AP3" t="n">
        <v>0.673</v>
      </c>
      <c r="AQ3" t="n">
        <v>0.099</v>
      </c>
      <c r="AS3" t="n">
        <v>4</v>
      </c>
      <c r="BD3" t="n">
        <v>0.78</v>
      </c>
      <c r="BF3" t="n">
        <v>127</v>
      </c>
      <c r="BG3" t="n">
        <v>127</v>
      </c>
      <c r="BW3" t="n">
        <v>0.27</v>
      </c>
      <c r="BY3" t="n">
        <v>0</v>
      </c>
      <c r="BZ3" t="n">
        <v>0</v>
      </c>
      <c r="CA3" t="n">
        <v>0</v>
      </c>
      <c r="CB3" t="n">
        <v>0</v>
      </c>
      <c r="CC3" t="n">
        <v>0</v>
      </c>
      <c r="CD3" t="n">
        <v>0</v>
      </c>
      <c r="CE3" t="n">
        <v>0</v>
      </c>
      <c r="CJ3" t="n">
        <v>0.6</v>
      </c>
      <c r="CK3" t="n">
        <v>0</v>
      </c>
      <c r="CL3" t="n">
        <v>3.1</v>
      </c>
      <c r="CM3" t="n">
        <v>6.97</v>
      </c>
      <c r="CN3" t="n">
        <v>0.251</v>
      </c>
      <c r="CP3" t="n">
        <v>0.199</v>
      </c>
      <c r="CR3" t="n">
        <v>0.125</v>
      </c>
      <c r="CT3" t="n">
        <v>0.306</v>
      </c>
      <c r="CU3" t="n">
        <v>0</v>
      </c>
      <c r="CV3" t="n">
        <v>0.36</v>
      </c>
      <c r="CX3" t="n">
        <v>1.15</v>
      </c>
      <c r="CY3" t="n">
        <v>0.116</v>
      </c>
      <c r="CZ3" t="n">
        <v>3.36</v>
      </c>
      <c r="DA3" t="n">
        <v>0.067</v>
      </c>
      <c r="DB3" t="n">
        <v>1.02</v>
      </c>
      <c r="DC3" t="n">
        <v>0.014</v>
      </c>
      <c r="DE3" t="n">
        <v>0.006</v>
      </c>
      <c r="DG3" t="n">
        <v>0.004</v>
      </c>
      <c r="DH3" t="n">
        <v>2.56</v>
      </c>
      <c r="DK3" t="n">
        <v>0.117</v>
      </c>
      <c r="DL3" t="n">
        <v>0</v>
      </c>
      <c r="DN3" t="n">
        <v>0.184</v>
      </c>
      <c r="DO3" t="n">
        <v>0.021</v>
      </c>
      <c r="DP3" t="n">
        <v>0.021</v>
      </c>
      <c r="DR3" t="n">
        <v>2.22</v>
      </c>
      <c r="DT3" t="n">
        <v>0.02</v>
      </c>
      <c r="DV3" t="n">
        <v>0.002</v>
      </c>
      <c r="DW3" t="n">
        <v>0.002</v>
      </c>
      <c r="DY3" t="n">
        <v>0</v>
      </c>
      <c r="DZ3" t="n">
        <v>0.389</v>
      </c>
      <c r="EB3" t="n">
        <v>0.308</v>
      </c>
      <c r="EC3" t="n">
        <v>0.259</v>
      </c>
      <c r="ED3" t="n">
        <v>0.049</v>
      </c>
      <c r="EF3" t="n">
        <v>0.042</v>
      </c>
      <c r="EG3" t="n">
        <v>0.042</v>
      </c>
      <c r="EH3" t="n">
        <v>0</v>
      </c>
      <c r="EI3" t="n">
        <v>0.001</v>
      </c>
      <c r="EJ3" t="n">
        <v>0.001</v>
      </c>
      <c r="EK3" t="n">
        <v>0.001</v>
      </c>
      <c r="EL3" t="n">
        <v>0.012</v>
      </c>
      <c r="EM3" t="n">
        <v>0</v>
      </c>
      <c r="EN3" t="n">
        <v>0.012</v>
      </c>
      <c r="EO3" t="n">
        <v>0</v>
      </c>
      <c r="EQ3" t="n">
        <v>0.015</v>
      </c>
      <c r="ER3" t="n">
        <v>0.015</v>
      </c>
      <c r="ES3" t="n">
        <v>0.005</v>
      </c>
      <c r="ET3" t="n">
        <v>0.005</v>
      </c>
      <c r="EU3" t="n">
        <v>0</v>
      </c>
      <c r="EV3" t="n">
        <v>0.007</v>
      </c>
      <c r="EW3" t="n">
        <v>0.003</v>
      </c>
      <c r="EX3" t="n">
        <v>0.007</v>
      </c>
      <c r="EY3" t="n">
        <v>0</v>
      </c>
      <c r="EZ3" t="n">
        <v>0</v>
      </c>
      <c r="FA3" t="n">
        <v>0.351</v>
      </c>
      <c r="FB3" t="n">
        <v>0.283</v>
      </c>
      <c r="FD3" t="n">
        <v>0.032</v>
      </c>
      <c r="FE3" t="n">
        <v>0.251</v>
      </c>
      <c r="FG3" t="n">
        <v>0</v>
      </c>
      <c r="FH3" t="n">
        <v>0.068</v>
      </c>
      <c r="FI3" t="n">
        <v>0.068</v>
      </c>
      <c r="FK3" t="n">
        <v>0.001</v>
      </c>
      <c r="FL3" t="n">
        <v>0.001</v>
      </c>
      <c r="FM3" t="n">
        <v>48</v>
      </c>
      <c r="FN3" t="n">
        <v>0.115</v>
      </c>
      <c r="FO3" t="n">
        <v>0.395</v>
      </c>
      <c r="FP3" t="n">
        <v>0.365</v>
      </c>
      <c r="FQ3" t="n">
        <v>0.785</v>
      </c>
      <c r="FR3" t="n">
        <v>0.655</v>
      </c>
      <c r="FS3" t="n">
        <v>0.17</v>
      </c>
      <c r="FU3" t="n">
        <v>0.27</v>
      </c>
      <c r="FV3" t="n">
        <v>0.25</v>
      </c>
      <c r="FW3" t="n">
        <v>0.325</v>
      </c>
      <c r="FX3" t="n">
        <v>0.21</v>
      </c>
      <c r="FY3" t="n">
        <v>0.175</v>
      </c>
      <c r="FZ3" t="n">
        <v>0.325</v>
      </c>
      <c r="GA3" t="n">
        <v>0.735</v>
      </c>
      <c r="GB3" t="n">
        <v>1.3</v>
      </c>
      <c r="GC3" t="n">
        <v>0.135</v>
      </c>
      <c r="GD3" t="n">
        <v>0.5649999999999999</v>
      </c>
      <c r="GE3" t="n">
        <v>0.365</v>
      </c>
      <c r="GF3" t="n">
        <v>0</v>
      </c>
      <c r="GG3" t="n">
        <v>0.18</v>
      </c>
    </row>
    <row r="4">
      <c r="A4" t="n">
        <v>746772</v>
      </c>
      <c r="B4" t="inlineStr">
        <is>
          <t>Milk, lowfat, fluid, 1% milkfat, with added vitamin A and vitamin D</t>
        </is>
      </c>
      <c r="C4" t="inlineStr"/>
      <c r="D4" t="inlineStr">
        <is>
          <t>Foundation</t>
        </is>
      </c>
      <c r="E4" s="9" t="n">
        <v>100</v>
      </c>
      <c r="F4" s="10">
        <f>E4/SUM($E$3:$E$15)</f>
        <v/>
      </c>
      <c r="G4" t="n">
        <v>89.7</v>
      </c>
      <c r="J4" t="n">
        <v>43</v>
      </c>
      <c r="K4" t="n">
        <v>179</v>
      </c>
      <c r="L4" t="n">
        <v>0.53</v>
      </c>
      <c r="M4" t="n">
        <v>3.38</v>
      </c>
      <c r="N4" t="n">
        <v>0.85</v>
      </c>
      <c r="O4" t="n">
        <v>0.95</v>
      </c>
      <c r="P4" t="n">
        <v>0.8</v>
      </c>
      <c r="Q4" t="n">
        <v>5.18</v>
      </c>
      <c r="S4" t="n">
        <v>4.96</v>
      </c>
      <c r="T4" t="n">
        <v>0</v>
      </c>
      <c r="U4" t="n">
        <v>0</v>
      </c>
      <c r="V4" t="n">
        <v>0</v>
      </c>
      <c r="W4" t="n">
        <v>4.96</v>
      </c>
      <c r="X4" t="n">
        <v>0</v>
      </c>
      <c r="Y4" t="n">
        <v>0</v>
      </c>
      <c r="Z4" t="n">
        <v>126</v>
      </c>
      <c r="AA4" t="n">
        <v>0</v>
      </c>
      <c r="AB4" t="n">
        <v>12</v>
      </c>
      <c r="AC4" t="n">
        <v>103</v>
      </c>
      <c r="AD4" t="n">
        <v>159</v>
      </c>
      <c r="AE4" t="n">
        <v>39</v>
      </c>
      <c r="AF4" t="n">
        <v>0.43</v>
      </c>
      <c r="AG4" t="n">
        <v>0.001</v>
      </c>
      <c r="AH4" t="n">
        <v>0</v>
      </c>
      <c r="AI4" t="n">
        <v>36.2</v>
      </c>
      <c r="AJ4" t="n">
        <v>2.1</v>
      </c>
      <c r="AM4" t="n">
        <v>0.057</v>
      </c>
      <c r="AN4" t="n">
        <v>0.14</v>
      </c>
      <c r="AO4" t="n">
        <v>0.113</v>
      </c>
      <c r="AP4" t="n">
        <v>0.368</v>
      </c>
      <c r="AQ4" t="n">
        <v>0.06</v>
      </c>
      <c r="AS4" t="n">
        <v>2</v>
      </c>
      <c r="AW4" t="n">
        <v>17.4</v>
      </c>
      <c r="AX4" t="n">
        <v>3</v>
      </c>
      <c r="AY4" t="n">
        <v>0.9</v>
      </c>
      <c r="AZ4" t="n">
        <v>1.8</v>
      </c>
      <c r="BA4" t="n">
        <v>10.9</v>
      </c>
      <c r="BB4" t="n">
        <v>0.8</v>
      </c>
      <c r="BC4" t="n">
        <v>0.9</v>
      </c>
      <c r="BD4" t="n">
        <v>0.61</v>
      </c>
      <c r="BF4" t="n">
        <v>58</v>
      </c>
      <c r="BG4" t="n">
        <v>58</v>
      </c>
      <c r="BH4" t="n">
        <v>1</v>
      </c>
      <c r="BI4" t="n">
        <v>0</v>
      </c>
      <c r="BJ4" t="n">
        <v>1</v>
      </c>
      <c r="BK4" t="n">
        <v>0</v>
      </c>
      <c r="BM4" t="n">
        <v>0</v>
      </c>
      <c r="BN4" t="n">
        <v>0</v>
      </c>
      <c r="BP4" t="n">
        <v>0</v>
      </c>
      <c r="BQ4" t="n">
        <v>0</v>
      </c>
      <c r="BR4" t="n">
        <v>0</v>
      </c>
      <c r="BT4" t="n">
        <v>0</v>
      </c>
      <c r="BU4" t="n">
        <v>0</v>
      </c>
      <c r="BV4" t="n">
        <v>0</v>
      </c>
      <c r="BW4" t="n">
        <v>0.02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42.4</v>
      </c>
      <c r="CG4" t="n">
        <v>1.06</v>
      </c>
      <c r="CH4" t="n">
        <v>1.06</v>
      </c>
      <c r="CI4" t="n">
        <v>0</v>
      </c>
      <c r="CM4" t="n">
        <v>0.5679999999999999</v>
      </c>
      <c r="CN4" t="n">
        <v>0.022</v>
      </c>
      <c r="CO4" t="n">
        <v>0</v>
      </c>
      <c r="CP4" t="n">
        <v>0.015</v>
      </c>
      <c r="CQ4" t="n">
        <v>0</v>
      </c>
      <c r="CR4" t="n">
        <v>0.011</v>
      </c>
      <c r="CS4" t="n">
        <v>0</v>
      </c>
      <c r="CT4" t="n">
        <v>0.023</v>
      </c>
      <c r="CU4" t="n">
        <v>0</v>
      </c>
      <c r="CV4" t="n">
        <v>0.026</v>
      </c>
      <c r="CX4" t="n">
        <v>0.093</v>
      </c>
      <c r="CY4" t="n">
        <v>0.01</v>
      </c>
      <c r="CZ4" t="n">
        <v>0.265</v>
      </c>
      <c r="DA4" t="n">
        <v>0.006</v>
      </c>
      <c r="DB4" t="n">
        <v>0.096</v>
      </c>
      <c r="DC4" t="n">
        <v>0.001</v>
      </c>
      <c r="DD4" t="n">
        <v>0</v>
      </c>
      <c r="DE4" t="n">
        <v>0</v>
      </c>
      <c r="DF4" t="n">
        <v>0</v>
      </c>
      <c r="DG4" t="n">
        <v>0</v>
      </c>
      <c r="DH4" t="n">
        <v>0.21</v>
      </c>
      <c r="DI4" t="n">
        <v>0</v>
      </c>
      <c r="DK4" t="n">
        <v>0.007</v>
      </c>
      <c r="DL4" t="n">
        <v>0</v>
      </c>
      <c r="DN4" t="n">
        <v>0.012</v>
      </c>
      <c r="DO4" t="n">
        <v>0.002</v>
      </c>
      <c r="DP4" t="n">
        <v>0.002</v>
      </c>
      <c r="DR4" t="n">
        <v>0.187</v>
      </c>
      <c r="DT4" t="n">
        <v>0.001</v>
      </c>
      <c r="DV4" t="n">
        <v>0</v>
      </c>
      <c r="DW4" t="n">
        <v>0</v>
      </c>
      <c r="DX4" t="n">
        <v>0</v>
      </c>
      <c r="DY4" t="n">
        <v>0</v>
      </c>
      <c r="DZ4" t="n">
        <v>0.032</v>
      </c>
      <c r="EB4" t="n">
        <v>0.029</v>
      </c>
      <c r="EC4" t="n">
        <v>0.026</v>
      </c>
      <c r="ED4" t="n">
        <v>0.004</v>
      </c>
      <c r="EF4" t="n">
        <v>0.004</v>
      </c>
      <c r="EG4" t="n">
        <v>0.004</v>
      </c>
      <c r="EH4" t="n">
        <v>0</v>
      </c>
      <c r="EI4" t="n">
        <v>0</v>
      </c>
      <c r="EJ4" t="n">
        <v>0</v>
      </c>
      <c r="EK4" t="n">
        <v>0</v>
      </c>
      <c r="EL4" t="n">
        <v>0.001</v>
      </c>
      <c r="EM4" t="n">
        <v>0</v>
      </c>
      <c r="EN4" t="n">
        <v>0.001</v>
      </c>
      <c r="EO4" t="n">
        <v>0</v>
      </c>
      <c r="EP4" t="n">
        <v>0</v>
      </c>
      <c r="EQ4" t="n">
        <v>0.001</v>
      </c>
      <c r="ER4" t="n">
        <v>0.001</v>
      </c>
      <c r="ES4" t="n">
        <v>0</v>
      </c>
      <c r="ET4" t="n">
        <v>0</v>
      </c>
      <c r="EU4" t="n">
        <v>0</v>
      </c>
      <c r="EV4" t="n">
        <v>0</v>
      </c>
      <c r="EW4" t="n">
        <v>0</v>
      </c>
      <c r="EX4" t="n">
        <v>0</v>
      </c>
      <c r="EY4" t="n">
        <v>0</v>
      </c>
      <c r="EZ4" t="n">
        <v>0</v>
      </c>
      <c r="FA4" t="n">
        <v>0.036</v>
      </c>
      <c r="FB4" t="n">
        <v>0.031</v>
      </c>
      <c r="FC4" t="n">
        <v>0.001</v>
      </c>
      <c r="FD4" t="n">
        <v>0.002</v>
      </c>
      <c r="FE4" t="n">
        <v>0.027</v>
      </c>
      <c r="FF4" t="n">
        <v>0</v>
      </c>
      <c r="FG4" t="n">
        <v>0</v>
      </c>
      <c r="FH4" t="n">
        <v>0.004</v>
      </c>
      <c r="FI4" t="n">
        <v>0.004</v>
      </c>
      <c r="FK4" t="n">
        <v>0</v>
      </c>
      <c r="FL4" t="n">
        <v>0</v>
      </c>
      <c r="FM4" t="n">
        <v>5</v>
      </c>
      <c r="FN4" t="n">
        <v>0.045</v>
      </c>
      <c r="FO4" t="n">
        <v>0.158</v>
      </c>
      <c r="FP4" t="n">
        <v>0.174</v>
      </c>
      <c r="FQ4" t="n">
        <v>0.342</v>
      </c>
      <c r="FR4" t="n">
        <v>0.308</v>
      </c>
      <c r="FS4" t="n">
        <v>0.092</v>
      </c>
      <c r="FU4" t="n">
        <v>0.168</v>
      </c>
      <c r="FV4" t="n">
        <v>0.167</v>
      </c>
      <c r="FW4" t="n">
        <v>0.21</v>
      </c>
      <c r="FX4" t="n">
        <v>0.128</v>
      </c>
      <c r="FY4" t="n">
        <v>0.099</v>
      </c>
      <c r="FZ4" t="n">
        <v>0.111</v>
      </c>
      <c r="GA4" t="n">
        <v>0.286</v>
      </c>
      <c r="GB4" t="n">
        <v>0.8090000000000001</v>
      </c>
      <c r="GC4" t="n">
        <v>0.06900000000000001</v>
      </c>
      <c r="GD4" t="n">
        <v>0.349</v>
      </c>
      <c r="GE4" t="n">
        <v>0.194</v>
      </c>
      <c r="GF4" t="n">
        <v>0</v>
      </c>
      <c r="GG4" t="n">
        <v>0.036</v>
      </c>
      <c r="GK4" t="n">
        <v>0</v>
      </c>
    </row>
    <row r="5">
      <c r="A5" t="n">
        <v>746776</v>
      </c>
      <c r="B5" t="inlineStr">
        <is>
          <t>Milk, nonfat, fluid, with added vitamin A and vitamin D (fat free or skim)</t>
        </is>
      </c>
      <c r="C5" t="inlineStr"/>
      <c r="D5" t="inlineStr">
        <is>
          <t>Foundation</t>
        </is>
      </c>
      <c r="E5" s="9" t="n">
        <v>100</v>
      </c>
      <c r="F5" s="10">
        <f>E5/SUM($E$3:$E$15)</f>
        <v/>
      </c>
      <c r="G5" t="n">
        <v>90.8</v>
      </c>
      <c r="J5" t="n">
        <v>34</v>
      </c>
      <c r="K5" t="n">
        <v>144</v>
      </c>
      <c r="L5" t="n">
        <v>0.54</v>
      </c>
      <c r="M5" t="n">
        <v>3.43</v>
      </c>
      <c r="N5" t="n">
        <v>0.07000000000000001</v>
      </c>
      <c r="O5" t="n">
        <v>0.08</v>
      </c>
      <c r="P5" t="n">
        <v>0.77</v>
      </c>
      <c r="Q5" t="n">
        <v>4.92</v>
      </c>
      <c r="S5" t="n">
        <v>5.05</v>
      </c>
      <c r="T5" t="n">
        <v>0</v>
      </c>
      <c r="U5" t="n">
        <v>0</v>
      </c>
      <c r="V5" t="n">
        <v>0</v>
      </c>
      <c r="W5" t="n">
        <v>5.05</v>
      </c>
      <c r="X5" t="n">
        <v>0</v>
      </c>
      <c r="Y5" t="n">
        <v>0</v>
      </c>
      <c r="Z5" t="n">
        <v>132</v>
      </c>
      <c r="AA5" t="n">
        <v>0</v>
      </c>
      <c r="AB5" t="n">
        <v>12.5</v>
      </c>
      <c r="AC5" t="n">
        <v>107</v>
      </c>
      <c r="AD5" t="n">
        <v>167</v>
      </c>
      <c r="AE5" t="n">
        <v>41</v>
      </c>
      <c r="AF5" t="n">
        <v>0.45</v>
      </c>
      <c r="AG5" t="n">
        <v>0.002</v>
      </c>
      <c r="AH5" t="n">
        <v>0.001</v>
      </c>
      <c r="AI5" t="n">
        <v>35.7</v>
      </c>
      <c r="AJ5" t="n">
        <v>2</v>
      </c>
      <c r="AM5" t="n">
        <v>0.056</v>
      </c>
      <c r="AN5" t="n">
        <v>0.131</v>
      </c>
      <c r="AO5" t="n">
        <v>0.118</v>
      </c>
      <c r="AP5" t="n">
        <v>0.388</v>
      </c>
      <c r="AQ5" t="n">
        <v>0.058</v>
      </c>
      <c r="AS5" t="n">
        <v>2</v>
      </c>
      <c r="AW5" t="n">
        <v>18.2</v>
      </c>
      <c r="AX5" t="n">
        <v>3.1</v>
      </c>
      <c r="AY5" t="n">
        <v>0.8</v>
      </c>
      <c r="AZ5" t="n">
        <v>2</v>
      </c>
      <c r="BA5" t="n">
        <v>11.5</v>
      </c>
      <c r="BB5" t="n">
        <v>0.9</v>
      </c>
      <c r="BC5" t="n">
        <v>0.9</v>
      </c>
      <c r="BD5" t="n">
        <v>0.58</v>
      </c>
      <c r="BF5" t="n">
        <v>64</v>
      </c>
      <c r="BG5" t="n">
        <v>64</v>
      </c>
      <c r="BH5" t="n">
        <v>2</v>
      </c>
      <c r="BI5" t="n">
        <v>1</v>
      </c>
      <c r="BJ5" t="n">
        <v>1</v>
      </c>
      <c r="BK5" t="n">
        <v>0</v>
      </c>
      <c r="BM5" t="n">
        <v>0</v>
      </c>
      <c r="BN5" t="n">
        <v>0</v>
      </c>
      <c r="BP5" t="n">
        <v>0</v>
      </c>
      <c r="BQ5" t="n">
        <v>0</v>
      </c>
      <c r="BR5" t="n">
        <v>0</v>
      </c>
      <c r="BT5" t="n">
        <v>0</v>
      </c>
      <c r="BU5" t="n">
        <v>1</v>
      </c>
      <c r="BV5" t="n">
        <v>0</v>
      </c>
      <c r="BW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44</v>
      </c>
      <c r="CG5" t="n">
        <v>1.1</v>
      </c>
      <c r="CH5" t="n">
        <v>1.1</v>
      </c>
      <c r="CI5" t="n">
        <v>0</v>
      </c>
      <c r="CM5" t="n">
        <v>0.049</v>
      </c>
      <c r="CN5" t="n">
        <v>0.003</v>
      </c>
      <c r="CO5" t="n">
        <v>0</v>
      </c>
      <c r="CP5" t="n">
        <v>0.001</v>
      </c>
      <c r="CQ5" t="n">
        <v>0</v>
      </c>
      <c r="CR5" t="n">
        <v>0.001</v>
      </c>
      <c r="CS5" t="n">
        <v>0</v>
      </c>
      <c r="CT5" t="n">
        <v>0.002</v>
      </c>
      <c r="CU5" t="n">
        <v>0</v>
      </c>
      <c r="CV5" t="n">
        <v>0.002</v>
      </c>
      <c r="CX5" t="n">
        <v>0.008</v>
      </c>
      <c r="CY5" t="n">
        <v>0.001</v>
      </c>
      <c r="CZ5" t="n">
        <v>0.021</v>
      </c>
      <c r="DA5" t="n">
        <v>0.001</v>
      </c>
      <c r="DB5" t="n">
        <v>0.008999999999999999</v>
      </c>
      <c r="DC5" t="n">
        <v>0</v>
      </c>
      <c r="DD5" t="n">
        <v>0</v>
      </c>
      <c r="DE5" t="n">
        <v>0</v>
      </c>
      <c r="DF5" t="n">
        <v>0</v>
      </c>
      <c r="DG5" t="n">
        <v>0</v>
      </c>
      <c r="DH5" t="n">
        <v>0.017</v>
      </c>
      <c r="DI5" t="n">
        <v>0</v>
      </c>
      <c r="DK5" t="n">
        <v>0</v>
      </c>
      <c r="DL5" t="n">
        <v>0</v>
      </c>
      <c r="DN5" t="n">
        <v>0.001</v>
      </c>
      <c r="DO5" t="n">
        <v>0</v>
      </c>
      <c r="DP5" t="n">
        <v>0</v>
      </c>
      <c r="DR5" t="n">
        <v>0.017</v>
      </c>
      <c r="DT5" t="n">
        <v>0</v>
      </c>
      <c r="DV5" t="n">
        <v>0</v>
      </c>
      <c r="DW5" t="n">
        <v>0</v>
      </c>
      <c r="DX5" t="n">
        <v>0</v>
      </c>
      <c r="DY5" t="n">
        <v>0</v>
      </c>
      <c r="DZ5" t="n">
        <v>0.006</v>
      </c>
      <c r="EB5" t="n">
        <v>0.005</v>
      </c>
      <c r="EC5" t="n">
        <v>0.005</v>
      </c>
      <c r="ED5" t="n">
        <v>0</v>
      </c>
      <c r="EF5" t="n">
        <v>0</v>
      </c>
      <c r="EG5" t="n">
        <v>0</v>
      </c>
      <c r="EH5" t="n">
        <v>0</v>
      </c>
      <c r="EI5" t="n">
        <v>0</v>
      </c>
      <c r="EJ5" t="n">
        <v>0</v>
      </c>
      <c r="EK5" t="n">
        <v>0</v>
      </c>
      <c r="EL5" t="n">
        <v>0</v>
      </c>
      <c r="EM5" t="n">
        <v>0</v>
      </c>
      <c r="EN5" t="n">
        <v>0</v>
      </c>
      <c r="EO5" t="n">
        <v>0</v>
      </c>
      <c r="EP5" t="n">
        <v>0</v>
      </c>
      <c r="EQ5" t="n">
        <v>0</v>
      </c>
      <c r="ER5" t="n">
        <v>0</v>
      </c>
      <c r="ES5" t="n">
        <v>0</v>
      </c>
      <c r="ET5" t="n">
        <v>0</v>
      </c>
      <c r="EU5" t="n">
        <v>0</v>
      </c>
      <c r="EV5" t="n">
        <v>0</v>
      </c>
      <c r="EW5" t="n">
        <v>0</v>
      </c>
      <c r="EX5" t="n">
        <v>0</v>
      </c>
      <c r="EY5" t="n">
        <v>0</v>
      </c>
      <c r="EZ5" t="n">
        <v>0</v>
      </c>
      <c r="FA5" t="n">
        <v>0</v>
      </c>
      <c r="FB5" t="n">
        <v>0.001</v>
      </c>
      <c r="FC5" t="n">
        <v>0</v>
      </c>
      <c r="FD5" t="n">
        <v>0</v>
      </c>
      <c r="FE5" t="n">
        <v>0.001</v>
      </c>
      <c r="FF5" t="n">
        <v>0</v>
      </c>
      <c r="FG5" t="n">
        <v>0</v>
      </c>
      <c r="FH5" t="n">
        <v>0</v>
      </c>
      <c r="FI5" t="n">
        <v>0</v>
      </c>
      <c r="FK5" t="n">
        <v>0</v>
      </c>
      <c r="FL5" t="n">
        <v>0</v>
      </c>
      <c r="FM5" t="n">
        <v>3</v>
      </c>
      <c r="FN5" t="n">
        <v>0.048</v>
      </c>
      <c r="FO5" t="n">
        <v>0.166</v>
      </c>
      <c r="FP5" t="n">
        <v>0.182</v>
      </c>
      <c r="FQ5" t="n">
        <v>0.347</v>
      </c>
      <c r="FR5" t="n">
        <v>0.302</v>
      </c>
      <c r="FS5" t="n">
        <v>0.093</v>
      </c>
      <c r="FU5" t="n">
        <v>0.168</v>
      </c>
      <c r="FV5" t="n">
        <v>0.168</v>
      </c>
      <c r="FW5" t="n">
        <v>0.222</v>
      </c>
      <c r="FX5" t="n">
        <v>0.131</v>
      </c>
      <c r="FY5" t="n">
        <v>0.101</v>
      </c>
      <c r="FZ5" t="n">
        <v>0.118</v>
      </c>
      <c r="GA5" t="n">
        <v>0.299</v>
      </c>
      <c r="GB5" t="n">
        <v>0.832</v>
      </c>
      <c r="GC5" t="n">
        <v>0.07099999999999999</v>
      </c>
      <c r="GD5" t="n">
        <v>0.348</v>
      </c>
      <c r="GE5" t="n">
        <v>0.202</v>
      </c>
      <c r="GF5" t="n">
        <v>0</v>
      </c>
      <c r="GG5" t="n">
        <v>0.038</v>
      </c>
      <c r="GK5" t="n">
        <v>0</v>
      </c>
    </row>
    <row r="6">
      <c r="A6" t="n">
        <v>746778</v>
      </c>
      <c r="B6" t="inlineStr">
        <is>
          <t>Milk, reduced fat, fluid, 2% milkfat, with added vitamin A and vitamin D</t>
        </is>
      </c>
      <c r="C6" t="inlineStr"/>
      <c r="D6" t="inlineStr">
        <is>
          <t>Foundation</t>
        </is>
      </c>
      <c r="E6" s="9" t="n">
        <v>100</v>
      </c>
      <c r="F6" s="10">
        <f>E6/SUM($E$3:$E$15)</f>
        <v/>
      </c>
      <c r="G6" t="n">
        <v>89.09999999999999</v>
      </c>
      <c r="J6" t="n">
        <v>50</v>
      </c>
      <c r="K6" t="n">
        <v>209</v>
      </c>
      <c r="L6" t="n">
        <v>0.53</v>
      </c>
      <c r="M6" t="n">
        <v>3.36</v>
      </c>
      <c r="N6" t="n">
        <v>1.64</v>
      </c>
      <c r="O6" t="n">
        <v>1.9</v>
      </c>
      <c r="P6" t="n">
        <v>0.75</v>
      </c>
      <c r="Q6" t="n">
        <v>4.9</v>
      </c>
      <c r="S6" t="n">
        <v>4.89</v>
      </c>
      <c r="T6" t="n">
        <v>0</v>
      </c>
      <c r="U6" t="n">
        <v>0</v>
      </c>
      <c r="V6" t="n">
        <v>0</v>
      </c>
      <c r="W6" t="n">
        <v>4.89</v>
      </c>
      <c r="X6" t="n">
        <v>0</v>
      </c>
      <c r="Y6" t="n">
        <v>0</v>
      </c>
      <c r="Z6" t="n">
        <v>126</v>
      </c>
      <c r="AA6" t="n">
        <v>0</v>
      </c>
      <c r="AB6" t="n">
        <v>12</v>
      </c>
      <c r="AC6" t="n">
        <v>103</v>
      </c>
      <c r="AD6" t="n">
        <v>159</v>
      </c>
      <c r="AE6" t="n">
        <v>39</v>
      </c>
      <c r="AF6" t="n">
        <v>0.43</v>
      </c>
      <c r="AG6" t="n">
        <v>0.001</v>
      </c>
      <c r="AH6" t="n">
        <v>0.001</v>
      </c>
      <c r="AI6" t="n">
        <v>39.6</v>
      </c>
      <c r="AJ6" t="n">
        <v>1.8</v>
      </c>
      <c r="AM6" t="n">
        <v>0.059</v>
      </c>
      <c r="AN6" t="n">
        <v>0.137</v>
      </c>
      <c r="AO6" t="n">
        <v>0.112</v>
      </c>
      <c r="AP6" t="n">
        <v>0.39</v>
      </c>
      <c r="AQ6" t="n">
        <v>0.061</v>
      </c>
      <c r="AS6" t="n">
        <v>2</v>
      </c>
      <c r="AW6" t="n">
        <v>18.2</v>
      </c>
      <c r="AX6" t="n">
        <v>3.1</v>
      </c>
      <c r="AY6" t="n">
        <v>1.1</v>
      </c>
      <c r="AZ6" t="n">
        <v>1.9</v>
      </c>
      <c r="BA6" t="n">
        <v>11</v>
      </c>
      <c r="BB6" t="n">
        <v>1.2</v>
      </c>
      <c r="BC6" t="n">
        <v>0.7</v>
      </c>
      <c r="BD6" t="n">
        <v>0.55</v>
      </c>
      <c r="BF6" t="n">
        <v>83</v>
      </c>
      <c r="BG6" t="n">
        <v>83</v>
      </c>
      <c r="BH6" t="n">
        <v>3</v>
      </c>
      <c r="BI6" t="n">
        <v>1</v>
      </c>
      <c r="BJ6" t="n">
        <v>2</v>
      </c>
      <c r="BK6" t="n">
        <v>0</v>
      </c>
      <c r="BM6" t="n">
        <v>0</v>
      </c>
      <c r="BN6" t="n">
        <v>0</v>
      </c>
      <c r="BP6" t="n">
        <v>0</v>
      </c>
      <c r="BQ6" t="n">
        <v>0</v>
      </c>
      <c r="BR6" t="n">
        <v>0</v>
      </c>
      <c r="BT6" t="n">
        <v>0</v>
      </c>
      <c r="BU6" t="n">
        <v>0</v>
      </c>
      <c r="BV6" t="n">
        <v>0</v>
      </c>
      <c r="BW6" t="n">
        <v>0.03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  <c r="CE6" t="n">
        <v>0</v>
      </c>
      <c r="CF6" t="n">
        <v>45.2</v>
      </c>
      <c r="CG6" t="n">
        <v>1.13</v>
      </c>
      <c r="CH6" t="n">
        <v>1.13</v>
      </c>
      <c r="CI6" t="n">
        <v>0</v>
      </c>
      <c r="CM6" t="n">
        <v>1.11</v>
      </c>
      <c r="CN6" t="n">
        <v>0.041</v>
      </c>
      <c r="CO6" t="n">
        <v>0</v>
      </c>
      <c r="CP6" t="n">
        <v>0.032</v>
      </c>
      <c r="CQ6" t="n">
        <v>0</v>
      </c>
      <c r="CR6" t="n">
        <v>0.021</v>
      </c>
      <c r="CS6" t="n">
        <v>0</v>
      </c>
      <c r="CT6" t="n">
        <v>0.049</v>
      </c>
      <c r="CU6" t="n">
        <v>0</v>
      </c>
      <c r="CV6" t="n">
        <v>0.058</v>
      </c>
      <c r="CX6" t="n">
        <v>0.181</v>
      </c>
      <c r="CY6" t="n">
        <v>0.019</v>
      </c>
      <c r="CZ6" t="n">
        <v>0.512</v>
      </c>
      <c r="DA6" t="n">
        <v>0.011</v>
      </c>
      <c r="DB6" t="n">
        <v>0.184</v>
      </c>
      <c r="DC6" t="n">
        <v>0.002</v>
      </c>
      <c r="DD6" t="n">
        <v>0</v>
      </c>
      <c r="DE6" t="n">
        <v>0.001</v>
      </c>
      <c r="DF6" t="n">
        <v>0</v>
      </c>
      <c r="DG6" t="n">
        <v>0</v>
      </c>
      <c r="DH6" t="n">
        <v>0.4</v>
      </c>
      <c r="DI6" t="n">
        <v>0.001</v>
      </c>
      <c r="DK6" t="n">
        <v>0.014</v>
      </c>
      <c r="DL6" t="n">
        <v>0</v>
      </c>
      <c r="DN6" t="n">
        <v>0.024</v>
      </c>
      <c r="DO6" t="n">
        <v>0.003</v>
      </c>
      <c r="DP6" t="n">
        <v>0.003</v>
      </c>
      <c r="DR6" t="n">
        <v>0.358</v>
      </c>
      <c r="DT6" t="n">
        <v>0.002</v>
      </c>
      <c r="DV6" t="n">
        <v>0</v>
      </c>
      <c r="DW6" t="n">
        <v>0</v>
      </c>
      <c r="DX6" t="n">
        <v>0</v>
      </c>
      <c r="DY6" t="n">
        <v>0</v>
      </c>
      <c r="DZ6" t="n">
        <v>0.058</v>
      </c>
      <c r="EB6" t="n">
        <v>0.052</v>
      </c>
      <c r="EC6" t="n">
        <v>0.045</v>
      </c>
      <c r="ED6" t="n">
        <v>0.007</v>
      </c>
      <c r="EF6" t="n">
        <v>0.007</v>
      </c>
      <c r="EG6" t="n">
        <v>0.007</v>
      </c>
      <c r="EH6" t="n">
        <v>0</v>
      </c>
      <c r="EI6" t="n">
        <v>0</v>
      </c>
      <c r="EJ6" t="n">
        <v>0</v>
      </c>
      <c r="EK6" t="n">
        <v>0</v>
      </c>
      <c r="EL6" t="n">
        <v>0.002</v>
      </c>
      <c r="EM6" t="n">
        <v>0</v>
      </c>
      <c r="EN6" t="n">
        <v>0.002</v>
      </c>
      <c r="EO6" t="n">
        <v>0</v>
      </c>
      <c r="EP6" t="n">
        <v>0</v>
      </c>
      <c r="EQ6" t="n">
        <v>0.003</v>
      </c>
      <c r="ER6" t="n">
        <v>0.003</v>
      </c>
      <c r="ES6" t="n">
        <v>0</v>
      </c>
      <c r="ET6" t="n">
        <v>0</v>
      </c>
      <c r="EU6" t="n">
        <v>0</v>
      </c>
      <c r="EV6" t="n">
        <v>0.001</v>
      </c>
      <c r="EW6" t="n">
        <v>0</v>
      </c>
      <c r="EX6" t="n">
        <v>0.001</v>
      </c>
      <c r="EY6" t="n">
        <v>0</v>
      </c>
      <c r="EZ6" t="n">
        <v>0</v>
      </c>
      <c r="FA6" t="n">
        <v>0.07000000000000001</v>
      </c>
      <c r="FB6" t="n">
        <v>0.06</v>
      </c>
      <c r="FC6" t="n">
        <v>0.003</v>
      </c>
      <c r="FD6" t="n">
        <v>0.005</v>
      </c>
      <c r="FE6" t="n">
        <v>0.052</v>
      </c>
      <c r="FF6" t="n">
        <v>0</v>
      </c>
      <c r="FG6" t="n">
        <v>0</v>
      </c>
      <c r="FH6" t="n">
        <v>0.008999999999999999</v>
      </c>
      <c r="FI6" t="n">
        <v>0.008999999999999999</v>
      </c>
      <c r="FK6" t="n">
        <v>0</v>
      </c>
      <c r="FL6" t="n">
        <v>0</v>
      </c>
      <c r="FM6" t="n">
        <v>8</v>
      </c>
      <c r="FN6" t="n">
        <v>0.042</v>
      </c>
      <c r="FO6" t="n">
        <v>0.162</v>
      </c>
      <c r="FP6" t="n">
        <v>0.173</v>
      </c>
      <c r="FQ6" t="n">
        <v>0.335</v>
      </c>
      <c r="FR6" t="n">
        <v>0.293</v>
      </c>
      <c r="FS6" t="n">
        <v>0.089</v>
      </c>
      <c r="FU6" t="n">
        <v>0.163</v>
      </c>
      <c r="FV6" t="n">
        <v>0.165</v>
      </c>
      <c r="FW6" t="n">
        <v>0.213</v>
      </c>
      <c r="FX6" t="n">
        <v>0.125</v>
      </c>
      <c r="FY6" t="n">
        <v>0.099</v>
      </c>
      <c r="FZ6" t="n">
        <v>0.113</v>
      </c>
      <c r="GA6" t="n">
        <v>0.291</v>
      </c>
      <c r="GB6" t="n">
        <v>0.801</v>
      </c>
      <c r="GC6" t="n">
        <v>0.068</v>
      </c>
      <c r="GD6" t="n">
        <v>0.332</v>
      </c>
      <c r="GE6" t="n">
        <v>0.197</v>
      </c>
      <c r="GF6" t="n">
        <v>0</v>
      </c>
      <c r="GG6" t="n">
        <v>0.035</v>
      </c>
      <c r="GK6" t="n">
        <v>0</v>
      </c>
    </row>
    <row r="7">
      <c r="A7" t="n">
        <v>746782</v>
      </c>
      <c r="B7" t="inlineStr">
        <is>
          <t>Milk, whole, 3.25% milkfat, with added vitamin D</t>
        </is>
      </c>
      <c r="C7" t="inlineStr"/>
      <c r="D7" t="inlineStr">
        <is>
          <t>Foundation</t>
        </is>
      </c>
      <c r="E7" s="9" t="n">
        <v>100</v>
      </c>
      <c r="F7" s="10">
        <f>E7/SUM($E$3:$E$15)</f>
        <v/>
      </c>
      <c r="G7" t="n">
        <v>88.09999999999999</v>
      </c>
      <c r="J7" t="n">
        <v>60</v>
      </c>
      <c r="K7" t="n">
        <v>251</v>
      </c>
      <c r="L7" t="n">
        <v>0.51</v>
      </c>
      <c r="M7" t="n">
        <v>3.27</v>
      </c>
      <c r="N7" t="n">
        <v>2.77</v>
      </c>
      <c r="O7" t="n">
        <v>3.2</v>
      </c>
      <c r="P7" t="n">
        <v>0.8</v>
      </c>
      <c r="Q7" t="n">
        <v>4.63</v>
      </c>
      <c r="S7" t="n">
        <v>4.81</v>
      </c>
      <c r="T7" t="n">
        <v>0</v>
      </c>
      <c r="U7" t="n">
        <v>0</v>
      </c>
      <c r="V7" t="n">
        <v>0</v>
      </c>
      <c r="W7" t="n">
        <v>4.81</v>
      </c>
      <c r="X7" t="n">
        <v>0</v>
      </c>
      <c r="Y7" t="n">
        <v>0</v>
      </c>
      <c r="Z7" t="n">
        <v>123</v>
      </c>
      <c r="AA7" t="n">
        <v>0</v>
      </c>
      <c r="AB7" t="n">
        <v>11.9</v>
      </c>
      <c r="AC7" t="n">
        <v>101</v>
      </c>
      <c r="AD7" t="n">
        <v>150</v>
      </c>
      <c r="AE7" t="n">
        <v>38</v>
      </c>
      <c r="AF7" t="n">
        <v>0.42</v>
      </c>
      <c r="AG7" t="n">
        <v>0.001</v>
      </c>
      <c r="AH7" t="n">
        <v>0</v>
      </c>
      <c r="AI7" t="n">
        <v>37.9</v>
      </c>
      <c r="AJ7" t="n">
        <v>1.9</v>
      </c>
      <c r="AM7" t="n">
        <v>0.056</v>
      </c>
      <c r="AN7" t="n">
        <v>0.138</v>
      </c>
      <c r="AO7" t="n">
        <v>0.105</v>
      </c>
      <c r="AP7" t="n">
        <v>0.362</v>
      </c>
      <c r="AQ7" t="n">
        <v>0.061</v>
      </c>
      <c r="AS7" t="n">
        <v>0</v>
      </c>
      <c r="AW7" t="n">
        <v>17.8</v>
      </c>
      <c r="AX7" t="n">
        <v>3</v>
      </c>
      <c r="AY7" t="n">
        <v>1.3</v>
      </c>
      <c r="AZ7" t="n">
        <v>1.8</v>
      </c>
      <c r="BA7" t="n">
        <v>10.3</v>
      </c>
      <c r="BB7" t="n">
        <v>1.4</v>
      </c>
      <c r="BC7" t="n">
        <v>0.7</v>
      </c>
      <c r="BD7" t="n">
        <v>0.54</v>
      </c>
      <c r="BF7" t="n">
        <v>32</v>
      </c>
      <c r="BG7" t="n">
        <v>31</v>
      </c>
      <c r="BH7" t="n">
        <v>7</v>
      </c>
      <c r="BI7" t="n">
        <v>2</v>
      </c>
      <c r="BJ7" t="n">
        <v>5</v>
      </c>
      <c r="BK7" t="n">
        <v>0</v>
      </c>
      <c r="BM7" t="n">
        <v>0</v>
      </c>
      <c r="BN7" t="n">
        <v>0</v>
      </c>
      <c r="BP7" t="n">
        <v>0</v>
      </c>
      <c r="BQ7" t="n">
        <v>0</v>
      </c>
      <c r="BR7" t="n">
        <v>0</v>
      </c>
      <c r="BT7" t="n">
        <v>0</v>
      </c>
      <c r="BU7" t="n">
        <v>5</v>
      </c>
      <c r="BV7" t="n">
        <v>1</v>
      </c>
      <c r="BW7" t="n">
        <v>0.05</v>
      </c>
      <c r="BY7" t="n">
        <v>0</v>
      </c>
      <c r="BZ7" t="n">
        <v>0</v>
      </c>
      <c r="CA7" t="n">
        <v>0</v>
      </c>
      <c r="CB7" t="n">
        <v>0</v>
      </c>
      <c r="CC7" t="n">
        <v>0</v>
      </c>
      <c r="CD7" t="n">
        <v>0</v>
      </c>
      <c r="CE7" t="n">
        <v>0</v>
      </c>
      <c r="CF7" t="n">
        <v>38.4</v>
      </c>
      <c r="CG7" t="n">
        <v>0.96</v>
      </c>
      <c r="CH7" t="n">
        <v>0.96</v>
      </c>
      <c r="CI7" t="n">
        <v>0</v>
      </c>
      <c r="CM7" t="n">
        <v>1.86</v>
      </c>
      <c r="CN7" t="n">
        <v>0.067</v>
      </c>
      <c r="CO7" t="n">
        <v>0</v>
      </c>
      <c r="CP7" t="n">
        <v>0.054</v>
      </c>
      <c r="CQ7" t="n">
        <v>0</v>
      </c>
      <c r="CR7" t="n">
        <v>0.034</v>
      </c>
      <c r="CS7" t="n">
        <v>0</v>
      </c>
      <c r="CT7" t="n">
        <v>0.08400000000000001</v>
      </c>
      <c r="CU7" t="n">
        <v>0</v>
      </c>
      <c r="CV7" t="n">
        <v>0.097</v>
      </c>
      <c r="CX7" t="n">
        <v>0.303</v>
      </c>
      <c r="CY7" t="n">
        <v>0.032</v>
      </c>
      <c r="CZ7" t="n">
        <v>0.857</v>
      </c>
      <c r="DA7" t="n">
        <v>0.018</v>
      </c>
      <c r="DB7" t="n">
        <v>0.309</v>
      </c>
      <c r="DC7" t="n">
        <v>0.004</v>
      </c>
      <c r="DD7" t="n">
        <v>0</v>
      </c>
      <c r="DE7" t="n">
        <v>0.002</v>
      </c>
      <c r="DF7" t="n">
        <v>0</v>
      </c>
      <c r="DG7" t="n">
        <v>0.001</v>
      </c>
      <c r="DH7" t="n">
        <v>0.6879999999999999</v>
      </c>
      <c r="DI7" t="n">
        <v>0.001</v>
      </c>
      <c r="DK7" t="n">
        <v>0.024</v>
      </c>
      <c r="DL7" t="n">
        <v>0</v>
      </c>
      <c r="DN7" t="n">
        <v>0.039</v>
      </c>
      <c r="DO7" t="n">
        <v>0.005</v>
      </c>
      <c r="DP7" t="n">
        <v>0.005</v>
      </c>
      <c r="DR7" t="n">
        <v>0.612</v>
      </c>
      <c r="DT7" t="n">
        <v>0.004</v>
      </c>
      <c r="DV7" t="n">
        <v>0</v>
      </c>
      <c r="DW7" t="n">
        <v>0</v>
      </c>
      <c r="DX7" t="n">
        <v>0</v>
      </c>
      <c r="DY7" t="n">
        <v>0</v>
      </c>
      <c r="DZ7" t="n">
        <v>0.108</v>
      </c>
      <c r="EB7" t="n">
        <v>0.097</v>
      </c>
      <c r="EC7" t="n">
        <v>0.08400000000000001</v>
      </c>
      <c r="ED7" t="n">
        <v>0.013</v>
      </c>
      <c r="EF7" t="n">
        <v>0.013</v>
      </c>
      <c r="EG7" t="n">
        <v>0.012</v>
      </c>
      <c r="EH7" t="n">
        <v>0.001</v>
      </c>
      <c r="EI7" t="n">
        <v>0</v>
      </c>
      <c r="EJ7" t="n">
        <v>0.001</v>
      </c>
      <c r="EK7" t="n">
        <v>0.001</v>
      </c>
      <c r="EL7" t="n">
        <v>0.004</v>
      </c>
      <c r="EM7" t="n">
        <v>0</v>
      </c>
      <c r="EN7" t="n">
        <v>0.004</v>
      </c>
      <c r="EO7" t="n">
        <v>0</v>
      </c>
      <c r="EP7" t="n">
        <v>0</v>
      </c>
      <c r="EQ7" t="n">
        <v>0.004</v>
      </c>
      <c r="ER7" t="n">
        <v>0.004</v>
      </c>
      <c r="ES7" t="n">
        <v>0.001</v>
      </c>
      <c r="ET7" t="n">
        <v>0.001</v>
      </c>
      <c r="EU7" t="n">
        <v>0</v>
      </c>
      <c r="EV7" t="n">
        <v>0.002</v>
      </c>
      <c r="EW7" t="n">
        <v>0.001</v>
      </c>
      <c r="EX7" t="n">
        <v>0.002</v>
      </c>
      <c r="EY7" t="n">
        <v>0</v>
      </c>
      <c r="EZ7" t="n">
        <v>0</v>
      </c>
      <c r="FA7" t="n">
        <v>0.112</v>
      </c>
      <c r="FB7" t="n">
        <v>0.095</v>
      </c>
      <c r="FC7" t="n">
        <v>0.005</v>
      </c>
      <c r="FD7" t="n">
        <v>0.008</v>
      </c>
      <c r="FE7" t="n">
        <v>0.082</v>
      </c>
      <c r="FF7" t="n">
        <v>0</v>
      </c>
      <c r="FG7" t="n">
        <v>0</v>
      </c>
      <c r="FH7" t="n">
        <v>0.018</v>
      </c>
      <c r="FI7" t="n">
        <v>0.018</v>
      </c>
      <c r="FK7" t="n">
        <v>0</v>
      </c>
      <c r="FL7" t="n">
        <v>0</v>
      </c>
      <c r="FM7" t="n">
        <v>12</v>
      </c>
      <c r="FN7" t="n">
        <v>0.043</v>
      </c>
      <c r="FO7" t="n">
        <v>0.154</v>
      </c>
      <c r="FP7" t="n">
        <v>0.173</v>
      </c>
      <c r="FQ7" t="n">
        <v>0.333</v>
      </c>
      <c r="FR7" t="n">
        <v>0.298</v>
      </c>
      <c r="FS7" t="n">
        <v>0.09</v>
      </c>
      <c r="FU7" t="n">
        <v>0.161</v>
      </c>
      <c r="FV7" t="n">
        <v>0.162</v>
      </c>
      <c r="FW7" t="n">
        <v>0.207</v>
      </c>
      <c r="FX7" t="n">
        <v>0.127</v>
      </c>
      <c r="FY7" t="n">
        <v>0.097</v>
      </c>
      <c r="FZ7" t="n">
        <v>0.11</v>
      </c>
      <c r="GA7" t="n">
        <v>0.279</v>
      </c>
      <c r="GB7" t="n">
        <v>0.788</v>
      </c>
      <c r="GC7" t="n">
        <v>0.06900000000000001</v>
      </c>
      <c r="GD7" t="n">
        <v>0.333</v>
      </c>
      <c r="GE7" t="n">
        <v>0.188</v>
      </c>
      <c r="GF7" t="n">
        <v>0</v>
      </c>
      <c r="GG7" t="n">
        <v>0.038</v>
      </c>
      <c r="GK7" t="n">
        <v>0</v>
      </c>
    </row>
    <row r="8">
      <c r="A8" t="n">
        <v>2257046</v>
      </c>
      <c r="B8" t="inlineStr">
        <is>
          <t>Oat milk, unsweetened, plain, refrigerated</t>
        </is>
      </c>
      <c r="C8" t="inlineStr"/>
      <c r="D8" t="inlineStr">
        <is>
          <t>Foundation</t>
        </is>
      </c>
      <c r="E8" s="9" t="n">
        <v>100</v>
      </c>
      <c r="F8" s="10">
        <f>E8/SUM($E$3:$E$15)</f>
        <v/>
      </c>
      <c r="G8" t="n">
        <v>90.56</v>
      </c>
      <c r="H8" t="n">
        <v>48.3298</v>
      </c>
      <c r="J8" t="n">
        <v>48.3298</v>
      </c>
      <c r="K8" t="n">
        <v>202.2118832</v>
      </c>
      <c r="L8" t="n">
        <v>0.1275</v>
      </c>
      <c r="M8" t="n">
        <v>0.796875</v>
      </c>
      <c r="N8" t="n">
        <v>2.749</v>
      </c>
      <c r="O8" t="n">
        <v>2.749</v>
      </c>
      <c r="P8" t="n">
        <v>0.7938</v>
      </c>
      <c r="Q8" t="n">
        <v>5.100325</v>
      </c>
      <c r="R8" t="n">
        <v>0</v>
      </c>
      <c r="S8" t="n">
        <v>2.3216</v>
      </c>
      <c r="T8" t="n">
        <v>0</v>
      </c>
      <c r="U8" t="n">
        <v>0.7706</v>
      </c>
      <c r="V8" t="n">
        <v>0</v>
      </c>
      <c r="W8" t="n">
        <v>0</v>
      </c>
      <c r="X8" t="n">
        <v>1.551</v>
      </c>
      <c r="Y8" t="n">
        <v>0</v>
      </c>
      <c r="Z8" t="n">
        <v>148.5</v>
      </c>
      <c r="AA8" t="n">
        <v>0.2612</v>
      </c>
      <c r="AB8" t="n">
        <v>5.909</v>
      </c>
      <c r="AC8" t="n">
        <v>89.18000000000001</v>
      </c>
      <c r="AD8" t="n">
        <v>148.4</v>
      </c>
      <c r="AE8" t="n">
        <v>41.98</v>
      </c>
      <c r="AF8" t="n">
        <v>0.09062000000000001</v>
      </c>
      <c r="AG8" t="n">
        <v>0.02712</v>
      </c>
      <c r="AH8" t="n">
        <v>0.1262</v>
      </c>
      <c r="AJ8" t="n">
        <v>0</v>
      </c>
      <c r="AK8" t="n">
        <v>10.09</v>
      </c>
      <c r="AM8" t="n">
        <v>0.04</v>
      </c>
      <c r="AN8" t="n">
        <v>0.2807</v>
      </c>
      <c r="AO8" t="n">
        <v>0.09625</v>
      </c>
      <c r="AQ8" t="n">
        <v>0.0065</v>
      </c>
      <c r="AR8" t="n">
        <v>1.406</v>
      </c>
      <c r="AS8" t="n">
        <v>0</v>
      </c>
      <c r="BD8" t="n">
        <v>0.5064</v>
      </c>
      <c r="BG8" t="n">
        <v>84.73</v>
      </c>
      <c r="CF8" t="n">
        <v>68</v>
      </c>
      <c r="CG8" t="n">
        <v>1.7</v>
      </c>
      <c r="CH8" t="n">
        <v>0.007692</v>
      </c>
      <c r="CJ8" t="n">
        <v>0.4</v>
      </c>
      <c r="CK8" t="n">
        <v>0</v>
      </c>
      <c r="CL8" t="n">
        <v>0</v>
      </c>
      <c r="FN8" t="n">
        <v>0.008750000000000001</v>
      </c>
      <c r="FO8" t="n">
        <v>0.0225</v>
      </c>
      <c r="FP8" t="n">
        <v>0.025</v>
      </c>
      <c r="FQ8" t="n">
        <v>0.08125</v>
      </c>
      <c r="FR8" t="n">
        <v>0.06125</v>
      </c>
      <c r="FS8" t="n">
        <v>0.01</v>
      </c>
      <c r="FU8" t="n">
        <v>0.0725</v>
      </c>
      <c r="FV8" t="n">
        <v>0.04125</v>
      </c>
      <c r="FW8" t="n">
        <v>0.0325</v>
      </c>
      <c r="FX8" t="n">
        <v>0.0825</v>
      </c>
      <c r="FY8" t="n">
        <v>0.0175</v>
      </c>
      <c r="FZ8" t="n">
        <v>0.0375</v>
      </c>
      <c r="GA8" t="n">
        <v>0.0825</v>
      </c>
      <c r="GB8" t="n">
        <v>0.15</v>
      </c>
      <c r="GC8" t="n">
        <v>0.05625</v>
      </c>
      <c r="GD8" t="n">
        <v>0.0725</v>
      </c>
      <c r="GE8" t="n">
        <v>0.05625</v>
      </c>
      <c r="GF8" t="n">
        <v>0</v>
      </c>
      <c r="GG8" t="n">
        <v>0.025</v>
      </c>
      <c r="GK8" t="n">
        <v>1.694</v>
      </c>
    </row>
    <row r="9">
      <c r="A9" t="n">
        <v>2257044</v>
      </c>
      <c r="B9" t="inlineStr">
        <is>
          <t>Soy milk, sweetened, plain, refrigerated</t>
        </is>
      </c>
      <c r="C9" t="inlineStr"/>
      <c r="D9" t="inlineStr">
        <is>
          <t>Foundation</t>
        </is>
      </c>
      <c r="E9" s="9" t="n">
        <v>100</v>
      </c>
      <c r="F9" s="10">
        <f>E9/SUM($E$3:$E$15)</f>
        <v/>
      </c>
      <c r="G9" t="n">
        <v>91.52</v>
      </c>
      <c r="H9" t="n">
        <v>40.705</v>
      </c>
      <c r="J9" t="n">
        <v>40.705</v>
      </c>
      <c r="K9" t="n">
        <v>170.30972</v>
      </c>
      <c r="L9" t="n">
        <v>0.4443</v>
      </c>
      <c r="M9" t="n">
        <v>2.776875</v>
      </c>
      <c r="N9" t="n">
        <v>1.957</v>
      </c>
      <c r="O9" t="n">
        <v>1.957</v>
      </c>
      <c r="P9" t="n">
        <v>0.75</v>
      </c>
      <c r="Q9" t="n">
        <v>2.996125</v>
      </c>
      <c r="R9" t="n">
        <v>0</v>
      </c>
      <c r="T9" t="n">
        <v>2.577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154.8</v>
      </c>
      <c r="AA9" t="n">
        <v>0.3666</v>
      </c>
      <c r="AB9" t="n">
        <v>17.46</v>
      </c>
      <c r="AC9" t="n">
        <v>45.96</v>
      </c>
      <c r="AD9" t="n">
        <v>117.9</v>
      </c>
      <c r="AE9" t="n">
        <v>39.44</v>
      </c>
      <c r="AF9" t="n">
        <v>0.2636</v>
      </c>
      <c r="AG9" t="n">
        <v>0.09561</v>
      </c>
      <c r="AH9" t="n">
        <v>0.1596</v>
      </c>
      <c r="AJ9" t="n">
        <v>0</v>
      </c>
      <c r="AK9" t="n">
        <v>32.29</v>
      </c>
      <c r="AM9" t="n">
        <v>0.04357</v>
      </c>
      <c r="AN9" t="n">
        <v>0.3307</v>
      </c>
      <c r="AO9" t="n">
        <v>0.1329</v>
      </c>
      <c r="AQ9" t="n">
        <v>0.03643</v>
      </c>
      <c r="AR9" t="n">
        <v>2.157</v>
      </c>
      <c r="AS9" t="n">
        <v>15.81</v>
      </c>
      <c r="BD9" t="n">
        <v>1.327</v>
      </c>
      <c r="BG9" t="n">
        <v>89.43000000000001</v>
      </c>
      <c r="CF9" t="n">
        <v>185</v>
      </c>
      <c r="CG9" t="n">
        <v>4.63</v>
      </c>
      <c r="CH9" t="n">
        <v>0.02014</v>
      </c>
      <c r="CJ9" t="n">
        <v>2.8</v>
      </c>
      <c r="CK9" t="n">
        <v>0</v>
      </c>
      <c r="CL9" t="n">
        <v>0</v>
      </c>
      <c r="FN9" t="n">
        <v>0.03429</v>
      </c>
      <c r="FO9" t="n">
        <v>0.1</v>
      </c>
      <c r="FP9" t="n">
        <v>0.1</v>
      </c>
      <c r="FQ9" t="n">
        <v>0.2</v>
      </c>
      <c r="FR9" t="n">
        <v>0.2</v>
      </c>
      <c r="FS9" t="n">
        <v>0.03286</v>
      </c>
      <c r="FU9" t="n">
        <v>0.1571</v>
      </c>
      <c r="FV9" t="n">
        <v>0.1</v>
      </c>
      <c r="FW9" t="n">
        <v>0.1014</v>
      </c>
      <c r="FX9" t="n">
        <v>0.2</v>
      </c>
      <c r="FY9" t="n">
        <v>0.1</v>
      </c>
      <c r="FZ9" t="n">
        <v>0.1</v>
      </c>
      <c r="GA9" t="n">
        <v>0.3286</v>
      </c>
      <c r="GB9" t="n">
        <v>0.4857</v>
      </c>
      <c r="GC9" t="n">
        <v>0.1</v>
      </c>
      <c r="GD9" t="n">
        <v>0.1143</v>
      </c>
      <c r="GE9" t="n">
        <v>0.1714</v>
      </c>
      <c r="GF9" t="n">
        <v>0</v>
      </c>
      <c r="GG9" t="n">
        <v>0.04857</v>
      </c>
      <c r="GK9" t="n">
        <v>4.61</v>
      </c>
      <c r="GL9" t="n">
        <v>0.1393</v>
      </c>
      <c r="GM9" t="n">
        <v>0.2364</v>
      </c>
      <c r="GN9" t="n">
        <v>7.961</v>
      </c>
      <c r="GO9" t="n">
        <v>14.71</v>
      </c>
      <c r="GP9" t="n">
        <v>0.3643</v>
      </c>
    </row>
    <row r="10">
      <c r="A10" t="n">
        <v>1999630</v>
      </c>
      <c r="B10" t="inlineStr">
        <is>
          <t>Soy milk, unsweetened, plain, shelf stable</t>
        </is>
      </c>
      <c r="C10" t="inlineStr"/>
      <c r="D10" t="inlineStr">
        <is>
          <t>Foundation</t>
        </is>
      </c>
      <c r="E10" s="9" t="n">
        <v>100</v>
      </c>
      <c r="F10" s="10">
        <f>E10/SUM($E$3:$E$15)</f>
        <v/>
      </c>
      <c r="G10" t="n">
        <v>92.40000000000001</v>
      </c>
      <c r="H10" t="n">
        <v>38.485</v>
      </c>
      <c r="I10" t="n">
        <v>38.485</v>
      </c>
      <c r="J10" t="n">
        <v>38.485</v>
      </c>
      <c r="K10" t="n">
        <v>161.02124</v>
      </c>
      <c r="L10" t="n">
        <v>0.5675</v>
      </c>
      <c r="M10" t="n">
        <v>3.546875</v>
      </c>
      <c r="N10" t="n">
        <v>1.8841</v>
      </c>
      <c r="O10" t="n">
        <v>2.125</v>
      </c>
      <c r="P10" t="n">
        <v>0.635</v>
      </c>
      <c r="Q10" t="n">
        <v>1.293125</v>
      </c>
      <c r="R10" t="n">
        <v>0</v>
      </c>
      <c r="S10" t="n">
        <v>0.5569</v>
      </c>
      <c r="T10" t="n">
        <v>0.5569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101</v>
      </c>
      <c r="AA10" t="n">
        <v>0.5416</v>
      </c>
      <c r="AB10" t="n">
        <v>21.54</v>
      </c>
      <c r="AC10" t="n">
        <v>68.65000000000001</v>
      </c>
      <c r="AD10" t="n">
        <v>158.2</v>
      </c>
      <c r="AE10" t="n">
        <v>34.28</v>
      </c>
      <c r="AF10" t="n">
        <v>0.3118</v>
      </c>
      <c r="AG10" t="n">
        <v>0.1078</v>
      </c>
      <c r="AH10" t="n">
        <v>0.2077</v>
      </c>
      <c r="AI10" t="n">
        <v>0</v>
      </c>
      <c r="AJ10" t="n">
        <v>1.942</v>
      </c>
      <c r="AK10" t="n">
        <v>58.38</v>
      </c>
      <c r="AM10" t="n">
        <v>0.06319</v>
      </c>
      <c r="AN10" t="n">
        <v>0.08400000000000001</v>
      </c>
      <c r="AO10" t="n">
        <v>0.2356</v>
      </c>
      <c r="AQ10" t="n">
        <v>0.05525</v>
      </c>
      <c r="AR10" t="n">
        <v>3.338</v>
      </c>
      <c r="AS10" t="n">
        <v>19.69</v>
      </c>
      <c r="BD10" t="n">
        <v>0.3931</v>
      </c>
      <c r="BF10" t="n">
        <v>58.2</v>
      </c>
      <c r="BG10" t="n">
        <v>58.23</v>
      </c>
      <c r="BH10" t="n">
        <v>0</v>
      </c>
      <c r="BI10" t="n">
        <v>0</v>
      </c>
      <c r="BJ10" t="n">
        <v>0</v>
      </c>
      <c r="BK10" t="n">
        <v>0</v>
      </c>
      <c r="BL10" t="n">
        <v>0</v>
      </c>
      <c r="BM10" t="n">
        <v>0</v>
      </c>
      <c r="BN10" t="n">
        <v>0</v>
      </c>
      <c r="BP10" t="n">
        <v>0</v>
      </c>
      <c r="BQ10" t="n">
        <v>0</v>
      </c>
      <c r="BR10" t="n">
        <v>0</v>
      </c>
      <c r="BS10" t="n">
        <v>8.224500000000001</v>
      </c>
      <c r="BT10" t="n">
        <v>0.9655</v>
      </c>
      <c r="BV10" t="n">
        <v>7.259</v>
      </c>
      <c r="BW10" t="n">
        <v>0.1557</v>
      </c>
      <c r="BY10" t="n">
        <v>0</v>
      </c>
      <c r="BZ10" t="n">
        <v>1.42</v>
      </c>
      <c r="CA10" t="n">
        <v>0.8742</v>
      </c>
      <c r="CB10" t="n">
        <v>0</v>
      </c>
      <c r="CC10" t="n">
        <v>0</v>
      </c>
      <c r="CD10" t="n">
        <v>0</v>
      </c>
      <c r="CE10" t="n">
        <v>0</v>
      </c>
      <c r="CF10" t="n">
        <v>27.2</v>
      </c>
      <c r="CG10" t="n">
        <v>0.681</v>
      </c>
      <c r="CH10" t="n">
        <v>0</v>
      </c>
      <c r="CM10" t="n">
        <v>0.3138</v>
      </c>
      <c r="CN10" t="n">
        <v>0</v>
      </c>
      <c r="CO10" t="n">
        <v>0</v>
      </c>
      <c r="CP10" t="n">
        <v>0</v>
      </c>
      <c r="CQ10" t="n">
        <v>0</v>
      </c>
      <c r="CR10" t="n">
        <v>0</v>
      </c>
      <c r="CS10" t="n">
        <v>0</v>
      </c>
      <c r="CT10" t="n">
        <v>0</v>
      </c>
      <c r="CU10" t="n">
        <v>0</v>
      </c>
      <c r="CV10" t="n">
        <v>0</v>
      </c>
      <c r="CX10" t="n">
        <v>0.003813</v>
      </c>
      <c r="CY10" t="n">
        <v>0.001688</v>
      </c>
      <c r="CZ10" t="n">
        <v>0.2182</v>
      </c>
      <c r="DA10" t="n">
        <v>0.002</v>
      </c>
      <c r="DB10" t="n">
        <v>0.07281</v>
      </c>
      <c r="DC10" t="n">
        <v>0.005625</v>
      </c>
      <c r="DD10" t="n">
        <v>0</v>
      </c>
      <c r="DE10" t="n">
        <v>0.00675</v>
      </c>
      <c r="DF10" t="n">
        <v>0</v>
      </c>
      <c r="DG10" t="n">
        <v>0.002313</v>
      </c>
      <c r="DH10" t="n">
        <v>0.4163</v>
      </c>
      <c r="DI10" t="n">
        <v>0</v>
      </c>
      <c r="DK10" t="n">
        <v>0</v>
      </c>
      <c r="DL10" t="n">
        <v>0</v>
      </c>
      <c r="DN10" t="n">
        <v>0.001938</v>
      </c>
      <c r="DO10" t="n">
        <v>0.001</v>
      </c>
      <c r="DP10" t="n">
        <v>0.001</v>
      </c>
      <c r="DR10" t="n">
        <v>0.4092</v>
      </c>
      <c r="DT10" t="n">
        <v>0.004813</v>
      </c>
      <c r="DV10" t="n">
        <v>0</v>
      </c>
      <c r="DW10" t="n">
        <v>0</v>
      </c>
      <c r="DX10" t="n">
        <v>0</v>
      </c>
      <c r="DY10" t="n">
        <v>0</v>
      </c>
      <c r="DZ10" t="n">
        <v>1.154</v>
      </c>
      <c r="EB10" t="n">
        <v>0.9878</v>
      </c>
      <c r="EC10" t="n">
        <v>0.9878</v>
      </c>
      <c r="ED10" t="n">
        <v>0</v>
      </c>
      <c r="EF10" t="n">
        <v>0.1664</v>
      </c>
      <c r="EG10" t="n">
        <v>0.1664</v>
      </c>
      <c r="EH10" t="n">
        <v>0</v>
      </c>
      <c r="EI10" t="n">
        <v>0</v>
      </c>
      <c r="EJ10" t="n">
        <v>0.0005625</v>
      </c>
      <c r="EK10" t="n">
        <v>0.0005625</v>
      </c>
      <c r="EL10" t="n">
        <v>0</v>
      </c>
      <c r="EM10" t="n">
        <v>0</v>
      </c>
      <c r="EN10" t="n">
        <v>0</v>
      </c>
      <c r="EO10" t="n">
        <v>0</v>
      </c>
      <c r="EP10" t="n">
        <v>0</v>
      </c>
      <c r="EQ10" t="n">
        <v>0</v>
      </c>
      <c r="ER10" t="n">
        <v>0</v>
      </c>
      <c r="ES10" t="n">
        <v>0</v>
      </c>
      <c r="ET10" t="n">
        <v>0</v>
      </c>
      <c r="EU10" t="n">
        <v>0</v>
      </c>
      <c r="EV10" t="n">
        <v>0</v>
      </c>
      <c r="EW10" t="n">
        <v>0</v>
      </c>
      <c r="EX10" t="n">
        <v>0</v>
      </c>
      <c r="EY10" t="n">
        <v>0</v>
      </c>
      <c r="EZ10" t="n">
        <v>0</v>
      </c>
      <c r="FA10" t="n">
        <v>0</v>
      </c>
      <c r="FB10" t="n">
        <v>0.0008125</v>
      </c>
      <c r="FC10" t="n">
        <v>0</v>
      </c>
      <c r="FD10" t="n">
        <v>0</v>
      </c>
      <c r="FE10" t="n">
        <v>0.0008125</v>
      </c>
      <c r="FF10" t="n">
        <v>0</v>
      </c>
      <c r="FG10" t="n">
        <v>0</v>
      </c>
      <c r="FI10" t="n">
        <v>0.001125</v>
      </c>
      <c r="FJ10" t="n">
        <v>0.001125</v>
      </c>
      <c r="FK10" t="n">
        <v>0</v>
      </c>
      <c r="FL10" t="n">
        <v>0</v>
      </c>
      <c r="FN10" t="n">
        <v>0.04625</v>
      </c>
      <c r="FO10" t="n">
        <v>0.1281</v>
      </c>
      <c r="FP10" t="n">
        <v>0.145</v>
      </c>
      <c r="FQ10" t="n">
        <v>0.2494</v>
      </c>
      <c r="FR10" t="n">
        <v>0.2206</v>
      </c>
      <c r="FS10" t="n">
        <v>0.04625</v>
      </c>
      <c r="FU10" t="n">
        <v>0.175</v>
      </c>
      <c r="FV10" t="n">
        <v>0.1238</v>
      </c>
      <c r="FW10" t="n">
        <v>0.1419</v>
      </c>
      <c r="FX10" t="n">
        <v>0.2688</v>
      </c>
      <c r="FY10" t="n">
        <v>0.0975</v>
      </c>
      <c r="FZ10" t="n">
        <v>0.1394</v>
      </c>
      <c r="GA10" t="n">
        <v>0.3963</v>
      </c>
      <c r="GB10" t="n">
        <v>0.6194</v>
      </c>
      <c r="GC10" t="n">
        <v>0.1413</v>
      </c>
      <c r="GD10" t="n">
        <v>0.137</v>
      </c>
      <c r="GE10" t="n">
        <v>0.1675</v>
      </c>
      <c r="GF10" t="n">
        <v>0</v>
      </c>
      <c r="GG10" t="n">
        <v>0.0575</v>
      </c>
      <c r="GK10" t="n">
        <v>0.6814</v>
      </c>
      <c r="GL10" t="n">
        <v>0.4569</v>
      </c>
      <c r="GM10" t="n">
        <v>0.3801</v>
      </c>
      <c r="GN10" t="n">
        <v>12.91</v>
      </c>
      <c r="GO10" t="n">
        <v>18.81</v>
      </c>
      <c r="GP10" t="n">
        <v>1.365</v>
      </c>
      <c r="GQ10" t="n">
        <v>0.06653000000000001</v>
      </c>
      <c r="GR10" t="n">
        <v>0.4344</v>
      </c>
      <c r="GS10" t="n">
        <v>0.02625</v>
      </c>
    </row>
    <row r="11">
      <c r="A11" t="n">
        <v>2259794</v>
      </c>
      <c r="B11" t="inlineStr">
        <is>
          <t>Yogurt, Greek, plain, whole milk</t>
        </is>
      </c>
      <c r="C11" t="inlineStr"/>
      <c r="D11" t="inlineStr">
        <is>
          <t>Foundation</t>
        </is>
      </c>
      <c r="E11" s="9" t="n">
        <v>100</v>
      </c>
      <c r="F11" s="10">
        <f>E11/SUM($E$3:$E$15)</f>
        <v/>
      </c>
      <c r="G11" t="n">
        <v>81.31999999999999</v>
      </c>
      <c r="H11" t="n">
        <v>93.6776</v>
      </c>
      <c r="I11" t="n">
        <v>94.50713500000001</v>
      </c>
      <c r="J11" t="n">
        <v>93.67759999999998</v>
      </c>
      <c r="K11" t="n">
        <v>391.9470784</v>
      </c>
      <c r="L11" t="n">
        <v>1.376</v>
      </c>
      <c r="M11" t="n">
        <v>8.778879999999999</v>
      </c>
      <c r="N11" t="n">
        <v>4.394</v>
      </c>
      <c r="O11" t="n">
        <v>4.394</v>
      </c>
      <c r="P11" t="n">
        <v>0.7531</v>
      </c>
      <c r="Q11" t="n">
        <v>4.75402</v>
      </c>
      <c r="S11" t="n">
        <v>3.2474</v>
      </c>
      <c r="T11" t="n">
        <v>0</v>
      </c>
      <c r="U11" t="n">
        <v>0</v>
      </c>
      <c r="V11" t="n">
        <v>0</v>
      </c>
      <c r="W11" t="n">
        <v>2.608</v>
      </c>
      <c r="X11" t="n">
        <v>0</v>
      </c>
      <c r="Y11" t="n">
        <v>0.6394</v>
      </c>
      <c r="Z11" t="n">
        <v>110.9</v>
      </c>
      <c r="AA11" t="n">
        <v>0</v>
      </c>
      <c r="AB11" t="n">
        <v>10.7</v>
      </c>
      <c r="AC11" t="n">
        <v>125.9</v>
      </c>
      <c r="AD11" t="n">
        <v>146.9</v>
      </c>
      <c r="AE11" t="n">
        <v>33.76</v>
      </c>
      <c r="AF11" t="n">
        <v>0.473</v>
      </c>
      <c r="AG11" t="n">
        <v>0.009513000000000001</v>
      </c>
      <c r="AH11" t="n">
        <v>0.005738</v>
      </c>
      <c r="AI11" t="n">
        <v>42.28</v>
      </c>
      <c r="AM11" t="n">
        <v>0.05525</v>
      </c>
      <c r="AN11" t="n">
        <v>0.2444</v>
      </c>
      <c r="AO11" t="n">
        <v>0.2269</v>
      </c>
      <c r="AQ11" t="n">
        <v>0.04394</v>
      </c>
      <c r="AR11" t="n">
        <v>0</v>
      </c>
      <c r="BG11" t="n">
        <v>38.13</v>
      </c>
      <c r="CF11" t="n">
        <v>0</v>
      </c>
      <c r="CG11" t="n">
        <v>0</v>
      </c>
      <c r="CH11" t="n">
        <v>0</v>
      </c>
      <c r="CJ11" t="n">
        <v>0.2</v>
      </c>
      <c r="CK11" t="n">
        <v>0</v>
      </c>
      <c r="CL11" t="n">
        <v>1</v>
      </c>
      <c r="CM11" t="n">
        <v>2.393</v>
      </c>
      <c r="CV11" t="n">
        <v>0.1296</v>
      </c>
      <c r="CX11" t="n">
        <v>0.4184</v>
      </c>
      <c r="CZ11" t="n">
        <v>1.084</v>
      </c>
      <c r="DB11" t="n">
        <v>0.3376</v>
      </c>
      <c r="DH11" t="n">
        <v>0.9575</v>
      </c>
      <c r="DR11" t="n">
        <v>0.8359</v>
      </c>
      <c r="EC11" t="n">
        <v>0.1055</v>
      </c>
      <c r="FM11" t="n">
        <v>16.84</v>
      </c>
      <c r="GK11" t="n">
        <v>0</v>
      </c>
    </row>
    <row r="12">
      <c r="A12" t="n">
        <v>2259793</v>
      </c>
      <c r="B12" t="inlineStr">
        <is>
          <t>Yogurt, plain, whole milk</t>
        </is>
      </c>
      <c r="C12" t="inlineStr"/>
      <c r="D12" t="inlineStr">
        <is>
          <t>Foundation</t>
        </is>
      </c>
      <c r="E12" s="9" t="n">
        <v>100</v>
      </c>
      <c r="F12" s="10">
        <f>E12/SUM($E$3:$E$15)</f>
        <v/>
      </c>
      <c r="G12" t="n">
        <v>85.27</v>
      </c>
      <c r="H12" t="n">
        <v>77.9524</v>
      </c>
      <c r="I12" t="n">
        <v>77.3185458</v>
      </c>
      <c r="J12" t="n">
        <v>77.95240000000001</v>
      </c>
      <c r="K12" t="n">
        <v>326.1528416</v>
      </c>
      <c r="L12" t="n">
        <v>0.5994</v>
      </c>
      <c r="M12" t="n">
        <v>3.824172</v>
      </c>
      <c r="N12" t="n">
        <v>4.484</v>
      </c>
      <c r="O12" t="n">
        <v>4.484</v>
      </c>
      <c r="P12" t="n">
        <v>0.8469</v>
      </c>
      <c r="Q12" t="n">
        <v>5.574928</v>
      </c>
      <c r="S12" t="n">
        <v>4.0936</v>
      </c>
      <c r="T12" t="n">
        <v>0</v>
      </c>
      <c r="U12" t="n">
        <v>0</v>
      </c>
      <c r="V12" t="n">
        <v>0</v>
      </c>
      <c r="W12" t="n">
        <v>3.348</v>
      </c>
      <c r="X12" t="n">
        <v>0</v>
      </c>
      <c r="Y12" t="n">
        <v>0.7456</v>
      </c>
      <c r="Z12" t="n">
        <v>126.8</v>
      </c>
      <c r="AA12" t="n">
        <v>0</v>
      </c>
      <c r="AB12" t="n">
        <v>11.45</v>
      </c>
      <c r="AC12" t="n">
        <v>101.2</v>
      </c>
      <c r="AD12" t="n">
        <v>164.1</v>
      </c>
      <c r="AE12" t="n">
        <v>41.78</v>
      </c>
      <c r="AF12" t="n">
        <v>0.4283</v>
      </c>
      <c r="AG12" t="n">
        <v>0.003175</v>
      </c>
      <c r="AH12" t="n">
        <v>0.001539</v>
      </c>
      <c r="AI12" t="n">
        <v>32.33</v>
      </c>
      <c r="AM12" t="n">
        <v>0.05519</v>
      </c>
      <c r="AN12" t="n">
        <v>0.2431</v>
      </c>
      <c r="AO12" t="n">
        <v>0.135</v>
      </c>
      <c r="AQ12" t="n">
        <v>0.04506</v>
      </c>
      <c r="AR12" t="n">
        <v>0</v>
      </c>
      <c r="BG12" t="n">
        <v>48.19</v>
      </c>
      <c r="CF12" t="n">
        <v>31.1</v>
      </c>
      <c r="CG12" t="n">
        <v>0.778</v>
      </c>
      <c r="CH12" t="n">
        <v>0.7783</v>
      </c>
      <c r="CJ12" t="n">
        <v>0.2</v>
      </c>
      <c r="CK12" t="n">
        <v>0</v>
      </c>
      <c r="CL12" t="n">
        <v>0.9</v>
      </c>
      <c r="CM12" t="n">
        <v>2.316</v>
      </c>
      <c r="CV12" t="n">
        <v>0.1149</v>
      </c>
      <c r="CX12" t="n">
        <v>0.3815</v>
      </c>
      <c r="CZ12" t="n">
        <v>1.066</v>
      </c>
      <c r="DB12" t="n">
        <v>0.3716</v>
      </c>
      <c r="DH12" t="n">
        <v>0.8738</v>
      </c>
      <c r="DR12" t="n">
        <v>0.7655</v>
      </c>
      <c r="EC12" t="n">
        <v>0.08225</v>
      </c>
      <c r="FM12" t="n">
        <v>14.17</v>
      </c>
      <c r="GK12" t="n">
        <v>0</v>
      </c>
    </row>
    <row r="13">
      <c r="A13" t="n">
        <v>172296</v>
      </c>
      <c r="B13" t="inlineStr">
        <is>
          <t>Babyfood, cereal, barley, prepared with whole milk</t>
        </is>
      </c>
      <c r="C13" t="inlineStr"/>
      <c r="D13" t="inlineStr">
        <is>
          <t>SR Legacy</t>
        </is>
      </c>
      <c r="E13" s="9" t="n">
        <v>100</v>
      </c>
      <c r="F13" s="10">
        <f>E13/SUM($E$3:$E$15)</f>
        <v/>
      </c>
      <c r="G13" t="n">
        <v>82.19</v>
      </c>
      <c r="J13" t="n">
        <v>84</v>
      </c>
      <c r="K13" t="n">
        <v>352</v>
      </c>
      <c r="M13" t="n">
        <v>3.73</v>
      </c>
      <c r="N13" t="n">
        <v>3.26</v>
      </c>
      <c r="O13" t="n">
        <v>3.26</v>
      </c>
      <c r="P13" t="n">
        <v>0.87</v>
      </c>
      <c r="Q13" t="n">
        <v>9.94</v>
      </c>
      <c r="R13" t="n">
        <v>0.6</v>
      </c>
      <c r="S13" t="n">
        <v>5.1</v>
      </c>
      <c r="T13" t="n">
        <v>0</v>
      </c>
      <c r="U13" t="n">
        <v>0</v>
      </c>
      <c r="V13" t="n">
        <v>0</v>
      </c>
      <c r="W13" t="n">
        <v>4.68</v>
      </c>
      <c r="X13" t="n">
        <v>0</v>
      </c>
      <c r="Y13" t="n">
        <v>0</v>
      </c>
      <c r="Z13" t="n">
        <v>162</v>
      </c>
      <c r="AA13" t="n">
        <v>3.49</v>
      </c>
      <c r="AB13" t="n">
        <v>18</v>
      </c>
      <c r="AC13" t="n">
        <v>110</v>
      </c>
      <c r="AD13" t="n">
        <v>151</v>
      </c>
      <c r="AE13" t="n">
        <v>43</v>
      </c>
      <c r="AF13" t="n">
        <v>0.57</v>
      </c>
      <c r="AG13" t="n">
        <v>0.057</v>
      </c>
      <c r="AH13" t="n">
        <v>0.004</v>
      </c>
      <c r="AJ13" t="n">
        <v>5.6</v>
      </c>
      <c r="AL13" t="n">
        <v>0.2</v>
      </c>
      <c r="AM13" t="n">
        <v>0.242</v>
      </c>
      <c r="AN13" t="n">
        <v>0.353</v>
      </c>
      <c r="AO13" t="n">
        <v>2.707</v>
      </c>
      <c r="AP13" t="n">
        <v>0.384</v>
      </c>
      <c r="AQ13" t="n">
        <v>0.06</v>
      </c>
      <c r="AS13" t="n">
        <v>7</v>
      </c>
      <c r="AT13" t="n">
        <v>0</v>
      </c>
      <c r="AU13" t="n">
        <v>7</v>
      </c>
      <c r="AV13" t="n">
        <v>7</v>
      </c>
      <c r="AW13" t="n">
        <v>16.6</v>
      </c>
      <c r="BC13" t="n">
        <v>0.6</v>
      </c>
      <c r="BD13" t="n">
        <v>0.42</v>
      </c>
      <c r="BE13" t="n">
        <v>0</v>
      </c>
      <c r="BF13" t="n">
        <v>43</v>
      </c>
      <c r="BG13" t="n">
        <v>42</v>
      </c>
      <c r="BH13" t="n">
        <v>6</v>
      </c>
      <c r="BK13" t="n">
        <v>0</v>
      </c>
      <c r="BM13" t="n">
        <v>0</v>
      </c>
      <c r="BO13" t="n">
        <v>150</v>
      </c>
      <c r="BP13" t="n">
        <v>0</v>
      </c>
      <c r="BS13" t="n">
        <v>12</v>
      </c>
      <c r="BW13" t="n">
        <v>0.43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0</v>
      </c>
      <c r="CF13" t="n">
        <v>47</v>
      </c>
      <c r="CG13" t="n">
        <v>1.2</v>
      </c>
      <c r="CH13" t="n">
        <v>1.2</v>
      </c>
      <c r="CJ13" t="n">
        <v>0.4</v>
      </c>
      <c r="CK13" t="n">
        <v>0</v>
      </c>
      <c r="CL13" t="n">
        <v>0.9</v>
      </c>
      <c r="CM13" t="n">
        <v>1.76</v>
      </c>
      <c r="CN13" t="n">
        <v>0.06900000000000001</v>
      </c>
      <c r="CP13" t="n">
        <v>0.06900000000000001</v>
      </c>
      <c r="CR13" t="n">
        <v>0.06900000000000001</v>
      </c>
      <c r="CT13" t="n">
        <v>0.06900000000000001</v>
      </c>
      <c r="CV13" t="n">
        <v>0.07099999999999999</v>
      </c>
      <c r="CW13" t="n">
        <v>0</v>
      </c>
      <c r="CX13" t="n">
        <v>0.275</v>
      </c>
      <c r="CY13" t="n">
        <v>0</v>
      </c>
      <c r="CZ13" t="n">
        <v>0.788</v>
      </c>
      <c r="DA13" t="n">
        <v>0</v>
      </c>
      <c r="DB13" t="n">
        <v>0.348</v>
      </c>
      <c r="DC13" t="n">
        <v>0</v>
      </c>
      <c r="DE13" t="n">
        <v>0</v>
      </c>
      <c r="DG13" t="n">
        <v>0</v>
      </c>
      <c r="DH13" t="n">
        <v>0.802</v>
      </c>
      <c r="DJ13" t="n">
        <v>0</v>
      </c>
      <c r="DM13" t="n">
        <v>0.007</v>
      </c>
      <c r="DQ13" t="n">
        <v>0.794</v>
      </c>
      <c r="DS13" t="n">
        <v>0</v>
      </c>
      <c r="DU13" t="n">
        <v>0</v>
      </c>
      <c r="DZ13" t="n">
        <v>0.309</v>
      </c>
      <c r="EA13" t="n">
        <v>0.229</v>
      </c>
      <c r="EE13" t="n">
        <v>0.08</v>
      </c>
      <c r="EI13" t="n">
        <v>0</v>
      </c>
      <c r="EQ13" t="n">
        <v>0</v>
      </c>
      <c r="ET13" t="n">
        <v>0</v>
      </c>
      <c r="EX13" t="n">
        <v>0</v>
      </c>
      <c r="EZ13" t="n">
        <v>0</v>
      </c>
      <c r="FM13" t="n">
        <v>10</v>
      </c>
      <c r="FN13" t="n">
        <v>0.06</v>
      </c>
      <c r="FO13" t="n">
        <v>0.157</v>
      </c>
      <c r="FP13" t="n">
        <v>0.18</v>
      </c>
      <c r="FQ13" t="n">
        <v>0.3</v>
      </c>
      <c r="FR13" t="n">
        <v>0.154</v>
      </c>
      <c r="FS13" t="n">
        <v>0.083</v>
      </c>
      <c r="FT13" t="n">
        <v>0.034</v>
      </c>
      <c r="FU13" t="n">
        <v>0.181</v>
      </c>
      <c r="FV13" t="n">
        <v>0.167</v>
      </c>
      <c r="FW13" t="n">
        <v>0.218</v>
      </c>
      <c r="FX13" t="n">
        <v>0.109</v>
      </c>
      <c r="FY13" t="n">
        <v>0.08599999999999999</v>
      </c>
      <c r="FZ13" t="n">
        <v>0.124</v>
      </c>
      <c r="GA13" t="n">
        <v>0.262</v>
      </c>
      <c r="GB13" t="n">
        <v>0.82</v>
      </c>
      <c r="GC13" t="n">
        <v>0.099</v>
      </c>
      <c r="GD13" t="n">
        <v>0.415</v>
      </c>
      <c r="GE13" t="n">
        <v>0.132</v>
      </c>
      <c r="GH13" t="n">
        <v>0</v>
      </c>
      <c r="GI13" t="n">
        <v>0</v>
      </c>
      <c r="GJ13" t="n">
        <v>0</v>
      </c>
    </row>
    <row r="14">
      <c r="A14" t="n">
        <v>173528</v>
      </c>
      <c r="B14" t="inlineStr">
        <is>
          <t>Babyfood, cereal, high protein, prepared with whole milk</t>
        </is>
      </c>
      <c r="C14" t="inlineStr"/>
      <c r="D14" t="inlineStr">
        <is>
          <t>SR Legacy</t>
        </is>
      </c>
      <c r="E14" s="9" t="n">
        <v>100</v>
      </c>
      <c r="F14" s="10">
        <f>E14/SUM($E$3:$E$15)</f>
        <v/>
      </c>
      <c r="G14" t="n">
        <v>74.5</v>
      </c>
      <c r="J14" t="n">
        <v>111</v>
      </c>
      <c r="K14" t="n">
        <v>464</v>
      </c>
      <c r="M14" t="n">
        <v>8.699999999999999</v>
      </c>
      <c r="N14" t="n">
        <v>3.8</v>
      </c>
      <c r="O14" t="n">
        <v>3.8</v>
      </c>
      <c r="P14" t="n">
        <v>1.5</v>
      </c>
      <c r="Q14" t="n">
        <v>11.6</v>
      </c>
      <c r="Z14" t="n">
        <v>218</v>
      </c>
      <c r="AA14" t="n">
        <v>12.14</v>
      </c>
      <c r="AB14" t="n">
        <v>48</v>
      </c>
      <c r="AC14" t="n">
        <v>177</v>
      </c>
      <c r="AD14" t="n">
        <v>349</v>
      </c>
      <c r="AE14" t="n">
        <v>49</v>
      </c>
      <c r="AF14" t="n">
        <v>1.04</v>
      </c>
      <c r="AG14" t="n">
        <v>0.217</v>
      </c>
      <c r="AM14" t="n">
        <v>0.47</v>
      </c>
      <c r="AN14" t="n">
        <v>0.579</v>
      </c>
      <c r="AO14" t="n">
        <v>5.668</v>
      </c>
      <c r="AP14" t="n">
        <v>0.465</v>
      </c>
      <c r="AQ14" t="n">
        <v>0.113</v>
      </c>
      <c r="AS14" t="n">
        <v>35</v>
      </c>
      <c r="AT14" t="n">
        <v>0</v>
      </c>
      <c r="AU14" t="n">
        <v>35</v>
      </c>
      <c r="AV14" t="n">
        <v>35</v>
      </c>
      <c r="BD14" t="n">
        <v>0.3</v>
      </c>
      <c r="BO14" t="n">
        <v>105</v>
      </c>
      <c r="FN14" t="n">
        <v>0.129</v>
      </c>
      <c r="FO14" t="n">
        <v>0.364</v>
      </c>
      <c r="FP14" t="n">
        <v>0.454</v>
      </c>
      <c r="FQ14" t="n">
        <v>0.752</v>
      </c>
      <c r="FR14" t="n">
        <v>0.607</v>
      </c>
      <c r="FS14" t="n">
        <v>0.169</v>
      </c>
      <c r="FT14" t="n">
        <v>0.144</v>
      </c>
      <c r="FU14" t="n">
        <v>0.443</v>
      </c>
      <c r="FV14" t="n">
        <v>0.363</v>
      </c>
      <c r="FW14" t="n">
        <v>0.488</v>
      </c>
      <c r="FX14" t="n">
        <v>0.5580000000000001</v>
      </c>
      <c r="FY14" t="n">
        <v>0.241</v>
      </c>
      <c r="FZ14" t="n">
        <v>0.364</v>
      </c>
      <c r="GA14" t="n">
        <v>0.9340000000000001</v>
      </c>
      <c r="GB14" t="n">
        <v>1.791</v>
      </c>
      <c r="GC14" t="n">
        <v>0.333</v>
      </c>
      <c r="GD14" t="n">
        <v>0.608</v>
      </c>
      <c r="GE14" t="n">
        <v>0.465</v>
      </c>
    </row>
    <row r="15">
      <c r="A15" t="n">
        <v>2003591</v>
      </c>
      <c r="B15" t="inlineStr">
        <is>
          <t>Orange juice, no pulp, not fortified, from concentrate, refrigerated</t>
        </is>
      </c>
      <c r="C15" t="inlineStr"/>
      <c r="D15" t="inlineStr">
        <is>
          <t>Foundation</t>
        </is>
      </c>
      <c r="E15" s="9" t="n">
        <v>100</v>
      </c>
      <c r="F15" s="10">
        <f>E15/SUM($E$3:$E$15)</f>
        <v/>
      </c>
      <c r="G15" t="n">
        <v>88.25</v>
      </c>
      <c r="H15" t="n">
        <v>47.225</v>
      </c>
      <c r="I15" t="n">
        <v>45.723</v>
      </c>
      <c r="J15" t="n">
        <v>47.22499999999999</v>
      </c>
      <c r="K15" t="n">
        <v>197.5894</v>
      </c>
      <c r="L15" t="n">
        <v>0.1175</v>
      </c>
      <c r="M15" t="n">
        <v>0.734375</v>
      </c>
      <c r="N15" t="n">
        <v>0.325</v>
      </c>
      <c r="O15" t="n">
        <v>0.325</v>
      </c>
      <c r="P15" t="n">
        <v>0.35</v>
      </c>
      <c r="Q15" t="n">
        <v>10.340625</v>
      </c>
      <c r="S15" t="n">
        <v>8.276</v>
      </c>
      <c r="T15" t="n">
        <v>4.386</v>
      </c>
      <c r="U15" t="n">
        <v>1.794</v>
      </c>
      <c r="V15" t="n">
        <v>2.096</v>
      </c>
      <c r="W15" t="n">
        <v>0</v>
      </c>
      <c r="X15" t="n">
        <v>0</v>
      </c>
      <c r="Y15" t="n">
        <v>0</v>
      </c>
      <c r="Z15" t="n">
        <v>12.81</v>
      </c>
      <c r="AA15" t="n">
        <v>0.06458</v>
      </c>
      <c r="AB15" t="n">
        <v>10.64</v>
      </c>
      <c r="AC15" t="n">
        <v>18.15</v>
      </c>
      <c r="AD15" t="n">
        <v>179.5</v>
      </c>
      <c r="AE15" t="n">
        <v>5.231</v>
      </c>
      <c r="AF15" t="n">
        <v>0.03189</v>
      </c>
      <c r="AG15" t="n">
        <v>0.03218</v>
      </c>
      <c r="AH15" t="n">
        <v>0.02986</v>
      </c>
      <c r="AL15" t="n">
        <v>26.89</v>
      </c>
      <c r="AM15" t="n">
        <v>0.07006</v>
      </c>
      <c r="AO15" t="n">
        <v>0.04031</v>
      </c>
      <c r="AQ15" t="n">
        <v>0.04288</v>
      </c>
      <c r="AS15" t="n">
        <v>29.85</v>
      </c>
      <c r="GT15" t="n">
        <v>705.8</v>
      </c>
      <c r="GU15" t="n">
        <v>161.3</v>
      </c>
      <c r="GV15" t="n">
        <v>0</v>
      </c>
      <c r="GW15" t="n">
        <v>12.34</v>
      </c>
    </row>
    <row r="16">
      <c r="A16" t="inlineStr">
        <is>
          <t>Total</t>
        </is>
      </c>
      <c r="B16" t="inlineStr">
        <is>
          <t>Formulado</t>
        </is>
      </c>
      <c r="C16" t="inlineStr">
        <is>
          <t>Formulado</t>
        </is>
      </c>
      <c r="D16" t="inlineStr">
        <is>
          <t>Formulado</t>
        </is>
      </c>
      <c r="E16" s="11">
        <f>SUBTOTAL(9,E3:E15)</f>
        <v/>
      </c>
      <c r="F16" s="12" t="inlineStr">
        <is>
          <t>100%</t>
        </is>
      </c>
      <c r="G16" s="13">
        <f>SUMPRODUCT($F$3:$F$15,$G$3:$G$15)</f>
        <v/>
      </c>
      <c r="H16" s="13">
        <f>SUMPRODUCT($F$3:$F$15,$H$3:$H$15)</f>
        <v/>
      </c>
      <c r="I16" s="13">
        <f>SUMPRODUCT($F$3:$F$15,$I$3:$I$15)</f>
        <v/>
      </c>
      <c r="J16" s="13">
        <f>SUMPRODUCT($F$3:$F$15,$J$3:$J$15)</f>
        <v/>
      </c>
      <c r="K16" s="13">
        <f>SUMPRODUCT($F$3:$F$15,$K$3:$K$15)</f>
        <v/>
      </c>
      <c r="L16" s="13">
        <f>SUMPRODUCT($F$3:$F$15,$L$3:$L$15)</f>
        <v/>
      </c>
      <c r="M16" s="13">
        <f>SUMPRODUCT($F$3:$F$15,$M$3:$M$15)</f>
        <v/>
      </c>
      <c r="N16" s="13">
        <f>SUMPRODUCT($F$3:$F$15,$N$3:$N$15)</f>
        <v/>
      </c>
      <c r="O16" s="13">
        <f>SUMPRODUCT($F$3:$F$15,$O$3:$O$15)</f>
        <v/>
      </c>
      <c r="P16" s="13">
        <f>SUMPRODUCT($F$3:$F$15,$P$3:$P$15)</f>
        <v/>
      </c>
      <c r="Q16" s="13">
        <f>SUMPRODUCT($F$3:$F$15,$Q$3:$Q$15)</f>
        <v/>
      </c>
      <c r="R16" s="13">
        <f>SUMPRODUCT($F$3:$F$15,$R$3:$R$15)</f>
        <v/>
      </c>
      <c r="S16" s="13">
        <f>SUMPRODUCT($F$3:$F$15,$S$3:$S$15)</f>
        <v/>
      </c>
      <c r="T16" s="13">
        <f>SUMPRODUCT($F$3:$F$15,$T$3:$T$15)</f>
        <v/>
      </c>
      <c r="U16" s="13">
        <f>SUMPRODUCT($F$3:$F$15,$U$3:$U$15)</f>
        <v/>
      </c>
      <c r="V16" s="13">
        <f>SUMPRODUCT($F$3:$F$15,$V$3:$V$15)</f>
        <v/>
      </c>
      <c r="W16" s="13">
        <f>SUMPRODUCT($F$3:$F$15,$W$3:$W$15)</f>
        <v/>
      </c>
      <c r="X16" s="13">
        <f>SUMPRODUCT($F$3:$F$15,$X$3:$X$15)</f>
        <v/>
      </c>
      <c r="Y16" s="13">
        <f>SUMPRODUCT($F$3:$F$15,$Y$3:$Y$15)</f>
        <v/>
      </c>
      <c r="Z16" s="13">
        <f>SUMPRODUCT($F$3:$F$15,$Z$3:$Z$15)</f>
        <v/>
      </c>
      <c r="AA16" s="13">
        <f>SUMPRODUCT($F$3:$F$15,$AA$3:$AA$15)</f>
        <v/>
      </c>
      <c r="AB16" s="13">
        <f>SUMPRODUCT($F$3:$F$15,$AB$3:$AB$15)</f>
        <v/>
      </c>
      <c r="AC16" s="13">
        <f>SUMPRODUCT($F$3:$F$15,$AC$3:$AC$15)</f>
        <v/>
      </c>
      <c r="AD16" s="13">
        <f>SUMPRODUCT($F$3:$F$15,$AD$3:$AD$15)</f>
        <v/>
      </c>
      <c r="AE16" s="13">
        <f>SUMPRODUCT($F$3:$F$15,$AE$3:$AE$15)</f>
        <v/>
      </c>
      <c r="AF16" s="13">
        <f>SUMPRODUCT($F$3:$F$15,$AF$3:$AF$15)</f>
        <v/>
      </c>
      <c r="AG16" s="13">
        <f>SUMPRODUCT($F$3:$F$15,$AG$3:$AG$15)</f>
        <v/>
      </c>
      <c r="AH16" s="13">
        <f>SUMPRODUCT($F$3:$F$15,$AH$3:$AH$15)</f>
        <v/>
      </c>
      <c r="AI16" s="13">
        <f>SUMPRODUCT($F$3:$F$15,$AI$3:$AI$15)</f>
        <v/>
      </c>
      <c r="AJ16" s="13">
        <f>SUMPRODUCT($F$3:$F$15,$AJ$3:$AJ$15)</f>
        <v/>
      </c>
      <c r="AK16" s="13">
        <f>SUMPRODUCT($F$3:$F$15,$AK$3:$AK$15)</f>
        <v/>
      </c>
      <c r="AL16" s="13">
        <f>SUMPRODUCT($F$3:$F$15,$AL$3:$AL$15)</f>
        <v/>
      </c>
      <c r="AM16" s="13">
        <f>SUMPRODUCT($F$3:$F$15,$AM$3:$AM$15)</f>
        <v/>
      </c>
      <c r="AN16" s="13">
        <f>SUMPRODUCT($F$3:$F$15,$AN$3:$AN$15)</f>
        <v/>
      </c>
      <c r="AO16" s="13">
        <f>SUMPRODUCT($F$3:$F$15,$AO$3:$AO$15)</f>
        <v/>
      </c>
      <c r="AP16" s="13">
        <f>SUMPRODUCT($F$3:$F$15,$AP$3:$AP$15)</f>
        <v/>
      </c>
      <c r="AQ16" s="13">
        <f>SUMPRODUCT($F$3:$F$15,$AQ$3:$AQ$15)</f>
        <v/>
      </c>
      <c r="AR16" s="13">
        <f>SUMPRODUCT($F$3:$F$15,$AR$3:$AR$15)</f>
        <v/>
      </c>
      <c r="AS16" s="13">
        <f>SUMPRODUCT($F$3:$F$15,$AS$3:$AS$15)</f>
        <v/>
      </c>
      <c r="AT16" s="13">
        <f>SUMPRODUCT($F$3:$F$15,$AT$3:$AT$15)</f>
        <v/>
      </c>
      <c r="AU16" s="13">
        <f>SUMPRODUCT($F$3:$F$15,$AU$3:$AU$15)</f>
        <v/>
      </c>
      <c r="AV16" s="13">
        <f>SUMPRODUCT($F$3:$F$15,$AV$3:$AV$15)</f>
        <v/>
      </c>
      <c r="AW16" s="13">
        <f>SUMPRODUCT($F$3:$F$15,$AW$3:$AW$15)</f>
        <v/>
      </c>
      <c r="AX16" s="13">
        <f>SUMPRODUCT($F$3:$F$15,$AX$3:$AX$15)</f>
        <v/>
      </c>
      <c r="AY16" s="13">
        <f>SUMPRODUCT($F$3:$F$15,$AY$3:$AY$15)</f>
        <v/>
      </c>
      <c r="AZ16" s="13">
        <f>SUMPRODUCT($F$3:$F$15,$AZ$3:$AZ$15)</f>
        <v/>
      </c>
      <c r="BA16" s="13">
        <f>SUMPRODUCT($F$3:$F$15,$BA$3:$BA$15)</f>
        <v/>
      </c>
      <c r="BB16" s="13">
        <f>SUMPRODUCT($F$3:$F$15,$BB$3:$BB$15)</f>
        <v/>
      </c>
      <c r="BC16" s="13">
        <f>SUMPRODUCT($F$3:$F$15,$BC$3:$BC$15)</f>
        <v/>
      </c>
      <c r="BD16" s="13">
        <f>SUMPRODUCT($F$3:$F$15,$BD$3:$BD$15)</f>
        <v/>
      </c>
      <c r="BE16" s="13">
        <f>SUMPRODUCT($F$3:$F$15,$BE$3:$BE$15)</f>
        <v/>
      </c>
      <c r="BF16" s="13">
        <f>SUMPRODUCT($F$3:$F$15,$BF$3:$BF$15)</f>
        <v/>
      </c>
      <c r="BG16" s="13">
        <f>SUMPRODUCT($F$3:$F$15,$BG$3:$BG$15)</f>
        <v/>
      </c>
      <c r="BH16" s="13">
        <f>SUMPRODUCT($F$3:$F$15,$BH$3:$BH$15)</f>
        <v/>
      </c>
      <c r="BI16" s="13">
        <f>SUMPRODUCT($F$3:$F$15,$BI$3:$BI$15)</f>
        <v/>
      </c>
      <c r="BJ16" s="13">
        <f>SUMPRODUCT($F$3:$F$15,$BJ$3:$BJ$15)</f>
        <v/>
      </c>
      <c r="BK16" s="13">
        <f>SUMPRODUCT($F$3:$F$15,$BK$3:$BK$15)</f>
        <v/>
      </c>
      <c r="BL16" s="13">
        <f>SUMPRODUCT($F$3:$F$15,$BL$3:$BL$15)</f>
        <v/>
      </c>
      <c r="BM16" s="13">
        <f>SUMPRODUCT($F$3:$F$15,$BM$3:$BM$15)</f>
        <v/>
      </c>
      <c r="BN16" s="13">
        <f>SUMPRODUCT($F$3:$F$15,$BN$3:$BN$15)</f>
        <v/>
      </c>
      <c r="BO16" s="13">
        <f>SUMPRODUCT($F$3:$F$15,$BO$3:$BO$15)</f>
        <v/>
      </c>
      <c r="BP16" s="13">
        <f>SUMPRODUCT($F$3:$F$15,$BP$3:$BP$15)</f>
        <v/>
      </c>
      <c r="BQ16" s="13">
        <f>SUMPRODUCT($F$3:$F$15,$BQ$3:$BQ$15)</f>
        <v/>
      </c>
      <c r="BR16" s="13">
        <f>SUMPRODUCT($F$3:$F$15,$BR$3:$BR$15)</f>
        <v/>
      </c>
      <c r="BS16" s="13">
        <f>SUMPRODUCT($F$3:$F$15,$BS$3:$BS$15)</f>
        <v/>
      </c>
      <c r="BT16" s="13">
        <f>SUMPRODUCT($F$3:$F$15,$BT$3:$BT$15)</f>
        <v/>
      </c>
      <c r="BU16" s="13">
        <f>SUMPRODUCT($F$3:$F$15,$BU$3:$BU$15)</f>
        <v/>
      </c>
      <c r="BV16" s="13">
        <f>SUMPRODUCT($F$3:$F$15,$BV$3:$BV$15)</f>
        <v/>
      </c>
      <c r="BW16" s="13">
        <f>SUMPRODUCT($F$3:$F$15,$BW$3:$BW$15)</f>
        <v/>
      </c>
      <c r="BX16" s="13">
        <f>SUMPRODUCT($F$3:$F$15,$BX$3:$BX$15)</f>
        <v/>
      </c>
      <c r="BY16" s="13">
        <f>SUMPRODUCT($F$3:$F$15,$BY$3:$BY$15)</f>
        <v/>
      </c>
      <c r="BZ16" s="13">
        <f>SUMPRODUCT($F$3:$F$15,$BZ$3:$BZ$15)</f>
        <v/>
      </c>
      <c r="CA16" s="13">
        <f>SUMPRODUCT($F$3:$F$15,$CA$3:$CA$15)</f>
        <v/>
      </c>
      <c r="CB16" s="13">
        <f>SUMPRODUCT($F$3:$F$15,$CB$3:$CB$15)</f>
        <v/>
      </c>
      <c r="CC16" s="13">
        <f>SUMPRODUCT($F$3:$F$15,$CC$3:$CC$15)</f>
        <v/>
      </c>
      <c r="CD16" s="13">
        <f>SUMPRODUCT($F$3:$F$15,$CD$3:$CD$15)</f>
        <v/>
      </c>
      <c r="CE16" s="13">
        <f>SUMPRODUCT($F$3:$F$15,$CE$3:$CE$15)</f>
        <v/>
      </c>
      <c r="CF16" s="13">
        <f>SUMPRODUCT($F$3:$F$15,$CF$3:$CF$15)</f>
        <v/>
      </c>
      <c r="CG16" s="13">
        <f>SUMPRODUCT($F$3:$F$15,$CG$3:$CG$15)</f>
        <v/>
      </c>
      <c r="CH16" s="13">
        <f>SUMPRODUCT($F$3:$F$15,$CH$3:$CH$15)</f>
        <v/>
      </c>
      <c r="CI16" s="13">
        <f>SUMPRODUCT($F$3:$F$15,$CI$3:$CI$15)</f>
        <v/>
      </c>
      <c r="CJ16" s="13">
        <f>SUMPRODUCT($F$3:$F$15,$CJ$3:$CJ$15)</f>
        <v/>
      </c>
      <c r="CK16" s="13">
        <f>SUMPRODUCT($F$3:$F$15,$CK$3:$CK$15)</f>
        <v/>
      </c>
      <c r="CL16" s="13">
        <f>SUMPRODUCT($F$3:$F$15,$CL$3:$CL$15)</f>
        <v/>
      </c>
      <c r="CM16" s="13">
        <f>SUMPRODUCT($F$3:$F$15,$CM$3:$CM$15)</f>
        <v/>
      </c>
      <c r="CN16" s="13">
        <f>SUMPRODUCT($F$3:$F$15,$CN$3:$CN$15)</f>
        <v/>
      </c>
      <c r="CO16" s="13">
        <f>SUMPRODUCT($F$3:$F$15,$CO$3:$CO$15)</f>
        <v/>
      </c>
      <c r="CP16" s="13">
        <f>SUMPRODUCT($F$3:$F$15,$CP$3:$CP$15)</f>
        <v/>
      </c>
      <c r="CQ16" s="13">
        <f>SUMPRODUCT($F$3:$F$15,$CQ$3:$CQ$15)</f>
        <v/>
      </c>
      <c r="CR16" s="13">
        <f>SUMPRODUCT($F$3:$F$15,$CR$3:$CR$15)</f>
        <v/>
      </c>
      <c r="CS16" s="13">
        <f>SUMPRODUCT($F$3:$F$15,$CS$3:$CS$15)</f>
        <v/>
      </c>
      <c r="CT16" s="13">
        <f>SUMPRODUCT($F$3:$F$15,$CT$3:$CT$15)</f>
        <v/>
      </c>
      <c r="CU16" s="13">
        <f>SUMPRODUCT($F$3:$F$15,$CU$3:$CU$15)</f>
        <v/>
      </c>
      <c r="CV16" s="13">
        <f>SUMPRODUCT($F$3:$F$15,$CV$3:$CV$15)</f>
        <v/>
      </c>
      <c r="CW16" s="13">
        <f>SUMPRODUCT($F$3:$F$15,$CW$3:$CW$15)</f>
        <v/>
      </c>
      <c r="CX16" s="13">
        <f>SUMPRODUCT($F$3:$F$15,$CX$3:$CX$15)</f>
        <v/>
      </c>
      <c r="CY16" s="13">
        <f>SUMPRODUCT($F$3:$F$15,$CY$3:$CY$15)</f>
        <v/>
      </c>
      <c r="CZ16" s="13">
        <f>SUMPRODUCT($F$3:$F$15,$CZ$3:$CZ$15)</f>
        <v/>
      </c>
      <c r="DA16" s="13">
        <f>SUMPRODUCT($F$3:$F$15,$DA$3:$DA$15)</f>
        <v/>
      </c>
      <c r="DB16" s="13">
        <f>SUMPRODUCT($F$3:$F$15,$DB$3:$DB$15)</f>
        <v/>
      </c>
      <c r="DC16" s="13">
        <f>SUMPRODUCT($F$3:$F$15,$DC$3:$DC$15)</f>
        <v/>
      </c>
      <c r="DD16" s="13">
        <f>SUMPRODUCT($F$3:$F$15,$DD$3:$DD$15)</f>
        <v/>
      </c>
      <c r="DE16" s="13">
        <f>SUMPRODUCT($F$3:$F$15,$DE$3:$DE$15)</f>
        <v/>
      </c>
      <c r="DF16" s="13">
        <f>SUMPRODUCT($F$3:$F$15,$DF$3:$DF$15)</f>
        <v/>
      </c>
      <c r="DG16" s="13">
        <f>SUMPRODUCT($F$3:$F$15,$DG$3:$DG$15)</f>
        <v/>
      </c>
      <c r="DH16" s="13">
        <f>SUMPRODUCT($F$3:$F$15,$DH$3:$DH$15)</f>
        <v/>
      </c>
      <c r="DI16" s="13">
        <f>SUMPRODUCT($F$3:$F$15,$DI$3:$DI$15)</f>
        <v/>
      </c>
      <c r="DJ16" s="13">
        <f>SUMPRODUCT($F$3:$F$15,$DJ$3:$DJ$15)</f>
        <v/>
      </c>
      <c r="DK16" s="13">
        <f>SUMPRODUCT($F$3:$F$15,$DK$3:$DK$15)</f>
        <v/>
      </c>
      <c r="DL16" s="13">
        <f>SUMPRODUCT($F$3:$F$15,$DL$3:$DL$15)</f>
        <v/>
      </c>
      <c r="DM16" s="13">
        <f>SUMPRODUCT($F$3:$F$15,$DM$3:$DM$15)</f>
        <v/>
      </c>
      <c r="DN16" s="13">
        <f>SUMPRODUCT($F$3:$F$15,$DN$3:$DN$15)</f>
        <v/>
      </c>
      <c r="DO16" s="13">
        <f>SUMPRODUCT($F$3:$F$15,$DO$3:$DO$15)</f>
        <v/>
      </c>
      <c r="DP16" s="13">
        <f>SUMPRODUCT($F$3:$F$15,$DP$3:$DP$15)</f>
        <v/>
      </c>
      <c r="DQ16" s="13">
        <f>SUMPRODUCT($F$3:$F$15,$DQ$3:$DQ$15)</f>
        <v/>
      </c>
      <c r="DR16" s="13">
        <f>SUMPRODUCT($F$3:$F$15,$DR$3:$DR$15)</f>
        <v/>
      </c>
      <c r="DS16" s="13">
        <f>SUMPRODUCT($F$3:$F$15,$DS$3:$DS$15)</f>
        <v/>
      </c>
      <c r="DT16" s="13">
        <f>SUMPRODUCT($F$3:$F$15,$DT$3:$DT$15)</f>
        <v/>
      </c>
      <c r="DU16" s="13">
        <f>SUMPRODUCT($F$3:$F$15,$DU$3:$DU$15)</f>
        <v/>
      </c>
      <c r="DV16" s="13">
        <f>SUMPRODUCT($F$3:$F$15,$DV$3:$DV$15)</f>
        <v/>
      </c>
      <c r="DW16" s="13">
        <f>SUMPRODUCT($F$3:$F$15,$DW$3:$DW$15)</f>
        <v/>
      </c>
      <c r="DX16" s="13">
        <f>SUMPRODUCT($F$3:$F$15,$DX$3:$DX$15)</f>
        <v/>
      </c>
      <c r="DY16" s="13">
        <f>SUMPRODUCT($F$3:$F$15,$DY$3:$DY$15)</f>
        <v/>
      </c>
      <c r="DZ16" s="13">
        <f>SUMPRODUCT($F$3:$F$15,$DZ$3:$DZ$15)</f>
        <v/>
      </c>
      <c r="EA16" s="13">
        <f>SUMPRODUCT($F$3:$F$15,$EA$3:$EA$15)</f>
        <v/>
      </c>
      <c r="EB16" s="13">
        <f>SUMPRODUCT($F$3:$F$15,$EB$3:$EB$15)</f>
        <v/>
      </c>
      <c r="EC16" s="13">
        <f>SUMPRODUCT($F$3:$F$15,$EC$3:$EC$15)</f>
        <v/>
      </c>
      <c r="ED16" s="13">
        <f>SUMPRODUCT($F$3:$F$15,$ED$3:$ED$15)</f>
        <v/>
      </c>
      <c r="EE16" s="13">
        <f>SUMPRODUCT($F$3:$F$15,$EE$3:$EE$15)</f>
        <v/>
      </c>
      <c r="EF16" s="13">
        <f>SUMPRODUCT($F$3:$F$15,$EF$3:$EF$15)</f>
        <v/>
      </c>
      <c r="EG16" s="13">
        <f>SUMPRODUCT($F$3:$F$15,$EG$3:$EG$15)</f>
        <v/>
      </c>
      <c r="EH16" s="13">
        <f>SUMPRODUCT($F$3:$F$15,$EH$3:$EH$15)</f>
        <v/>
      </c>
      <c r="EI16" s="13">
        <f>SUMPRODUCT($F$3:$F$15,$EI$3:$EI$15)</f>
        <v/>
      </c>
      <c r="EJ16" s="13">
        <f>SUMPRODUCT($F$3:$F$15,$EJ$3:$EJ$15)</f>
        <v/>
      </c>
      <c r="EK16" s="13">
        <f>SUMPRODUCT($F$3:$F$15,$EK$3:$EK$15)</f>
        <v/>
      </c>
      <c r="EL16" s="13">
        <f>SUMPRODUCT($F$3:$F$15,$EL$3:$EL$15)</f>
        <v/>
      </c>
      <c r="EM16" s="13">
        <f>SUMPRODUCT($F$3:$F$15,$EM$3:$EM$15)</f>
        <v/>
      </c>
      <c r="EN16" s="13">
        <f>SUMPRODUCT($F$3:$F$15,$EN$3:$EN$15)</f>
        <v/>
      </c>
      <c r="EO16" s="13">
        <f>SUMPRODUCT($F$3:$F$15,$EO$3:$EO$15)</f>
        <v/>
      </c>
      <c r="EP16" s="13">
        <f>SUMPRODUCT($F$3:$F$15,$EP$3:$EP$15)</f>
        <v/>
      </c>
      <c r="EQ16" s="13">
        <f>SUMPRODUCT($F$3:$F$15,$EQ$3:$EQ$15)</f>
        <v/>
      </c>
      <c r="ER16" s="13">
        <f>SUMPRODUCT($F$3:$F$15,$ER$3:$ER$15)</f>
        <v/>
      </c>
      <c r="ES16" s="13">
        <f>SUMPRODUCT($F$3:$F$15,$ES$3:$ES$15)</f>
        <v/>
      </c>
      <c r="ET16" s="13">
        <f>SUMPRODUCT($F$3:$F$15,$ET$3:$ET$15)</f>
        <v/>
      </c>
      <c r="EU16" s="13">
        <f>SUMPRODUCT($F$3:$F$15,$EU$3:$EU$15)</f>
        <v/>
      </c>
      <c r="EV16" s="13">
        <f>SUMPRODUCT($F$3:$F$15,$EV$3:$EV$15)</f>
        <v/>
      </c>
      <c r="EW16" s="13">
        <f>SUMPRODUCT($F$3:$F$15,$EW$3:$EW$15)</f>
        <v/>
      </c>
      <c r="EX16" s="13">
        <f>SUMPRODUCT($F$3:$F$15,$EX$3:$EX$15)</f>
        <v/>
      </c>
      <c r="EY16" s="13">
        <f>SUMPRODUCT($F$3:$F$15,$EY$3:$EY$15)</f>
        <v/>
      </c>
      <c r="EZ16" s="13">
        <f>SUMPRODUCT($F$3:$F$15,$EZ$3:$EZ$15)</f>
        <v/>
      </c>
      <c r="FA16" s="13">
        <f>SUMPRODUCT($F$3:$F$15,$FA$3:$FA$15)</f>
        <v/>
      </c>
      <c r="FB16" s="13">
        <f>SUMPRODUCT($F$3:$F$15,$FB$3:$FB$15)</f>
        <v/>
      </c>
      <c r="FC16" s="13">
        <f>SUMPRODUCT($F$3:$F$15,$FC$3:$FC$15)</f>
        <v/>
      </c>
      <c r="FD16" s="13">
        <f>SUMPRODUCT($F$3:$F$15,$FD$3:$FD$15)</f>
        <v/>
      </c>
      <c r="FE16" s="13">
        <f>SUMPRODUCT($F$3:$F$15,$FE$3:$FE$15)</f>
        <v/>
      </c>
      <c r="FF16" s="13">
        <f>SUMPRODUCT($F$3:$F$15,$FF$3:$FF$15)</f>
        <v/>
      </c>
      <c r="FG16" s="13">
        <f>SUMPRODUCT($F$3:$F$15,$FG$3:$FG$15)</f>
        <v/>
      </c>
      <c r="FH16" s="13">
        <f>SUMPRODUCT($F$3:$F$15,$FH$3:$FH$15)</f>
        <v/>
      </c>
      <c r="FI16" s="13">
        <f>SUMPRODUCT($F$3:$F$15,$FI$3:$FI$15)</f>
        <v/>
      </c>
      <c r="FJ16" s="13">
        <f>SUMPRODUCT($F$3:$F$15,$FJ$3:$FJ$15)</f>
        <v/>
      </c>
      <c r="FK16" s="13">
        <f>SUMPRODUCT($F$3:$F$15,$FK$3:$FK$15)</f>
        <v/>
      </c>
      <c r="FL16" s="13">
        <f>SUMPRODUCT($F$3:$F$15,$FL$3:$FL$15)</f>
        <v/>
      </c>
      <c r="FM16" s="13">
        <f>SUMPRODUCT($F$3:$F$15,$FM$3:$FM$15)</f>
        <v/>
      </c>
      <c r="FN16" s="13">
        <f>SUMPRODUCT($F$3:$F$15,$FN$3:$FN$15)</f>
        <v/>
      </c>
      <c r="FO16" s="13">
        <f>SUMPRODUCT($F$3:$F$15,$FO$3:$FO$15)</f>
        <v/>
      </c>
      <c r="FP16" s="13">
        <f>SUMPRODUCT($F$3:$F$15,$FP$3:$FP$15)</f>
        <v/>
      </c>
      <c r="FQ16" s="13">
        <f>SUMPRODUCT($F$3:$F$15,$FQ$3:$FQ$15)</f>
        <v/>
      </c>
      <c r="FR16" s="13">
        <f>SUMPRODUCT($F$3:$F$15,$FR$3:$FR$15)</f>
        <v/>
      </c>
      <c r="FS16" s="13">
        <f>SUMPRODUCT($F$3:$F$15,$FS$3:$FS$15)</f>
        <v/>
      </c>
      <c r="FT16" s="13">
        <f>SUMPRODUCT($F$3:$F$15,$FT$3:$FT$15)</f>
        <v/>
      </c>
      <c r="FU16" s="13">
        <f>SUMPRODUCT($F$3:$F$15,$FU$3:$FU$15)</f>
        <v/>
      </c>
      <c r="FV16" s="13">
        <f>SUMPRODUCT($F$3:$F$15,$FV$3:$FV$15)</f>
        <v/>
      </c>
      <c r="FW16" s="13">
        <f>SUMPRODUCT($F$3:$F$15,$FW$3:$FW$15)</f>
        <v/>
      </c>
      <c r="FX16" s="13">
        <f>SUMPRODUCT($F$3:$F$15,$FX$3:$FX$15)</f>
        <v/>
      </c>
      <c r="FY16" s="13">
        <f>SUMPRODUCT($F$3:$F$15,$FY$3:$FY$15)</f>
        <v/>
      </c>
      <c r="FZ16" s="13">
        <f>SUMPRODUCT($F$3:$F$15,$FZ$3:$FZ$15)</f>
        <v/>
      </c>
      <c r="GA16" s="13">
        <f>SUMPRODUCT($F$3:$F$15,$GA$3:$GA$15)</f>
        <v/>
      </c>
      <c r="GB16" s="13">
        <f>SUMPRODUCT($F$3:$F$15,$GB$3:$GB$15)</f>
        <v/>
      </c>
      <c r="GC16" s="13">
        <f>SUMPRODUCT($F$3:$F$15,$GC$3:$GC$15)</f>
        <v/>
      </c>
      <c r="GD16" s="13">
        <f>SUMPRODUCT($F$3:$F$15,$GD$3:$GD$15)</f>
        <v/>
      </c>
      <c r="GE16" s="13">
        <f>SUMPRODUCT($F$3:$F$15,$GE$3:$GE$15)</f>
        <v/>
      </c>
      <c r="GF16" s="13">
        <f>SUMPRODUCT($F$3:$F$15,$GF$3:$GF$15)</f>
        <v/>
      </c>
      <c r="GG16" s="13">
        <f>SUMPRODUCT($F$3:$F$15,$GG$3:$GG$15)</f>
        <v/>
      </c>
      <c r="GH16" s="13">
        <f>SUMPRODUCT($F$3:$F$15,$GH$3:$GH$15)</f>
        <v/>
      </c>
      <c r="GI16" s="13">
        <f>SUMPRODUCT($F$3:$F$15,$GI$3:$GI$15)</f>
        <v/>
      </c>
      <c r="GJ16" s="13">
        <f>SUMPRODUCT($F$3:$F$15,$GJ$3:$GJ$15)</f>
        <v/>
      </c>
      <c r="GK16" s="13">
        <f>SUMPRODUCT($F$3:$F$15,$GK$3:$GK$15)</f>
        <v/>
      </c>
      <c r="GL16" s="13">
        <f>SUMPRODUCT($F$3:$F$15,$GL$3:$GL$15)</f>
        <v/>
      </c>
      <c r="GM16" s="13">
        <f>SUMPRODUCT($F$3:$F$15,$GM$3:$GM$15)</f>
        <v/>
      </c>
      <c r="GN16" s="13">
        <f>SUMPRODUCT($F$3:$F$15,$GN$3:$GN$15)</f>
        <v/>
      </c>
      <c r="GO16" s="13">
        <f>SUMPRODUCT($F$3:$F$15,$GO$3:$GO$15)</f>
        <v/>
      </c>
      <c r="GP16" s="13">
        <f>SUMPRODUCT($F$3:$F$15,$GP$3:$GP$15)</f>
        <v/>
      </c>
      <c r="GQ16" s="13">
        <f>SUMPRODUCT($F$3:$F$15,$GQ$3:$GQ$15)</f>
        <v/>
      </c>
      <c r="GR16" s="13">
        <f>SUMPRODUCT($F$3:$F$15,$GR$3:$GR$15)</f>
        <v/>
      </c>
      <c r="GS16" s="13">
        <f>SUMPRODUCT($F$3:$F$15,$GS$3:$GS$15)</f>
        <v/>
      </c>
      <c r="GT16" s="13">
        <f>SUMPRODUCT($F$3:$F$15,$GT$3:$GT$15)</f>
        <v/>
      </c>
      <c r="GU16" s="13">
        <f>SUMPRODUCT($F$3:$F$15,$GU$3:$GU$15)</f>
        <v/>
      </c>
      <c r="GV16" s="13">
        <f>SUMPRODUCT($F$3:$F$15,$GV$3:$GV$15)</f>
        <v/>
      </c>
      <c r="GW16" s="13">
        <f>SUMPRODUCT($F$3:$F$15,$GW$3:$GW$15)</f>
        <v/>
      </c>
    </row>
  </sheetData>
  <mergeCells count="11">
    <mergeCell ref="Q1:Y1"/>
    <mergeCell ref="Z1:AK1"/>
    <mergeCell ref="CM1:FM1"/>
    <mergeCell ref="GT1:GW1"/>
    <mergeCell ref="A1:F1"/>
    <mergeCell ref="GL1:GP1"/>
    <mergeCell ref="FN1:GJ1"/>
    <mergeCell ref="G1:P1"/>
    <mergeCell ref="AL1:CL1"/>
    <mergeCell ref="GK1"/>
    <mergeCell ref="GQ1:GS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0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Nutriente</t>
        </is>
      </c>
      <c r="B1" s="8" t="inlineStr">
        <is>
          <t>Total</t>
        </is>
      </c>
      <c r="C1" s="8" t="inlineStr">
        <is>
          <t>Unidad</t>
        </is>
      </c>
    </row>
    <row r="2">
      <c r="A2" t="inlineStr">
        <is>
          <t>Water</t>
        </is>
      </c>
      <c r="B2">
        <f>Ingredientes!G16</f>
        <v/>
      </c>
      <c r="C2" t="inlineStr">
        <is>
          <t>g</t>
        </is>
      </c>
    </row>
    <row r="3">
      <c r="A3" t="inlineStr">
        <is>
          <t>Energy (Atwater General Factors)</t>
        </is>
      </c>
      <c r="B3">
        <f>Ingredientes!H16</f>
        <v/>
      </c>
      <c r="C3" t="inlineStr">
        <is>
          <t>kcal</t>
        </is>
      </c>
    </row>
    <row r="4">
      <c r="A4" t="inlineStr">
        <is>
          <t>Energy (Atwater Specific Factors)</t>
        </is>
      </c>
      <c r="B4">
        <f>Ingredientes!I16</f>
        <v/>
      </c>
      <c r="C4" t="inlineStr">
        <is>
          <t>kcal</t>
        </is>
      </c>
    </row>
    <row r="5">
      <c r="A5" t="inlineStr">
        <is>
          <t>Energy</t>
        </is>
      </c>
      <c r="B5">
        <f>Ingredientes!J16</f>
        <v/>
      </c>
      <c r="C5" t="inlineStr">
        <is>
          <t>kcal</t>
        </is>
      </c>
    </row>
    <row r="6">
      <c r="A6" t="inlineStr">
        <is>
          <t>Energy</t>
        </is>
      </c>
      <c r="B6">
        <f>Ingredientes!K16</f>
        <v/>
      </c>
      <c r="C6" t="inlineStr">
        <is>
          <t>kJ</t>
        </is>
      </c>
    </row>
    <row r="7">
      <c r="A7" t="inlineStr">
        <is>
          <t>Nitrogen</t>
        </is>
      </c>
      <c r="B7">
        <f>Ingredientes!L16</f>
        <v/>
      </c>
      <c r="C7" t="inlineStr">
        <is>
          <t>g</t>
        </is>
      </c>
    </row>
    <row r="8">
      <c r="A8" t="inlineStr">
        <is>
          <t>Protein</t>
        </is>
      </c>
      <c r="B8">
        <f>Ingredientes!M16</f>
        <v/>
      </c>
      <c r="C8" t="inlineStr">
        <is>
          <t>g</t>
        </is>
      </c>
    </row>
    <row r="9">
      <c r="A9" t="inlineStr">
        <is>
          <t>Total fat (NLEA)</t>
        </is>
      </c>
      <c r="B9">
        <f>Ingredientes!N16</f>
        <v/>
      </c>
      <c r="C9" t="inlineStr">
        <is>
          <t>g</t>
        </is>
      </c>
    </row>
    <row r="10">
      <c r="A10" t="inlineStr">
        <is>
          <t>Total lipid (fat)</t>
        </is>
      </c>
      <c r="B10">
        <f>Ingredientes!O16</f>
        <v/>
      </c>
      <c r="C10" t="inlineStr">
        <is>
          <t>g</t>
        </is>
      </c>
    </row>
    <row r="11">
      <c r="A11" t="inlineStr">
        <is>
          <t>Ash</t>
        </is>
      </c>
      <c r="B11">
        <f>Ingredientes!P16</f>
        <v/>
      </c>
      <c r="C11" t="inlineStr">
        <is>
          <t>g</t>
        </is>
      </c>
    </row>
    <row r="12">
      <c r="A12" t="inlineStr">
        <is>
          <t>Carbohydrate, by difference</t>
        </is>
      </c>
      <c r="B12">
        <f>Ingredientes!Q16</f>
        <v/>
      </c>
      <c r="C12" t="inlineStr">
        <is>
          <t>g</t>
        </is>
      </c>
    </row>
    <row r="13">
      <c r="A13" t="inlineStr">
        <is>
          <t>Fiber, total dietary</t>
        </is>
      </c>
      <c r="B13">
        <f>Ingredientes!R16</f>
        <v/>
      </c>
      <c r="C13" t="inlineStr">
        <is>
          <t>g</t>
        </is>
      </c>
    </row>
    <row r="14">
      <c r="A14" t="inlineStr">
        <is>
          <t>Sugars, Total</t>
        </is>
      </c>
      <c r="B14">
        <f>Ingredientes!S16</f>
        <v/>
      </c>
      <c r="C14" t="inlineStr">
        <is>
          <t>g</t>
        </is>
      </c>
    </row>
    <row r="15">
      <c r="A15" t="inlineStr">
        <is>
          <t>Sucrose</t>
        </is>
      </c>
      <c r="B15">
        <f>Ingredientes!T16</f>
        <v/>
      </c>
      <c r="C15" t="inlineStr">
        <is>
          <t>g</t>
        </is>
      </c>
    </row>
    <row r="16">
      <c r="A16" t="inlineStr">
        <is>
          <t>Glucose</t>
        </is>
      </c>
      <c r="B16">
        <f>Ingredientes!U16</f>
        <v/>
      </c>
      <c r="C16" t="inlineStr">
        <is>
          <t>g</t>
        </is>
      </c>
    </row>
    <row r="17">
      <c r="A17" t="inlineStr">
        <is>
          <t>Fructose</t>
        </is>
      </c>
      <c r="B17">
        <f>Ingredientes!V16</f>
        <v/>
      </c>
      <c r="C17" t="inlineStr">
        <is>
          <t>g</t>
        </is>
      </c>
    </row>
    <row r="18">
      <c r="A18" t="inlineStr">
        <is>
          <t>Lactose</t>
        </is>
      </c>
      <c r="B18">
        <f>Ingredientes!W16</f>
        <v/>
      </c>
      <c r="C18" t="inlineStr">
        <is>
          <t>g</t>
        </is>
      </c>
    </row>
    <row r="19">
      <c r="A19" t="inlineStr">
        <is>
          <t>Maltose</t>
        </is>
      </c>
      <c r="B19">
        <f>Ingredientes!X16</f>
        <v/>
      </c>
      <c r="C19" t="inlineStr">
        <is>
          <t>g</t>
        </is>
      </c>
    </row>
    <row r="20">
      <c r="A20" t="inlineStr">
        <is>
          <t>Galactose</t>
        </is>
      </c>
      <c r="B20">
        <f>Ingredientes!Y16</f>
        <v/>
      </c>
      <c r="C20" t="inlineStr">
        <is>
          <t>g</t>
        </is>
      </c>
    </row>
    <row r="21">
      <c r="A21" t="inlineStr">
        <is>
          <t>Calcium, Ca</t>
        </is>
      </c>
      <c r="B21">
        <f>Ingredientes!Z16</f>
        <v/>
      </c>
      <c r="C21" t="inlineStr">
        <is>
          <t>mg</t>
        </is>
      </c>
    </row>
    <row r="22">
      <c r="A22" t="inlineStr">
        <is>
          <t>Iron, Fe</t>
        </is>
      </c>
      <c r="B22">
        <f>Ingredientes!AA16</f>
        <v/>
      </c>
      <c r="C22" t="inlineStr">
        <is>
          <t>mg</t>
        </is>
      </c>
    </row>
    <row r="23">
      <c r="A23" t="inlineStr">
        <is>
          <t>Magnesium, Mg</t>
        </is>
      </c>
      <c r="B23">
        <f>Ingredientes!AB16</f>
        <v/>
      </c>
      <c r="C23" t="inlineStr">
        <is>
          <t>mg</t>
        </is>
      </c>
    </row>
    <row r="24">
      <c r="A24" t="inlineStr">
        <is>
          <t>Phosphorus, P</t>
        </is>
      </c>
      <c r="B24">
        <f>Ingredientes!AC16</f>
        <v/>
      </c>
      <c r="C24" t="inlineStr">
        <is>
          <t>mg</t>
        </is>
      </c>
    </row>
    <row r="25">
      <c r="A25" t="inlineStr">
        <is>
          <t>Potassium, K</t>
        </is>
      </c>
      <c r="B25">
        <f>Ingredientes!AD16</f>
        <v/>
      </c>
      <c r="C25" t="inlineStr">
        <is>
          <t>mg</t>
        </is>
      </c>
    </row>
    <row r="26">
      <c r="A26" t="inlineStr">
        <is>
          <t>Sodium, Na</t>
        </is>
      </c>
      <c r="B26">
        <f>Ingredientes!AE16</f>
        <v/>
      </c>
      <c r="C26" t="inlineStr">
        <is>
          <t>mg</t>
        </is>
      </c>
    </row>
    <row r="27">
      <c r="A27" t="inlineStr">
        <is>
          <t>Zinc, Zn</t>
        </is>
      </c>
      <c r="B27">
        <f>Ingredientes!AF16</f>
        <v/>
      </c>
      <c r="C27" t="inlineStr">
        <is>
          <t>mg</t>
        </is>
      </c>
    </row>
    <row r="28">
      <c r="A28" t="inlineStr">
        <is>
          <t>Copper, Cu</t>
        </is>
      </c>
      <c r="B28">
        <f>Ingredientes!AG16</f>
        <v/>
      </c>
      <c r="C28" t="inlineStr">
        <is>
          <t>mg</t>
        </is>
      </c>
    </row>
    <row r="29">
      <c r="A29" t="inlineStr">
        <is>
          <t>Manganese, Mn</t>
        </is>
      </c>
      <c r="B29">
        <f>Ingredientes!AH16</f>
        <v/>
      </c>
      <c r="C29" t="inlineStr">
        <is>
          <t>mg</t>
        </is>
      </c>
    </row>
    <row r="30">
      <c r="A30" t="inlineStr">
        <is>
          <t>Iodine, I</t>
        </is>
      </c>
      <c r="B30">
        <f>Ingredientes!AI16</f>
        <v/>
      </c>
      <c r="C30" t="inlineStr">
        <is>
          <t>µg</t>
        </is>
      </c>
    </row>
    <row r="31">
      <c r="A31" t="inlineStr">
        <is>
          <t>Selenium, Se</t>
        </is>
      </c>
      <c r="B31">
        <f>Ingredientes!AJ16</f>
        <v/>
      </c>
      <c r="C31" t="inlineStr">
        <is>
          <t>µg</t>
        </is>
      </c>
    </row>
    <row r="32">
      <c r="A32" t="inlineStr">
        <is>
          <t>Molybdenum, Mo</t>
        </is>
      </c>
      <c r="B32">
        <f>Ingredientes!AK16</f>
        <v/>
      </c>
      <c r="C32" t="inlineStr">
        <is>
          <t>µg</t>
        </is>
      </c>
    </row>
    <row r="33">
      <c r="A33" t="inlineStr">
        <is>
          <t>Vitamin C, total ascorbic acid</t>
        </is>
      </c>
      <c r="B33">
        <f>Ingredientes!AL16</f>
        <v/>
      </c>
      <c r="C33" t="inlineStr">
        <is>
          <t>mg</t>
        </is>
      </c>
    </row>
    <row r="34">
      <c r="A34" t="inlineStr">
        <is>
          <t>Thiamin</t>
        </is>
      </c>
      <c r="B34">
        <f>Ingredientes!AM16</f>
        <v/>
      </c>
      <c r="C34" t="inlineStr">
        <is>
          <t>mg</t>
        </is>
      </c>
    </row>
    <row r="35">
      <c r="A35" t="inlineStr">
        <is>
          <t>Riboflavin</t>
        </is>
      </c>
      <c r="B35">
        <f>Ingredientes!AN16</f>
        <v/>
      </c>
      <c r="C35" t="inlineStr">
        <is>
          <t>mg</t>
        </is>
      </c>
    </row>
    <row r="36">
      <c r="A36" t="inlineStr">
        <is>
          <t>Niacin</t>
        </is>
      </c>
      <c r="B36">
        <f>Ingredientes!AO16</f>
        <v/>
      </c>
      <c r="C36" t="inlineStr">
        <is>
          <t>mg</t>
        </is>
      </c>
    </row>
    <row r="37">
      <c r="A37" t="inlineStr">
        <is>
          <t>Pantothenic acid</t>
        </is>
      </c>
      <c r="B37">
        <f>Ingredientes!AP16</f>
        <v/>
      </c>
      <c r="C37" t="inlineStr">
        <is>
          <t>mg</t>
        </is>
      </c>
    </row>
    <row r="38">
      <c r="A38" t="inlineStr">
        <is>
          <t>Vitamin B-6</t>
        </is>
      </c>
      <c r="B38">
        <f>Ingredientes!AQ16</f>
        <v/>
      </c>
      <c r="C38" t="inlineStr">
        <is>
          <t>mg</t>
        </is>
      </c>
    </row>
    <row r="39">
      <c r="A39" t="inlineStr">
        <is>
          <t>Biotin</t>
        </is>
      </c>
      <c r="B39">
        <f>Ingredientes!AR16</f>
        <v/>
      </c>
      <c r="C39" t="inlineStr">
        <is>
          <t>µg</t>
        </is>
      </c>
    </row>
    <row r="40">
      <c r="A40" t="inlineStr">
        <is>
          <t>Folate, total</t>
        </is>
      </c>
      <c r="B40">
        <f>Ingredientes!AS16</f>
        <v/>
      </c>
      <c r="C40" t="inlineStr">
        <is>
          <t>µg</t>
        </is>
      </c>
    </row>
    <row r="41">
      <c r="A41" t="inlineStr">
        <is>
          <t>Folic acid</t>
        </is>
      </c>
      <c r="B41">
        <f>Ingredientes!AT16</f>
        <v/>
      </c>
      <c r="C41" t="inlineStr">
        <is>
          <t>µg</t>
        </is>
      </c>
    </row>
    <row r="42">
      <c r="A42" t="inlineStr">
        <is>
          <t>Folate, food</t>
        </is>
      </c>
      <c r="B42">
        <f>Ingredientes!AU16</f>
        <v/>
      </c>
      <c r="C42" t="inlineStr">
        <is>
          <t>µg</t>
        </is>
      </c>
    </row>
    <row r="43">
      <c r="A43" t="inlineStr">
        <is>
          <t>Folate, DFE</t>
        </is>
      </c>
      <c r="B43">
        <f>Ingredientes!AV16</f>
        <v/>
      </c>
      <c r="C43" t="inlineStr">
        <is>
          <t>µg</t>
        </is>
      </c>
    </row>
    <row r="44">
      <c r="A44" t="inlineStr">
        <is>
          <t>Choline, total</t>
        </is>
      </c>
      <c r="B44">
        <f>Ingredientes!AW16</f>
        <v/>
      </c>
      <c r="C44" t="inlineStr">
        <is>
          <t>mg</t>
        </is>
      </c>
    </row>
    <row r="45">
      <c r="A45" t="inlineStr">
        <is>
          <t>Choline, free</t>
        </is>
      </c>
      <c r="B45">
        <f>Ingredientes!AX16</f>
        <v/>
      </c>
      <c r="C45" t="inlineStr">
        <is>
          <t>mg</t>
        </is>
      </c>
    </row>
    <row r="46">
      <c r="A46" t="inlineStr">
        <is>
          <t>Choline, from phosphocholine</t>
        </is>
      </c>
      <c r="B46">
        <f>Ingredientes!AY16</f>
        <v/>
      </c>
      <c r="C46" t="inlineStr">
        <is>
          <t>mg</t>
        </is>
      </c>
    </row>
    <row r="47">
      <c r="A47" t="inlineStr">
        <is>
          <t>Choline, from phosphotidyl choline</t>
        </is>
      </c>
      <c r="B47">
        <f>Ingredientes!AZ16</f>
        <v/>
      </c>
      <c r="C47" t="inlineStr">
        <is>
          <t>mg</t>
        </is>
      </c>
    </row>
    <row r="48">
      <c r="A48" t="inlineStr">
        <is>
          <t>Choline, from glycerophosphocholine</t>
        </is>
      </c>
      <c r="B48">
        <f>Ingredientes!BA16</f>
        <v/>
      </c>
      <c r="C48" t="inlineStr">
        <is>
          <t>mg</t>
        </is>
      </c>
    </row>
    <row r="49">
      <c r="A49" t="inlineStr">
        <is>
          <t>Choline, from sphingomyelin</t>
        </is>
      </c>
      <c r="B49">
        <f>Ingredientes!BB16</f>
        <v/>
      </c>
      <c r="C49" t="inlineStr">
        <is>
          <t>mg</t>
        </is>
      </c>
    </row>
    <row r="50">
      <c r="A50" t="inlineStr">
        <is>
          <t>Betaine</t>
        </is>
      </c>
      <c r="B50">
        <f>Ingredientes!BC16</f>
        <v/>
      </c>
      <c r="C50" t="inlineStr">
        <is>
          <t>mg</t>
        </is>
      </c>
    </row>
    <row r="51">
      <c r="A51" t="inlineStr">
        <is>
          <t>Vitamin B-12</t>
        </is>
      </c>
      <c r="B51">
        <f>Ingredientes!BD16</f>
        <v/>
      </c>
      <c r="C51" t="inlineStr">
        <is>
          <t>µg</t>
        </is>
      </c>
    </row>
    <row r="52">
      <c r="A52" t="inlineStr">
        <is>
          <t>Vitamin B-12, added</t>
        </is>
      </c>
      <c r="B52">
        <f>Ingredientes!BE16</f>
        <v/>
      </c>
      <c r="C52" t="inlineStr">
        <is>
          <t>µg</t>
        </is>
      </c>
    </row>
    <row r="53">
      <c r="A53" t="inlineStr">
        <is>
          <t>Vitamin A, RAE</t>
        </is>
      </c>
      <c r="B53">
        <f>Ingredientes!BF16</f>
        <v/>
      </c>
      <c r="C53" t="inlineStr">
        <is>
          <t>µg</t>
        </is>
      </c>
    </row>
    <row r="54">
      <c r="A54" t="inlineStr">
        <is>
          <t>Retinol</t>
        </is>
      </c>
      <c r="B54">
        <f>Ingredientes!BG16</f>
        <v/>
      </c>
      <c r="C54" t="inlineStr">
        <is>
          <t>µg</t>
        </is>
      </c>
    </row>
    <row r="55">
      <c r="A55" t="inlineStr">
        <is>
          <t>Carotene, beta</t>
        </is>
      </c>
      <c r="B55">
        <f>Ingredientes!BH16</f>
        <v/>
      </c>
      <c r="C55" t="inlineStr">
        <is>
          <t>µg</t>
        </is>
      </c>
    </row>
    <row r="56">
      <c r="A56" t="inlineStr">
        <is>
          <t>cis-beta-Carotene</t>
        </is>
      </c>
      <c r="B56">
        <f>Ingredientes!BI16</f>
        <v/>
      </c>
      <c r="C56" t="inlineStr">
        <is>
          <t>µg</t>
        </is>
      </c>
    </row>
    <row r="57">
      <c r="A57" t="inlineStr">
        <is>
          <t>trans-beta-Carotene</t>
        </is>
      </c>
      <c r="B57">
        <f>Ingredientes!BJ16</f>
        <v/>
      </c>
      <c r="C57" t="inlineStr">
        <is>
          <t>µg</t>
        </is>
      </c>
    </row>
    <row r="58">
      <c r="A58" t="inlineStr">
        <is>
          <t>Carotene, alpha</t>
        </is>
      </c>
      <c r="B58">
        <f>Ingredientes!BK16</f>
        <v/>
      </c>
      <c r="C58" t="inlineStr">
        <is>
          <t>µg</t>
        </is>
      </c>
    </row>
    <row r="59">
      <c r="A59" t="inlineStr">
        <is>
          <t>Carotene, gamma</t>
        </is>
      </c>
      <c r="B59">
        <f>Ingredientes!BL16</f>
        <v/>
      </c>
      <c r="C59" t="inlineStr">
        <is>
          <t>µg</t>
        </is>
      </c>
    </row>
    <row r="60">
      <c r="A60" t="inlineStr">
        <is>
          <t>Cryptoxanthin, beta</t>
        </is>
      </c>
      <c r="B60">
        <f>Ingredientes!BM16</f>
        <v/>
      </c>
      <c r="C60" t="inlineStr">
        <is>
          <t>µg</t>
        </is>
      </c>
    </row>
    <row r="61">
      <c r="A61" t="inlineStr">
        <is>
          <t>Cryptoxanthin, alpha</t>
        </is>
      </c>
      <c r="B61">
        <f>Ingredientes!BN16</f>
        <v/>
      </c>
      <c r="C61" t="inlineStr">
        <is>
          <t>µg</t>
        </is>
      </c>
    </row>
    <row r="62">
      <c r="A62" t="inlineStr">
        <is>
          <t>Vitamin A, IU</t>
        </is>
      </c>
      <c r="B62">
        <f>Ingredientes!BO16</f>
        <v/>
      </c>
      <c r="C62" t="inlineStr">
        <is>
          <t>iu</t>
        </is>
      </c>
    </row>
    <row r="63">
      <c r="A63" t="inlineStr">
        <is>
          <t>Lycopene</t>
        </is>
      </c>
      <c r="B63">
        <f>Ingredientes!BP16</f>
        <v/>
      </c>
      <c r="C63" t="inlineStr">
        <is>
          <t>µg</t>
        </is>
      </c>
    </row>
    <row r="64">
      <c r="A64" t="inlineStr">
        <is>
          <t>cis-Lycopene</t>
        </is>
      </c>
      <c r="B64">
        <f>Ingredientes!BQ16</f>
        <v/>
      </c>
      <c r="C64" t="inlineStr">
        <is>
          <t>µg</t>
        </is>
      </c>
    </row>
    <row r="65">
      <c r="A65" t="inlineStr">
        <is>
          <t>trans-Lycopene</t>
        </is>
      </c>
      <c r="B65">
        <f>Ingredientes!BR16</f>
        <v/>
      </c>
      <c r="C65" t="inlineStr">
        <is>
          <t>µg</t>
        </is>
      </c>
    </row>
    <row r="66">
      <c r="A66" t="inlineStr">
        <is>
          <t>Lutein + zeaxanthin</t>
        </is>
      </c>
      <c r="B66">
        <f>Ingredientes!BS16</f>
        <v/>
      </c>
      <c r="C66" t="inlineStr">
        <is>
          <t>µg</t>
        </is>
      </c>
    </row>
    <row r="67">
      <c r="A67" t="inlineStr">
        <is>
          <t>cis-Lutein/Zeaxanthin</t>
        </is>
      </c>
      <c r="B67">
        <f>Ingredientes!BT16</f>
        <v/>
      </c>
      <c r="C67" t="inlineStr">
        <is>
          <t>µg</t>
        </is>
      </c>
    </row>
    <row r="68">
      <c r="A68" t="inlineStr">
        <is>
          <t>Lutein</t>
        </is>
      </c>
      <c r="B68">
        <f>Ingredientes!BU16</f>
        <v/>
      </c>
      <c r="C68" t="inlineStr">
        <is>
          <t>µg</t>
        </is>
      </c>
    </row>
    <row r="69">
      <c r="A69" t="inlineStr">
        <is>
          <t>Zeaxanthin</t>
        </is>
      </c>
      <c r="B69">
        <f>Ingredientes!BV16</f>
        <v/>
      </c>
      <c r="C69" t="inlineStr">
        <is>
          <t>µg</t>
        </is>
      </c>
    </row>
    <row r="70">
      <c r="A70" t="inlineStr">
        <is>
          <t>Vitamin E (alpha-tocopherol)</t>
        </is>
      </c>
      <c r="B70">
        <f>Ingredientes!BW16</f>
        <v/>
      </c>
      <c r="C70" t="inlineStr">
        <is>
          <t>mg</t>
        </is>
      </c>
    </row>
    <row r="71">
      <c r="A71" t="inlineStr">
        <is>
          <t>Vitamin E, added</t>
        </is>
      </c>
      <c r="B71">
        <f>Ingredientes!BX16</f>
        <v/>
      </c>
      <c r="C71" t="inlineStr">
        <is>
          <t>mg</t>
        </is>
      </c>
    </row>
    <row r="72">
      <c r="A72" t="inlineStr">
        <is>
          <t>Tocopherol, beta</t>
        </is>
      </c>
      <c r="B72">
        <f>Ingredientes!BY16</f>
        <v/>
      </c>
      <c r="C72" t="inlineStr">
        <is>
          <t>mg</t>
        </is>
      </c>
    </row>
    <row r="73">
      <c r="A73" t="inlineStr">
        <is>
          <t>Tocopherol, gamma</t>
        </is>
      </c>
      <c r="B73">
        <f>Ingredientes!BZ16</f>
        <v/>
      </c>
      <c r="C73" t="inlineStr">
        <is>
          <t>mg</t>
        </is>
      </c>
    </row>
    <row r="74">
      <c r="A74" t="inlineStr">
        <is>
          <t>Tocopherol, delta</t>
        </is>
      </c>
      <c r="B74">
        <f>Ingredientes!CA16</f>
        <v/>
      </c>
      <c r="C74" t="inlineStr">
        <is>
          <t>mg</t>
        </is>
      </c>
    </row>
    <row r="75">
      <c r="A75" t="inlineStr">
        <is>
          <t>Tocotrienol, alpha</t>
        </is>
      </c>
      <c r="B75">
        <f>Ingredientes!CB16</f>
        <v/>
      </c>
      <c r="C75" t="inlineStr">
        <is>
          <t>mg</t>
        </is>
      </c>
    </row>
    <row r="76">
      <c r="A76" t="inlineStr">
        <is>
          <t>Tocotrienol, beta</t>
        </is>
      </c>
      <c r="B76">
        <f>Ingredientes!CC16</f>
        <v/>
      </c>
      <c r="C76" t="inlineStr">
        <is>
          <t>mg</t>
        </is>
      </c>
    </row>
    <row r="77">
      <c r="A77" t="inlineStr">
        <is>
          <t>Tocotrienol, gamma</t>
        </is>
      </c>
      <c r="B77">
        <f>Ingredientes!CD16</f>
        <v/>
      </c>
      <c r="C77" t="inlineStr">
        <is>
          <t>mg</t>
        </is>
      </c>
    </row>
    <row r="78">
      <c r="A78" t="inlineStr">
        <is>
          <t>Tocotrienol, delta</t>
        </is>
      </c>
      <c r="B78">
        <f>Ingredientes!CE16</f>
        <v/>
      </c>
      <c r="C78" t="inlineStr">
        <is>
          <t>mg</t>
        </is>
      </c>
    </row>
    <row r="79">
      <c r="A79" t="inlineStr">
        <is>
          <t>Vitamin D (D2 + D3), International Units</t>
        </is>
      </c>
      <c r="B79">
        <f>Ingredientes!CF16</f>
        <v/>
      </c>
      <c r="C79" t="inlineStr">
        <is>
          <t>iu</t>
        </is>
      </c>
    </row>
    <row r="80">
      <c r="A80" t="inlineStr">
        <is>
          <t>Vitamin D (D2 + D3)</t>
        </is>
      </c>
      <c r="B80">
        <f>Ingredientes!CG16</f>
        <v/>
      </c>
      <c r="C80" t="inlineStr">
        <is>
          <t>µg</t>
        </is>
      </c>
    </row>
    <row r="81">
      <c r="A81" t="inlineStr">
        <is>
          <t>Vitamin D3 (cholecalciferol)</t>
        </is>
      </c>
      <c r="B81">
        <f>Ingredientes!CH16</f>
        <v/>
      </c>
      <c r="C81" t="inlineStr">
        <is>
          <t>µg</t>
        </is>
      </c>
    </row>
    <row r="82">
      <c r="A82" t="inlineStr">
        <is>
          <t>25-hydroxycholecalciferol</t>
        </is>
      </c>
      <c r="B82">
        <f>Ingredientes!CI16</f>
        <v/>
      </c>
      <c r="C82" t="inlineStr">
        <is>
          <t>µg</t>
        </is>
      </c>
    </row>
    <row r="83">
      <c r="A83" t="inlineStr">
        <is>
          <t>Vitamin K (phylloquinone)</t>
        </is>
      </c>
      <c r="B83">
        <f>Ingredientes!CJ16</f>
        <v/>
      </c>
      <c r="C83" t="inlineStr">
        <is>
          <t>µg</t>
        </is>
      </c>
    </row>
    <row r="84">
      <c r="A84" t="inlineStr">
        <is>
          <t>Vitamin K (Dihydrophylloquinone)</t>
        </is>
      </c>
      <c r="B84">
        <f>Ingredientes!CK16</f>
        <v/>
      </c>
      <c r="C84" t="inlineStr">
        <is>
          <t>µg</t>
        </is>
      </c>
    </row>
    <row r="85">
      <c r="A85" t="inlineStr">
        <is>
          <t>Vitamin K (Menaquinone-4)</t>
        </is>
      </c>
      <c r="B85">
        <f>Ingredientes!CL16</f>
        <v/>
      </c>
      <c r="C85" t="inlineStr">
        <is>
          <t>µg</t>
        </is>
      </c>
    </row>
    <row r="86">
      <c r="A86" t="inlineStr">
        <is>
          <t>Fatty acids, total saturated</t>
        </is>
      </c>
      <c r="B86">
        <f>Ingredientes!CM16</f>
        <v/>
      </c>
      <c r="C86" t="inlineStr">
        <is>
          <t>g</t>
        </is>
      </c>
    </row>
    <row r="87">
      <c r="A87" t="inlineStr">
        <is>
          <t>SFA 4:0</t>
        </is>
      </c>
      <c r="B87">
        <f>Ingredientes!CN16</f>
        <v/>
      </c>
      <c r="C87" t="inlineStr">
        <is>
          <t>g</t>
        </is>
      </c>
    </row>
    <row r="88">
      <c r="A88" t="inlineStr">
        <is>
          <t>SFA 5:0</t>
        </is>
      </c>
      <c r="B88">
        <f>Ingredientes!CO16</f>
        <v/>
      </c>
      <c r="C88" t="inlineStr">
        <is>
          <t>g</t>
        </is>
      </c>
    </row>
    <row r="89">
      <c r="A89" t="inlineStr">
        <is>
          <t>SFA 6:0</t>
        </is>
      </c>
      <c r="B89">
        <f>Ingredientes!CP16</f>
        <v/>
      </c>
      <c r="C89" t="inlineStr">
        <is>
          <t>g</t>
        </is>
      </c>
    </row>
    <row r="90">
      <c r="A90" t="inlineStr">
        <is>
          <t>SFA 7:0</t>
        </is>
      </c>
      <c r="B90">
        <f>Ingredientes!CQ16</f>
        <v/>
      </c>
      <c r="C90" t="inlineStr">
        <is>
          <t>g</t>
        </is>
      </c>
    </row>
    <row r="91">
      <c r="A91" t="inlineStr">
        <is>
          <t>SFA 8:0</t>
        </is>
      </c>
      <c r="B91">
        <f>Ingredientes!CR16</f>
        <v/>
      </c>
      <c r="C91" t="inlineStr">
        <is>
          <t>g</t>
        </is>
      </c>
    </row>
    <row r="92">
      <c r="A92" t="inlineStr">
        <is>
          <t>SFA 9:0</t>
        </is>
      </c>
      <c r="B92">
        <f>Ingredientes!CS16</f>
        <v/>
      </c>
      <c r="C92" t="inlineStr">
        <is>
          <t>g</t>
        </is>
      </c>
    </row>
    <row r="93">
      <c r="A93" t="inlineStr">
        <is>
          <t>SFA 10:0</t>
        </is>
      </c>
      <c r="B93">
        <f>Ingredientes!CT16</f>
        <v/>
      </c>
      <c r="C93" t="inlineStr">
        <is>
          <t>g</t>
        </is>
      </c>
    </row>
    <row r="94">
      <c r="A94" t="inlineStr">
        <is>
          <t>SFA 11:0</t>
        </is>
      </c>
      <c r="B94">
        <f>Ingredientes!CU16</f>
        <v/>
      </c>
      <c r="C94" t="inlineStr">
        <is>
          <t>g</t>
        </is>
      </c>
    </row>
    <row r="95">
      <c r="A95" t="inlineStr">
        <is>
          <t>SFA 12:0</t>
        </is>
      </c>
      <c r="B95">
        <f>Ingredientes!CV16</f>
        <v/>
      </c>
      <c r="C95" t="inlineStr">
        <is>
          <t>g</t>
        </is>
      </c>
    </row>
    <row r="96">
      <c r="A96" t="inlineStr">
        <is>
          <t>SFA 13:0</t>
        </is>
      </c>
      <c r="B96">
        <f>Ingredientes!CW16</f>
        <v/>
      </c>
      <c r="C96" t="inlineStr">
        <is>
          <t>g</t>
        </is>
      </c>
    </row>
    <row r="97">
      <c r="A97" t="inlineStr">
        <is>
          <t>SFA 14:0</t>
        </is>
      </c>
      <c r="B97">
        <f>Ingredientes!CX16</f>
        <v/>
      </c>
      <c r="C97" t="inlineStr">
        <is>
          <t>g</t>
        </is>
      </c>
    </row>
    <row r="98">
      <c r="A98" t="inlineStr">
        <is>
          <t>SFA 15:0</t>
        </is>
      </c>
      <c r="B98">
        <f>Ingredientes!CY16</f>
        <v/>
      </c>
      <c r="C98" t="inlineStr">
        <is>
          <t>g</t>
        </is>
      </c>
    </row>
    <row r="99">
      <c r="A99" t="inlineStr">
        <is>
          <t>SFA 16:0</t>
        </is>
      </c>
      <c r="B99">
        <f>Ingredientes!CZ16</f>
        <v/>
      </c>
      <c r="C99" t="inlineStr">
        <is>
          <t>g</t>
        </is>
      </c>
    </row>
    <row r="100">
      <c r="A100" t="inlineStr">
        <is>
          <t>SFA 17:0</t>
        </is>
      </c>
      <c r="B100">
        <f>Ingredientes!DA16</f>
        <v/>
      </c>
      <c r="C100" t="inlineStr">
        <is>
          <t>g</t>
        </is>
      </c>
    </row>
    <row r="101">
      <c r="A101" t="inlineStr">
        <is>
          <t>SFA 18:0</t>
        </is>
      </c>
      <c r="B101">
        <f>Ingredientes!DB16</f>
        <v/>
      </c>
      <c r="C101" t="inlineStr">
        <is>
          <t>g</t>
        </is>
      </c>
    </row>
    <row r="102">
      <c r="A102" t="inlineStr">
        <is>
          <t>SFA 20:0</t>
        </is>
      </c>
      <c r="B102">
        <f>Ingredientes!DC16</f>
        <v/>
      </c>
      <c r="C102" t="inlineStr">
        <is>
          <t>g</t>
        </is>
      </c>
    </row>
    <row r="103">
      <c r="A103" t="inlineStr">
        <is>
          <t>SFA 21:0</t>
        </is>
      </c>
      <c r="B103">
        <f>Ingredientes!DD16</f>
        <v/>
      </c>
      <c r="C103" t="inlineStr">
        <is>
          <t>g</t>
        </is>
      </c>
    </row>
    <row r="104">
      <c r="A104" t="inlineStr">
        <is>
          <t>SFA 22:0</t>
        </is>
      </c>
      <c r="B104">
        <f>Ingredientes!DE16</f>
        <v/>
      </c>
      <c r="C104" t="inlineStr">
        <is>
          <t>g</t>
        </is>
      </c>
    </row>
    <row r="105">
      <c r="A105" t="inlineStr">
        <is>
          <t>SFA 23:0</t>
        </is>
      </c>
      <c r="B105">
        <f>Ingredientes!DF16</f>
        <v/>
      </c>
      <c r="C105" t="inlineStr">
        <is>
          <t>g</t>
        </is>
      </c>
    </row>
    <row r="106">
      <c r="A106" t="inlineStr">
        <is>
          <t>SFA 24:0</t>
        </is>
      </c>
      <c r="B106">
        <f>Ingredientes!DG16</f>
        <v/>
      </c>
      <c r="C106" t="inlineStr">
        <is>
          <t>g</t>
        </is>
      </c>
    </row>
    <row r="107">
      <c r="A107" t="inlineStr">
        <is>
          <t>Fatty acids, total monounsaturated</t>
        </is>
      </c>
      <c r="B107">
        <f>Ingredientes!DH16</f>
        <v/>
      </c>
      <c r="C107" t="inlineStr">
        <is>
          <t>g</t>
        </is>
      </c>
    </row>
    <row r="108">
      <c r="A108" t="inlineStr">
        <is>
          <t>MUFA 12:1</t>
        </is>
      </c>
      <c r="B108">
        <f>Ingredientes!DI16</f>
        <v/>
      </c>
      <c r="C108" t="inlineStr">
        <is>
          <t>g</t>
        </is>
      </c>
    </row>
    <row r="109">
      <c r="A109" t="inlineStr">
        <is>
          <t>MUFA 14:1</t>
        </is>
      </c>
      <c r="B109">
        <f>Ingredientes!DJ16</f>
        <v/>
      </c>
      <c r="C109" t="inlineStr">
        <is>
          <t>g</t>
        </is>
      </c>
    </row>
    <row r="110">
      <c r="A110" t="inlineStr">
        <is>
          <t>MUFA 14:1 c</t>
        </is>
      </c>
      <c r="B110">
        <f>Ingredientes!DK16</f>
        <v/>
      </c>
      <c r="C110" t="inlineStr">
        <is>
          <t>g</t>
        </is>
      </c>
    </row>
    <row r="111">
      <c r="A111" t="inlineStr">
        <is>
          <t>MUFA 15:1</t>
        </is>
      </c>
      <c r="B111">
        <f>Ingredientes!DL16</f>
        <v/>
      </c>
      <c r="C111" t="inlineStr">
        <is>
          <t>g</t>
        </is>
      </c>
    </row>
    <row r="112">
      <c r="A112" t="inlineStr">
        <is>
          <t>MUFA 16:1</t>
        </is>
      </c>
      <c r="B112">
        <f>Ingredientes!DM16</f>
        <v/>
      </c>
      <c r="C112" t="inlineStr">
        <is>
          <t>g</t>
        </is>
      </c>
    </row>
    <row r="113">
      <c r="A113" t="inlineStr">
        <is>
          <t>MUFA 16:1 c</t>
        </is>
      </c>
      <c r="B113">
        <f>Ingredientes!DN16</f>
        <v/>
      </c>
      <c r="C113" t="inlineStr">
        <is>
          <t>g</t>
        </is>
      </c>
    </row>
    <row r="114">
      <c r="A114" t="inlineStr">
        <is>
          <t>MUFA 17:1</t>
        </is>
      </c>
      <c r="B114">
        <f>Ingredientes!DO16</f>
        <v/>
      </c>
      <c r="C114" t="inlineStr">
        <is>
          <t>g</t>
        </is>
      </c>
    </row>
    <row r="115">
      <c r="A115" t="inlineStr">
        <is>
          <t>MUFA 17:1 c</t>
        </is>
      </c>
      <c r="B115">
        <f>Ingredientes!DP16</f>
        <v/>
      </c>
      <c r="C115" t="inlineStr">
        <is>
          <t>g</t>
        </is>
      </c>
    </row>
    <row r="116">
      <c r="A116" t="inlineStr">
        <is>
          <t>MUFA 18:1</t>
        </is>
      </c>
      <c r="B116">
        <f>Ingredientes!DQ16</f>
        <v/>
      </c>
      <c r="C116" t="inlineStr">
        <is>
          <t>g</t>
        </is>
      </c>
    </row>
    <row r="117">
      <c r="A117" t="inlineStr">
        <is>
          <t>MUFA 18:1 c</t>
        </is>
      </c>
      <c r="B117">
        <f>Ingredientes!DR16</f>
        <v/>
      </c>
      <c r="C117" t="inlineStr">
        <is>
          <t>g</t>
        </is>
      </c>
    </row>
    <row r="118">
      <c r="A118" t="inlineStr">
        <is>
          <t>MUFA 20:1</t>
        </is>
      </c>
      <c r="B118">
        <f>Ingredientes!DS16</f>
        <v/>
      </c>
      <c r="C118" t="inlineStr">
        <is>
          <t>g</t>
        </is>
      </c>
    </row>
    <row r="119">
      <c r="A119" t="inlineStr">
        <is>
          <t>MUFA 20:1 c</t>
        </is>
      </c>
      <c r="B119">
        <f>Ingredientes!DT16</f>
        <v/>
      </c>
      <c r="C119" t="inlineStr">
        <is>
          <t>g</t>
        </is>
      </c>
    </row>
    <row r="120">
      <c r="A120" t="inlineStr">
        <is>
          <t>MUFA 22:1</t>
        </is>
      </c>
      <c r="B120">
        <f>Ingredientes!DU16</f>
        <v/>
      </c>
      <c r="C120" t="inlineStr">
        <is>
          <t>g</t>
        </is>
      </c>
    </row>
    <row r="121">
      <c r="A121" t="inlineStr">
        <is>
          <t>MUFA 22:1 c</t>
        </is>
      </c>
      <c r="B121">
        <f>Ingredientes!DV16</f>
        <v/>
      </c>
      <c r="C121" t="inlineStr">
        <is>
          <t>g</t>
        </is>
      </c>
    </row>
    <row r="122">
      <c r="A122" t="inlineStr">
        <is>
          <t>MUFA 22:1 n-9</t>
        </is>
      </c>
      <c r="B122">
        <f>Ingredientes!DW16</f>
        <v/>
      </c>
      <c r="C122" t="inlineStr">
        <is>
          <t>g</t>
        </is>
      </c>
    </row>
    <row r="123">
      <c r="A123" t="inlineStr">
        <is>
          <t>MUFA 22:1 n-11</t>
        </is>
      </c>
      <c r="B123">
        <f>Ingredientes!DX16</f>
        <v/>
      </c>
      <c r="C123" t="inlineStr">
        <is>
          <t>g</t>
        </is>
      </c>
    </row>
    <row r="124">
      <c r="A124" t="inlineStr">
        <is>
          <t>MUFA 24:1 c</t>
        </is>
      </c>
      <c r="B124">
        <f>Ingredientes!DY16</f>
        <v/>
      </c>
      <c r="C124" t="inlineStr">
        <is>
          <t>g</t>
        </is>
      </c>
    </row>
    <row r="125">
      <c r="A125" t="inlineStr">
        <is>
          <t>Fatty acids, total polyunsaturated</t>
        </is>
      </c>
      <c r="B125">
        <f>Ingredientes!DZ16</f>
        <v/>
      </c>
      <c r="C125" t="inlineStr">
        <is>
          <t>g</t>
        </is>
      </c>
    </row>
    <row r="126">
      <c r="A126" t="inlineStr">
        <is>
          <t>PUFA 18:2</t>
        </is>
      </c>
      <c r="B126">
        <f>Ingredientes!EA16</f>
        <v/>
      </c>
      <c r="C126" t="inlineStr">
        <is>
          <t>g</t>
        </is>
      </c>
    </row>
    <row r="127">
      <c r="A127" t="inlineStr">
        <is>
          <t>PUFA 18:2 c</t>
        </is>
      </c>
      <c r="B127">
        <f>Ingredientes!EB16</f>
        <v/>
      </c>
      <c r="C127" t="inlineStr">
        <is>
          <t>g</t>
        </is>
      </c>
    </row>
    <row r="128">
      <c r="A128" t="inlineStr">
        <is>
          <t>PUFA 18:2 n-6 c,c</t>
        </is>
      </c>
      <c r="B128">
        <f>Ingredientes!EC16</f>
        <v/>
      </c>
      <c r="C128" t="inlineStr">
        <is>
          <t>g</t>
        </is>
      </c>
    </row>
    <row r="129">
      <c r="A129" t="inlineStr">
        <is>
          <t>PUFA 18:2 CLAs</t>
        </is>
      </c>
      <c r="B129">
        <f>Ingredientes!ED16</f>
        <v/>
      </c>
      <c r="C129" t="inlineStr">
        <is>
          <t>g</t>
        </is>
      </c>
    </row>
    <row r="130">
      <c r="A130" t="inlineStr">
        <is>
          <t>PUFA 18:3</t>
        </is>
      </c>
      <c r="B130">
        <f>Ingredientes!EE16</f>
        <v/>
      </c>
      <c r="C130" t="inlineStr">
        <is>
          <t>g</t>
        </is>
      </c>
    </row>
    <row r="131">
      <c r="A131" t="inlineStr">
        <is>
          <t>PUFA 18:3 c</t>
        </is>
      </c>
      <c r="B131">
        <f>Ingredientes!EF16</f>
        <v/>
      </c>
      <c r="C131" t="inlineStr">
        <is>
          <t>g</t>
        </is>
      </c>
    </row>
    <row r="132">
      <c r="A132" t="inlineStr">
        <is>
          <t>PUFA 18:3 n-3 c,c,c (ALA)</t>
        </is>
      </c>
      <c r="B132">
        <f>Ingredientes!EG16</f>
        <v/>
      </c>
      <c r="C132" t="inlineStr">
        <is>
          <t>g</t>
        </is>
      </c>
    </row>
    <row r="133">
      <c r="A133" t="inlineStr">
        <is>
          <t>PUFA 18:3 n-6 c,c,c</t>
        </is>
      </c>
      <c r="B133">
        <f>Ingredientes!EH16</f>
        <v/>
      </c>
      <c r="C133" t="inlineStr">
        <is>
          <t>g</t>
        </is>
      </c>
    </row>
    <row r="134">
      <c r="A134" t="inlineStr">
        <is>
          <t>PUFA 18:4</t>
        </is>
      </c>
      <c r="B134">
        <f>Ingredientes!EI16</f>
        <v/>
      </c>
      <c r="C134" t="inlineStr">
        <is>
          <t>g</t>
        </is>
      </c>
    </row>
    <row r="135">
      <c r="A135" t="inlineStr">
        <is>
          <t>PUFA 20:2 c</t>
        </is>
      </c>
      <c r="B135">
        <f>Ingredientes!EJ16</f>
        <v/>
      </c>
      <c r="C135" t="inlineStr">
        <is>
          <t>g</t>
        </is>
      </c>
    </row>
    <row r="136">
      <c r="A136" t="inlineStr">
        <is>
          <t>PUFA 20:2 n-6 c,c</t>
        </is>
      </c>
      <c r="B136">
        <f>Ingredientes!EK16</f>
        <v/>
      </c>
      <c r="C136" t="inlineStr">
        <is>
          <t>g</t>
        </is>
      </c>
    </row>
    <row r="137">
      <c r="A137" t="inlineStr">
        <is>
          <t>PUFA 20:3 c</t>
        </is>
      </c>
      <c r="B137">
        <f>Ingredientes!EL16</f>
        <v/>
      </c>
      <c r="C137" t="inlineStr">
        <is>
          <t>g</t>
        </is>
      </c>
    </row>
    <row r="138">
      <c r="A138" t="inlineStr">
        <is>
          <t>PUFA 20:3 n-3</t>
        </is>
      </c>
      <c r="B138">
        <f>Ingredientes!EM16</f>
        <v/>
      </c>
      <c r="C138" t="inlineStr">
        <is>
          <t>g</t>
        </is>
      </c>
    </row>
    <row r="139">
      <c r="A139" t="inlineStr">
        <is>
          <t>PUFA 20:3 n-6</t>
        </is>
      </c>
      <c r="B139">
        <f>Ingredientes!EN16</f>
        <v/>
      </c>
      <c r="C139" t="inlineStr">
        <is>
          <t>g</t>
        </is>
      </c>
    </row>
    <row r="140">
      <c r="A140" t="inlineStr">
        <is>
          <t>PUFA 20:3 n-9</t>
        </is>
      </c>
      <c r="B140">
        <f>Ingredientes!EO16</f>
        <v/>
      </c>
      <c r="C140" t="inlineStr">
        <is>
          <t>g</t>
        </is>
      </c>
    </row>
    <row r="141">
      <c r="A141" t="inlineStr">
        <is>
          <t>PUFA 22:3</t>
        </is>
      </c>
      <c r="B141">
        <f>Ingredientes!EP16</f>
        <v/>
      </c>
      <c r="C141" t="inlineStr">
        <is>
          <t>g</t>
        </is>
      </c>
    </row>
    <row r="142">
      <c r="A142" t="inlineStr">
        <is>
          <t>PUFA 20:4</t>
        </is>
      </c>
      <c r="B142">
        <f>Ingredientes!EQ16</f>
        <v/>
      </c>
      <c r="C142" t="inlineStr">
        <is>
          <t>g</t>
        </is>
      </c>
    </row>
    <row r="143">
      <c r="A143" t="inlineStr">
        <is>
          <t>PUFA 20:4c</t>
        </is>
      </c>
      <c r="B143">
        <f>Ingredientes!ER16</f>
        <v/>
      </c>
      <c r="C143" t="inlineStr">
        <is>
          <t>g</t>
        </is>
      </c>
    </row>
    <row r="144">
      <c r="A144" t="inlineStr">
        <is>
          <t>PUFA 20:5c</t>
        </is>
      </c>
      <c r="B144">
        <f>Ingredientes!ES16</f>
        <v/>
      </c>
      <c r="C144" t="inlineStr">
        <is>
          <t>g</t>
        </is>
      </c>
    </row>
    <row r="145">
      <c r="A145" t="inlineStr">
        <is>
          <t>PUFA 20:5 n-3 (EPA)</t>
        </is>
      </c>
      <c r="B145">
        <f>Ingredientes!ET16</f>
        <v/>
      </c>
      <c r="C145" t="inlineStr">
        <is>
          <t>g</t>
        </is>
      </c>
    </row>
    <row r="146">
      <c r="A146" t="inlineStr">
        <is>
          <t>PUFA 22:2</t>
        </is>
      </c>
      <c r="B146">
        <f>Ingredientes!EU16</f>
        <v/>
      </c>
      <c r="C146" t="inlineStr">
        <is>
          <t>g</t>
        </is>
      </c>
    </row>
    <row r="147">
      <c r="A147" t="inlineStr">
        <is>
          <t>PUFA 22:5 c</t>
        </is>
      </c>
      <c r="B147">
        <f>Ingredientes!EV16</f>
        <v/>
      </c>
      <c r="C147" t="inlineStr">
        <is>
          <t>g</t>
        </is>
      </c>
    </row>
    <row r="148">
      <c r="A148" t="inlineStr">
        <is>
          <t>PUFA 22:4</t>
        </is>
      </c>
      <c r="B148">
        <f>Ingredientes!EW16</f>
        <v/>
      </c>
      <c r="C148" t="inlineStr">
        <is>
          <t>g</t>
        </is>
      </c>
    </row>
    <row r="149">
      <c r="A149" t="inlineStr">
        <is>
          <t>PUFA 22:5 n-3 (DPA)</t>
        </is>
      </c>
      <c r="B149">
        <f>Ingredientes!EX16</f>
        <v/>
      </c>
      <c r="C149" t="inlineStr">
        <is>
          <t>g</t>
        </is>
      </c>
    </row>
    <row r="150">
      <c r="A150" t="inlineStr">
        <is>
          <t>PUFA 22:6 c</t>
        </is>
      </c>
      <c r="B150">
        <f>Ingredientes!EY16</f>
        <v/>
      </c>
      <c r="C150" t="inlineStr">
        <is>
          <t>g</t>
        </is>
      </c>
    </row>
    <row r="151">
      <c r="A151" t="inlineStr">
        <is>
          <t>PUFA 22:6 n-3 (DHA)</t>
        </is>
      </c>
      <c r="B151">
        <f>Ingredientes!EZ16</f>
        <v/>
      </c>
      <c r="C151" t="inlineStr">
        <is>
          <t>g</t>
        </is>
      </c>
    </row>
    <row r="152">
      <c r="A152" t="inlineStr">
        <is>
          <t>Fatty acids, total trans</t>
        </is>
      </c>
      <c r="B152">
        <f>Ingredientes!FA16</f>
        <v/>
      </c>
      <c r="C152" t="inlineStr">
        <is>
          <t>g</t>
        </is>
      </c>
    </row>
    <row r="153">
      <c r="A153" t="inlineStr">
        <is>
          <t>Fatty acids, total trans-monoenoic</t>
        </is>
      </c>
      <c r="B153">
        <f>Ingredientes!FB16</f>
        <v/>
      </c>
      <c r="C153" t="inlineStr">
        <is>
          <t>g</t>
        </is>
      </c>
    </row>
    <row r="154">
      <c r="A154" t="inlineStr">
        <is>
          <t>TFA 14:1 t</t>
        </is>
      </c>
      <c r="B154">
        <f>Ingredientes!FC16</f>
        <v/>
      </c>
      <c r="C154" t="inlineStr">
        <is>
          <t>g</t>
        </is>
      </c>
    </row>
    <row r="155">
      <c r="A155" t="inlineStr">
        <is>
          <t>TFA 16:1 t</t>
        </is>
      </c>
      <c r="B155">
        <f>Ingredientes!FD16</f>
        <v/>
      </c>
      <c r="C155" t="inlineStr">
        <is>
          <t>g</t>
        </is>
      </c>
    </row>
    <row r="156">
      <c r="A156" t="inlineStr">
        <is>
          <t>TFA 18:1 t</t>
        </is>
      </c>
      <c r="B156">
        <f>Ingredientes!FE16</f>
        <v/>
      </c>
      <c r="C156" t="inlineStr">
        <is>
          <t>g</t>
        </is>
      </c>
    </row>
    <row r="157">
      <c r="A157" t="inlineStr">
        <is>
          <t>TFA 20:1 t</t>
        </is>
      </c>
      <c r="B157">
        <f>Ingredientes!FF16</f>
        <v/>
      </c>
      <c r="C157" t="inlineStr">
        <is>
          <t>g</t>
        </is>
      </c>
    </row>
    <row r="158">
      <c r="A158" t="inlineStr">
        <is>
          <t>TFA 22:1 t</t>
        </is>
      </c>
      <c r="B158">
        <f>Ingredientes!FG16</f>
        <v/>
      </c>
      <c r="C158" t="inlineStr">
        <is>
          <t>g</t>
        </is>
      </c>
    </row>
    <row r="159">
      <c r="A159" t="inlineStr">
        <is>
          <t>Fatty acids, total trans-dienoic</t>
        </is>
      </c>
      <c r="B159">
        <f>Ingredientes!FH16</f>
        <v/>
      </c>
      <c r="C159" t="inlineStr">
        <is>
          <t>g</t>
        </is>
      </c>
    </row>
    <row r="160">
      <c r="A160" t="inlineStr">
        <is>
          <t>TFA 18:2 t not further defined</t>
        </is>
      </c>
      <c r="B160">
        <f>Ingredientes!FI16</f>
        <v/>
      </c>
      <c r="C160" t="inlineStr">
        <is>
          <t>g</t>
        </is>
      </c>
    </row>
    <row r="161">
      <c r="A161" t="inlineStr">
        <is>
          <t>TFA 18:2 t</t>
        </is>
      </c>
      <c r="B161">
        <f>Ingredientes!FJ16</f>
        <v/>
      </c>
      <c r="C161" t="inlineStr">
        <is>
          <t>g</t>
        </is>
      </c>
    </row>
    <row r="162">
      <c r="A162" t="inlineStr">
        <is>
          <t>Fatty acids, total trans-polyenoic</t>
        </is>
      </c>
      <c r="B162">
        <f>Ingredientes!FK16</f>
        <v/>
      </c>
      <c r="C162" t="inlineStr">
        <is>
          <t>g</t>
        </is>
      </c>
    </row>
    <row r="163">
      <c r="A163" t="inlineStr">
        <is>
          <t>TFA 18:3 t</t>
        </is>
      </c>
      <c r="B163">
        <f>Ingredientes!FL16</f>
        <v/>
      </c>
      <c r="C163" t="inlineStr">
        <is>
          <t>g</t>
        </is>
      </c>
    </row>
    <row r="164">
      <c r="A164" t="inlineStr">
        <is>
          <t>Cholesterol</t>
        </is>
      </c>
      <c r="B164">
        <f>Ingredientes!FM16</f>
        <v/>
      </c>
      <c r="C164" t="inlineStr">
        <is>
          <t>mg</t>
        </is>
      </c>
    </row>
    <row r="165">
      <c r="A165" t="inlineStr">
        <is>
          <t>Tryptophan</t>
        </is>
      </c>
      <c r="B165">
        <f>Ingredientes!FN16</f>
        <v/>
      </c>
      <c r="C165" t="inlineStr">
        <is>
          <t>g</t>
        </is>
      </c>
    </row>
    <row r="166">
      <c r="A166" t="inlineStr">
        <is>
          <t>Threonine</t>
        </is>
      </c>
      <c r="B166">
        <f>Ingredientes!FO16</f>
        <v/>
      </c>
      <c r="C166" t="inlineStr">
        <is>
          <t>g</t>
        </is>
      </c>
    </row>
    <row r="167">
      <c r="A167" t="inlineStr">
        <is>
          <t>Isoleucine</t>
        </is>
      </c>
      <c r="B167">
        <f>Ingredientes!FP16</f>
        <v/>
      </c>
      <c r="C167" t="inlineStr">
        <is>
          <t>g</t>
        </is>
      </c>
    </row>
    <row r="168">
      <c r="A168" t="inlineStr">
        <is>
          <t>Leucine</t>
        </is>
      </c>
      <c r="B168">
        <f>Ingredientes!FQ16</f>
        <v/>
      </c>
      <c r="C168" t="inlineStr">
        <is>
          <t>g</t>
        </is>
      </c>
    </row>
    <row r="169">
      <c r="A169" t="inlineStr">
        <is>
          <t>Lysine</t>
        </is>
      </c>
      <c r="B169">
        <f>Ingredientes!FR16</f>
        <v/>
      </c>
      <c r="C169" t="inlineStr">
        <is>
          <t>g</t>
        </is>
      </c>
    </row>
    <row r="170">
      <c r="A170" t="inlineStr">
        <is>
          <t>Methionine</t>
        </is>
      </c>
      <c r="B170">
        <f>Ingredientes!FS16</f>
        <v/>
      </c>
      <c r="C170" t="inlineStr">
        <is>
          <t>g</t>
        </is>
      </c>
    </row>
    <row r="171">
      <c r="A171" t="inlineStr">
        <is>
          <t>Cystine</t>
        </is>
      </c>
      <c r="B171">
        <f>Ingredientes!FT16</f>
        <v/>
      </c>
      <c r="C171" t="inlineStr">
        <is>
          <t>g</t>
        </is>
      </c>
    </row>
    <row r="172">
      <c r="A172" t="inlineStr">
        <is>
          <t>Phenylalanine</t>
        </is>
      </c>
      <c r="B172">
        <f>Ingredientes!FU16</f>
        <v/>
      </c>
      <c r="C172" t="inlineStr">
        <is>
          <t>g</t>
        </is>
      </c>
    </row>
    <row r="173">
      <c r="A173" t="inlineStr">
        <is>
          <t>Tyrosine</t>
        </is>
      </c>
      <c r="B173">
        <f>Ingredientes!FV16</f>
        <v/>
      </c>
      <c r="C173" t="inlineStr">
        <is>
          <t>g</t>
        </is>
      </c>
    </row>
    <row r="174">
      <c r="A174" t="inlineStr">
        <is>
          <t>Valine</t>
        </is>
      </c>
      <c r="B174">
        <f>Ingredientes!FW16</f>
        <v/>
      </c>
      <c r="C174" t="inlineStr">
        <is>
          <t>g</t>
        </is>
      </c>
    </row>
    <row r="175">
      <c r="A175" t="inlineStr">
        <is>
          <t>Arginine</t>
        </is>
      </c>
      <c r="B175">
        <f>Ingredientes!FX16</f>
        <v/>
      </c>
      <c r="C175" t="inlineStr">
        <is>
          <t>g</t>
        </is>
      </c>
    </row>
    <row r="176">
      <c r="A176" t="inlineStr">
        <is>
          <t>Histidine</t>
        </is>
      </c>
      <c r="B176">
        <f>Ingredientes!FY16</f>
        <v/>
      </c>
      <c r="C176" t="inlineStr">
        <is>
          <t>g</t>
        </is>
      </c>
    </row>
    <row r="177">
      <c r="A177" t="inlineStr">
        <is>
          <t>Alanine</t>
        </is>
      </c>
      <c r="B177">
        <f>Ingredientes!FZ16</f>
        <v/>
      </c>
      <c r="C177" t="inlineStr">
        <is>
          <t>g</t>
        </is>
      </c>
    </row>
    <row r="178">
      <c r="A178" t="inlineStr">
        <is>
          <t>Aspartic acid</t>
        </is>
      </c>
      <c r="B178">
        <f>Ingredientes!GA16</f>
        <v/>
      </c>
      <c r="C178" t="inlineStr">
        <is>
          <t>g</t>
        </is>
      </c>
    </row>
    <row r="179">
      <c r="A179" t="inlineStr">
        <is>
          <t>Glutamic acid</t>
        </is>
      </c>
      <c r="B179">
        <f>Ingredientes!GB16</f>
        <v/>
      </c>
      <c r="C179" t="inlineStr">
        <is>
          <t>g</t>
        </is>
      </c>
    </row>
    <row r="180">
      <c r="A180" t="inlineStr">
        <is>
          <t>Glycine</t>
        </is>
      </c>
      <c r="B180">
        <f>Ingredientes!GC16</f>
        <v/>
      </c>
      <c r="C180" t="inlineStr">
        <is>
          <t>g</t>
        </is>
      </c>
    </row>
    <row r="181">
      <c r="A181" t="inlineStr">
        <is>
          <t>Proline</t>
        </is>
      </c>
      <c r="B181">
        <f>Ingredientes!GD16</f>
        <v/>
      </c>
      <c r="C181" t="inlineStr">
        <is>
          <t>g</t>
        </is>
      </c>
    </row>
    <row r="182">
      <c r="A182" t="inlineStr">
        <is>
          <t>Serine</t>
        </is>
      </c>
      <c r="B182">
        <f>Ingredientes!GE16</f>
        <v/>
      </c>
      <c r="C182" t="inlineStr">
        <is>
          <t>g</t>
        </is>
      </c>
    </row>
    <row r="183">
      <c r="A183" t="inlineStr">
        <is>
          <t>Hydroxyproline</t>
        </is>
      </c>
      <c r="B183">
        <f>Ingredientes!GF16</f>
        <v/>
      </c>
      <c r="C183" t="inlineStr">
        <is>
          <t>g</t>
        </is>
      </c>
    </row>
    <row r="184">
      <c r="A184" t="inlineStr">
        <is>
          <t>Cysteine</t>
        </is>
      </c>
      <c r="B184">
        <f>Ingredientes!GG16</f>
        <v/>
      </c>
      <c r="C184" t="inlineStr">
        <is>
          <t>g</t>
        </is>
      </c>
    </row>
    <row r="185">
      <c r="A185" t="inlineStr">
        <is>
          <t>Alcohol, ethyl</t>
        </is>
      </c>
      <c r="B185">
        <f>Ingredientes!GH16</f>
        <v/>
      </c>
      <c r="C185" t="inlineStr">
        <is>
          <t>g</t>
        </is>
      </c>
    </row>
    <row r="186">
      <c r="A186" t="inlineStr">
        <is>
          <t>Caffeine</t>
        </is>
      </c>
      <c r="B186">
        <f>Ingredientes!GI16</f>
        <v/>
      </c>
      <c r="C186" t="inlineStr">
        <is>
          <t>mg</t>
        </is>
      </c>
    </row>
    <row r="187">
      <c r="A187" t="inlineStr">
        <is>
          <t>Theobromine</t>
        </is>
      </c>
      <c r="B187">
        <f>Ingredientes!GJ16</f>
        <v/>
      </c>
      <c r="C187" t="inlineStr">
        <is>
          <t>mg</t>
        </is>
      </c>
    </row>
    <row r="188">
      <c r="A188" t="inlineStr">
        <is>
          <t>Vitamin D2 (ergocalciferol)</t>
        </is>
      </c>
      <c r="B188">
        <f>Ingredientes!GK16</f>
        <v/>
      </c>
      <c r="C188" t="inlineStr">
        <is>
          <t>µg</t>
        </is>
      </c>
    </row>
    <row r="189">
      <c r="A189" t="inlineStr">
        <is>
          <t>Daidzein</t>
        </is>
      </c>
      <c r="B189">
        <f>Ingredientes!GL16</f>
        <v/>
      </c>
      <c r="C189" t="inlineStr">
        <is>
          <t>mg</t>
        </is>
      </c>
    </row>
    <row r="190">
      <c r="A190" t="inlineStr">
        <is>
          <t>Genistein</t>
        </is>
      </c>
      <c r="B190">
        <f>Ingredientes!GM16</f>
        <v/>
      </c>
      <c r="C190" t="inlineStr">
        <is>
          <t>mg</t>
        </is>
      </c>
    </row>
    <row r="191">
      <c r="A191" t="inlineStr">
        <is>
          <t>Daidzin</t>
        </is>
      </c>
      <c r="B191">
        <f>Ingredientes!GN16</f>
        <v/>
      </c>
      <c r="C191" t="inlineStr">
        <is>
          <t>mg</t>
        </is>
      </c>
    </row>
    <row r="192">
      <c r="A192" t="inlineStr">
        <is>
          <t>Genistin</t>
        </is>
      </c>
      <c r="B192">
        <f>Ingredientes!GO16</f>
        <v/>
      </c>
      <c r="C192" t="inlineStr">
        <is>
          <t>mg</t>
        </is>
      </c>
    </row>
    <row r="193">
      <c r="A193" t="inlineStr">
        <is>
          <t>Glycitin</t>
        </is>
      </c>
      <c r="B193">
        <f>Ingredientes!GP16</f>
        <v/>
      </c>
      <c r="C193" t="inlineStr">
        <is>
          <t>mg</t>
        </is>
      </c>
    </row>
    <row r="194">
      <c r="A194" t="inlineStr">
        <is>
          <t>Raffinose</t>
        </is>
      </c>
      <c r="B194">
        <f>Ingredientes!GQ16</f>
        <v/>
      </c>
      <c r="C194" t="inlineStr">
        <is>
          <t>g</t>
        </is>
      </c>
    </row>
    <row r="195">
      <c r="A195" t="inlineStr">
        <is>
          <t>Stachyose</t>
        </is>
      </c>
      <c r="B195">
        <f>Ingredientes!GR16</f>
        <v/>
      </c>
      <c r="C195" t="inlineStr">
        <is>
          <t>g</t>
        </is>
      </c>
    </row>
    <row r="196">
      <c r="A196" t="inlineStr">
        <is>
          <t>Verbascose</t>
        </is>
      </c>
      <c r="B196">
        <f>Ingredientes!GS16</f>
        <v/>
      </c>
      <c r="C196" t="inlineStr">
        <is>
          <t>g</t>
        </is>
      </c>
    </row>
    <row r="197">
      <c r="A197" t="inlineStr">
        <is>
          <t>Citric acid</t>
        </is>
      </c>
      <c r="B197">
        <f>Ingredientes!GT16</f>
        <v/>
      </c>
      <c r="C197" t="inlineStr">
        <is>
          <t>mg</t>
        </is>
      </c>
    </row>
    <row r="198">
      <c r="A198" t="inlineStr">
        <is>
          <t>Malic acid</t>
        </is>
      </c>
      <c r="B198">
        <f>Ingredientes!GU16</f>
        <v/>
      </c>
      <c r="C198" t="inlineStr">
        <is>
          <t>mg</t>
        </is>
      </c>
    </row>
    <row r="199">
      <c r="A199" t="inlineStr">
        <is>
          <t>Oxalic acid</t>
        </is>
      </c>
      <c r="B199">
        <f>Ingredientes!GV16</f>
        <v/>
      </c>
      <c r="C199" t="inlineStr">
        <is>
          <t>mg</t>
        </is>
      </c>
    </row>
    <row r="200">
      <c r="A200" t="inlineStr">
        <is>
          <t>Quinic acid</t>
        </is>
      </c>
      <c r="B200">
        <f>Ingredientes!GW16</f>
        <v/>
      </c>
      <c r="C200" t="inlineStr">
        <is>
          <t>mg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2025-12-07T02:23:28Z</dcterms:created>
  <dcterms:modified xsi:type="dcterms:W3CDTF">2025-12-07T02:23:28Z</dcterms:modified>
</cp:coreProperties>
</file>