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gredientes" sheetId="1" state="visible" r:id="rId1"/>
    <sheet name="Tota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">
    <font>
      <name val="Calibri"/>
      <family val="2"/>
      <color theme="1"/>
      <sz val="11"/>
      <scheme val="minor"/>
    </font>
  </fonts>
  <fills count="9">
    <fill>
      <patternFill/>
    </fill>
    <fill>
      <patternFill patternType="gray125"/>
    </fill>
    <fill>
      <patternFill patternType="solid">
        <fgColor rgb="00DAEEF3"/>
      </patternFill>
    </fill>
    <fill>
      <patternFill patternType="solid">
        <fgColor rgb="00E6B8B7"/>
      </patternFill>
    </fill>
    <fill>
      <patternFill patternType="solid">
        <fgColor rgb="00C4D79B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4DFEC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164" fontId="0" fillId="0" borderId="0" pivotButton="0" quotePrefix="0" xfId="0"/>
    <xf numFmtId="10" fontId="0" fillId="0" borderId="0" pivotButton="0" quotePrefix="0" xfId="0"/>
    <xf numFmtId="164" fontId="0" fillId="5" borderId="0" pivotButton="0" quotePrefix="0" xfId="0"/>
    <xf numFmtId="10" fontId="0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Q81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14" customWidth="1" min="4" max="4"/>
    <col width="12" customWidth="1" min="5" max="5"/>
    <col width="12" customWidth="1" min="6" max="6"/>
  </cols>
  <sheetData>
    <row r="1">
      <c r="A1" s="1" t="inlineStr">
        <is>
          <t>Detalles de formulación</t>
        </is>
      </c>
      <c r="G1" s="2" t="inlineStr">
        <is>
          <t>Proximates</t>
        </is>
      </c>
      <c r="P1" s="3" t="inlineStr">
        <is>
          <t>Carbohydrates</t>
        </is>
      </c>
      <c r="AF1" s="4" t="inlineStr">
        <is>
          <t>Minerals</t>
        </is>
      </c>
      <c r="AS1" s="5" t="inlineStr">
        <is>
          <t>Vitamins and Other Components</t>
        </is>
      </c>
      <c r="CY1" s="6" t="inlineStr">
        <is>
          <t>Lipids</t>
        </is>
      </c>
      <c r="GC1" s="7" t="inlineStr">
        <is>
          <t>Amino acids</t>
        </is>
      </c>
      <c r="GV1" s="8" t="inlineStr">
        <is>
          <t>Phytosterols</t>
        </is>
      </c>
      <c r="HE1" s="8" t="inlineStr">
        <is>
          <t>Organic acids</t>
        </is>
      </c>
      <c r="HI1" s="8" t="inlineStr">
        <is>
          <t>Oligosaccharides</t>
        </is>
      </c>
      <c r="HL1" s="8" t="inlineStr">
        <is>
          <t>Isoflavones</t>
        </is>
      </c>
      <c r="HQ1" s="8" t="inlineStr">
        <is>
          <t>Nutrientes</t>
        </is>
      </c>
    </row>
    <row r="2">
      <c r="A2" s="8" t="inlineStr">
        <is>
          <t>FDC ID</t>
        </is>
      </c>
      <c r="B2" s="8" t="inlineStr">
        <is>
          <t>Ingrediente</t>
        </is>
      </c>
      <c r="C2" s="8" t="inlineStr">
        <is>
          <t>Marca / Origen</t>
        </is>
      </c>
      <c r="D2" s="8" t="inlineStr">
        <is>
          <t>Tipo de dato</t>
        </is>
      </c>
      <c r="E2" s="8" t="inlineStr">
        <is>
          <t>Cantidad (g)</t>
        </is>
      </c>
      <c r="F2" s="8" t="inlineStr">
        <is>
          <t>Cantidad (%)</t>
        </is>
      </c>
      <c r="G2" s="2" t="inlineStr">
        <is>
          <t>Water (g)</t>
        </is>
      </c>
      <c r="H2" s="2" t="inlineStr">
        <is>
          <t>Energy (kcal)</t>
        </is>
      </c>
      <c r="I2" s="2" t="inlineStr">
        <is>
          <t>Energy (kJ)</t>
        </is>
      </c>
      <c r="J2" s="2" t="inlineStr">
        <is>
          <t>Nitrogen (g)</t>
        </is>
      </c>
      <c r="K2" s="2" t="inlineStr">
        <is>
          <t>Protein (g)</t>
        </is>
      </c>
      <c r="L2" s="2" t="inlineStr">
        <is>
          <t>Total fat (NLEA) (g)</t>
        </is>
      </c>
      <c r="M2" s="2" t="inlineStr">
        <is>
          <t>Total lipid (fat) (g)</t>
        </is>
      </c>
      <c r="N2" s="2" t="inlineStr">
        <is>
          <t>Ash (g)</t>
        </is>
      </c>
      <c r="O2" s="2" t="inlineStr">
        <is>
          <t>Carbohydrate, by difference (g)</t>
        </is>
      </c>
      <c r="P2" s="3" t="inlineStr">
        <is>
          <t>Fiber, total dietary (g)</t>
        </is>
      </c>
      <c r="Q2" s="3" t="inlineStr">
        <is>
          <t>Fiber, soluble (g)</t>
        </is>
      </c>
      <c r="R2" s="3" t="inlineStr">
        <is>
          <t>Fiber, insoluble (g)</t>
        </is>
      </c>
      <c r="S2" s="3" t="inlineStr">
        <is>
          <t>Total dietary fiber (AOAC 2011.25) (g)</t>
        </is>
      </c>
      <c r="T2" s="3" t="inlineStr">
        <is>
          <t>High Molecular Weight Dietary Fiber (HMWDF) (g)</t>
        </is>
      </c>
      <c r="U2" s="3" t="inlineStr">
        <is>
          <t>Low Molecular Weight Dietary Fiber (LMWDF) (g)</t>
        </is>
      </c>
      <c r="V2" s="3" t="inlineStr">
        <is>
          <t>Sugars, Total (g)</t>
        </is>
      </c>
      <c r="W2" s="3" t="inlineStr">
        <is>
          <t>Sucrose (g)</t>
        </is>
      </c>
      <c r="X2" s="3" t="inlineStr">
        <is>
          <t>Glucose (g)</t>
        </is>
      </c>
      <c r="Y2" s="3" t="inlineStr">
        <is>
          <t>Fructose (g)</t>
        </is>
      </c>
      <c r="Z2" s="3" t="inlineStr">
        <is>
          <t>Lactose (g)</t>
        </is>
      </c>
      <c r="AA2" s="3" t="inlineStr">
        <is>
          <t>Maltose (g)</t>
        </is>
      </c>
      <c r="AB2" s="3" t="inlineStr">
        <is>
          <t>Galactose (g)</t>
        </is>
      </c>
      <c r="AC2" s="3" t="inlineStr">
        <is>
          <t>Starch (g)</t>
        </is>
      </c>
      <c r="AD2" s="3" t="inlineStr">
        <is>
          <t>Resistant starch (g)</t>
        </is>
      </c>
      <c r="AE2" s="3" t="inlineStr">
        <is>
          <t>Sugars, added (g)</t>
        </is>
      </c>
      <c r="AF2" s="4" t="inlineStr">
        <is>
          <t>Calcium, Ca (mg)</t>
        </is>
      </c>
      <c r="AG2" s="4" t="inlineStr">
        <is>
          <t>Iron, Fe (mg)</t>
        </is>
      </c>
      <c r="AH2" s="4" t="inlineStr">
        <is>
          <t>Magnesium, Mg (mg)</t>
        </is>
      </c>
      <c r="AI2" s="4" t="inlineStr">
        <is>
          <t>Phosphorus, P (mg)</t>
        </is>
      </c>
      <c r="AJ2" s="4" t="inlineStr">
        <is>
          <t>Potassium, K (mg)</t>
        </is>
      </c>
      <c r="AK2" s="4" t="inlineStr">
        <is>
          <t>Sodium, Na (mg)</t>
        </is>
      </c>
      <c r="AL2" s="4" t="inlineStr">
        <is>
          <t>Zinc, Zn (mg)</t>
        </is>
      </c>
      <c r="AM2" s="4" t="inlineStr">
        <is>
          <t>Copper, Cu (mg)</t>
        </is>
      </c>
      <c r="AN2" s="4" t="inlineStr">
        <is>
          <t>Manganese, Mn (mg)</t>
        </is>
      </c>
      <c r="AO2" s="4" t="inlineStr">
        <is>
          <t>Iodine, I (µg)</t>
        </is>
      </c>
      <c r="AP2" s="4" t="inlineStr">
        <is>
          <t>Selenium, Se (µg)</t>
        </is>
      </c>
      <c r="AQ2" s="4" t="inlineStr">
        <is>
          <t>Molybdenum, Mo (µg)</t>
        </is>
      </c>
      <c r="AR2" s="4" t="inlineStr">
        <is>
          <t>Fluoride, F (µg)</t>
        </is>
      </c>
      <c r="AS2" s="5" t="inlineStr">
        <is>
          <t>Folate, food (µg)</t>
        </is>
      </c>
      <c r="AT2" s="5" t="inlineStr">
        <is>
          <t>Thiamin (mg)</t>
        </is>
      </c>
      <c r="AU2" s="5" t="inlineStr">
        <is>
          <t>Riboflavin (mg)</t>
        </is>
      </c>
      <c r="AV2" s="5" t="inlineStr">
        <is>
          <t>Niacin (mg)</t>
        </is>
      </c>
      <c r="AW2" s="5" t="inlineStr">
        <is>
          <t>Vitamin B-6 (mg)</t>
        </is>
      </c>
      <c r="AX2" s="5" t="inlineStr">
        <is>
          <t>Folate, total (µg)</t>
        </is>
      </c>
      <c r="AY2" s="5" t="inlineStr">
        <is>
          <t>Folic acid (µg)</t>
        </is>
      </c>
      <c r="AZ2" s="5" t="inlineStr">
        <is>
          <t>Folate, DFE (µg)</t>
        </is>
      </c>
      <c r="BA2" s="5" t="inlineStr">
        <is>
          <t>Choline, total (mg)</t>
        </is>
      </c>
      <c r="BB2" s="5" t="inlineStr">
        <is>
          <t>Choline, free (mg)</t>
        </is>
      </c>
      <c r="BC2" s="5" t="inlineStr">
        <is>
          <t>Choline, from phosphocholine (mg)</t>
        </is>
      </c>
      <c r="BD2" s="5" t="inlineStr">
        <is>
          <t>Choline, from phosphatidyl choline (mg)</t>
        </is>
      </c>
      <c r="BE2" s="5" t="inlineStr">
        <is>
          <t>Choline, from glycerophosphocholine (mg)</t>
        </is>
      </c>
      <c r="BF2" s="5" t="inlineStr">
        <is>
          <t>Choline, from sphingomyelin (mg)</t>
        </is>
      </c>
      <c r="BG2" s="5" t="inlineStr">
        <is>
          <t>Betaine (mg)</t>
        </is>
      </c>
      <c r="BH2" s="5" t="inlineStr">
        <is>
          <t>Vitamin B-12 (µg)</t>
        </is>
      </c>
      <c r="BI2" s="5" t="inlineStr">
        <is>
          <t>Vitamin B-12, added (µg)</t>
        </is>
      </c>
      <c r="BJ2" s="5" t="inlineStr">
        <is>
          <t>Vitamin A, RAE (µg)</t>
        </is>
      </c>
      <c r="BK2" s="5" t="inlineStr">
        <is>
          <t>Retinol (µg)</t>
        </is>
      </c>
      <c r="BL2" s="5" t="inlineStr">
        <is>
          <t>Carotene, beta (µg)</t>
        </is>
      </c>
      <c r="BM2" s="5" t="inlineStr">
        <is>
          <t>cis-beta-Carotene (µg)</t>
        </is>
      </c>
      <c r="BN2" s="5" t="inlineStr">
        <is>
          <t>trans-beta-Carotene (µg)</t>
        </is>
      </c>
      <c r="BO2" s="5" t="inlineStr">
        <is>
          <t>Carotene, alpha (µg)</t>
        </is>
      </c>
      <c r="BP2" s="5" t="inlineStr">
        <is>
          <t>Carotene, gamma (µg)</t>
        </is>
      </c>
      <c r="BQ2" s="5" t="inlineStr">
        <is>
          <t>Cryptoxanthin, beta (µg)</t>
        </is>
      </c>
      <c r="BR2" s="5" t="inlineStr">
        <is>
          <t>Cryptoxanthin, alpha (µg)</t>
        </is>
      </c>
      <c r="BS2" s="5" t="inlineStr">
        <is>
          <t>Vitamin A, IU (iu)</t>
        </is>
      </c>
      <c r="BT2" s="5" t="inlineStr">
        <is>
          <t>Lycopene (µg)</t>
        </is>
      </c>
      <c r="BU2" s="5" t="inlineStr">
        <is>
          <t>cis-Lycopene (µg)</t>
        </is>
      </c>
      <c r="BV2" s="5" t="inlineStr">
        <is>
          <t>trans-Lycopene (µg)</t>
        </is>
      </c>
      <c r="BW2" s="5" t="inlineStr">
        <is>
          <t>Lutein + zeaxanthin (µg)</t>
        </is>
      </c>
      <c r="BX2" s="5" t="inlineStr">
        <is>
          <t>cis-Lutein/Zeaxanthin (µg)</t>
        </is>
      </c>
      <c r="BY2" s="5" t="inlineStr">
        <is>
          <t>Lutein (µg)</t>
        </is>
      </c>
      <c r="BZ2" s="5" t="inlineStr">
        <is>
          <t>Zeaxanthin (µg)</t>
        </is>
      </c>
      <c r="CA2" s="5" t="inlineStr">
        <is>
          <t>Phytoene (µg)</t>
        </is>
      </c>
      <c r="CB2" s="5" t="inlineStr">
        <is>
          <t>Phytofluene (µg)</t>
        </is>
      </c>
      <c r="CC2" s="5" t="inlineStr">
        <is>
          <t>Vitamin D (D2 + D3), International Units (iu)</t>
        </is>
      </c>
      <c r="CD2" s="5" t="inlineStr">
        <is>
          <t>Vitamin D (D2 + D3) (µg)</t>
        </is>
      </c>
      <c r="CE2" s="5" t="inlineStr">
        <is>
          <t>Vitamin D2 (ergocalciferol) (µg)</t>
        </is>
      </c>
      <c r="CF2" s="5" t="inlineStr">
        <is>
          <t>Vitamin D3 (cholecalciferol) (µg)</t>
        </is>
      </c>
      <c r="CG2" s="5" t="inlineStr">
        <is>
          <t>25-hydroxycholecalciferol (µg)</t>
        </is>
      </c>
      <c r="CH2" s="5" t="inlineStr">
        <is>
          <t>Vitamin K (phylloquinone) (µg)</t>
        </is>
      </c>
      <c r="CI2" s="5" t="inlineStr">
        <is>
          <t>Vitamin K (Dihydrophylloquinone) (µg)</t>
        </is>
      </c>
      <c r="CJ2" s="5" t="inlineStr">
        <is>
          <t>Vitamin K (Menaquinone-4) (µg)</t>
        </is>
      </c>
      <c r="CK2" s="5" t="inlineStr">
        <is>
          <t>Vitamin E (alpha-tocopherol) (mg)</t>
        </is>
      </c>
      <c r="CL2" s="5" t="inlineStr">
        <is>
          <t>Vitamin E, added (mg)</t>
        </is>
      </c>
      <c r="CM2" s="5" t="inlineStr">
        <is>
          <t>Tocopherol, beta (mg)</t>
        </is>
      </c>
      <c r="CN2" s="5" t="inlineStr">
        <is>
          <t>Tocopherol, gamma (mg)</t>
        </is>
      </c>
      <c r="CO2" s="5" t="inlineStr">
        <is>
          <t>Tocopherol, delta (mg)</t>
        </is>
      </c>
      <c r="CP2" s="5" t="inlineStr">
        <is>
          <t>Tocotrienol, alpha (mg)</t>
        </is>
      </c>
      <c r="CQ2" s="5" t="inlineStr">
        <is>
          <t>Tocotrienol, beta (mg)</t>
        </is>
      </c>
      <c r="CR2" s="5" t="inlineStr">
        <is>
          <t>Tocotrienol, gamma (mg)</t>
        </is>
      </c>
      <c r="CS2" s="5" t="inlineStr">
        <is>
          <t>Tocotrienol, delta (mg)</t>
        </is>
      </c>
      <c r="CT2" s="5" t="inlineStr">
        <is>
          <t>Vitamin C, total ascorbic acid (mg)</t>
        </is>
      </c>
      <c r="CU2" s="5" t="inlineStr">
        <is>
          <t>Pantothenic acid (mg)</t>
        </is>
      </c>
      <c r="CV2" s="5" t="inlineStr">
        <is>
          <t>Biotin (µg)</t>
        </is>
      </c>
      <c r="CW2" s="5" t="inlineStr">
        <is>
          <t>Caffeine (mg)</t>
        </is>
      </c>
      <c r="CX2" s="5" t="inlineStr">
        <is>
          <t>Theobromine (mg)</t>
        </is>
      </c>
      <c r="CY2" s="6" t="inlineStr">
        <is>
          <t>Fatty acids, total saturated (g)</t>
        </is>
      </c>
      <c r="CZ2" s="6" t="inlineStr">
        <is>
          <t>SFA 4:0 (g)</t>
        </is>
      </c>
      <c r="DA2" s="6" t="inlineStr">
        <is>
          <t>SFA 5:0 (g)</t>
        </is>
      </c>
      <c r="DB2" s="6" t="inlineStr">
        <is>
          <t>SFA 6:0 (g)</t>
        </is>
      </c>
      <c r="DC2" s="6" t="inlineStr">
        <is>
          <t>SFA 7:0 (g)</t>
        </is>
      </c>
      <c r="DD2" s="6" t="inlineStr">
        <is>
          <t>SFA 8:0 (g)</t>
        </is>
      </c>
      <c r="DE2" s="6" t="inlineStr">
        <is>
          <t>SFA 9:0 (g)</t>
        </is>
      </c>
      <c r="DF2" s="6" t="inlineStr">
        <is>
          <t>SFA 10:0 (g)</t>
        </is>
      </c>
      <c r="DG2" s="6" t="inlineStr">
        <is>
          <t>SFA 11:0 (g)</t>
        </is>
      </c>
      <c r="DH2" s="6" t="inlineStr">
        <is>
          <t>SFA 12:0 (g)</t>
        </is>
      </c>
      <c r="DI2" s="6" t="inlineStr">
        <is>
          <t>SFA 13:0 (g)</t>
        </is>
      </c>
      <c r="DJ2" s="6" t="inlineStr">
        <is>
          <t>SFA 14:0 (g)</t>
        </is>
      </c>
      <c r="DK2" s="6" t="inlineStr">
        <is>
          <t>SFA 15:0 (g)</t>
        </is>
      </c>
      <c r="DL2" s="6" t="inlineStr">
        <is>
          <t>SFA 16:0 (g)</t>
        </is>
      </c>
      <c r="DM2" s="6" t="inlineStr">
        <is>
          <t>SFA 17:0 (g)</t>
        </is>
      </c>
      <c r="DN2" s="6" t="inlineStr">
        <is>
          <t>SFA 18:0 (g)</t>
        </is>
      </c>
      <c r="DO2" s="6" t="inlineStr">
        <is>
          <t>SFA 20:0 (g)</t>
        </is>
      </c>
      <c r="DP2" s="6" t="inlineStr">
        <is>
          <t>SFA 21:0 (g)</t>
        </is>
      </c>
      <c r="DQ2" s="6" t="inlineStr">
        <is>
          <t>SFA 22:0 (g)</t>
        </is>
      </c>
      <c r="DR2" s="6" t="inlineStr">
        <is>
          <t>SFA 23:0 (g)</t>
        </is>
      </c>
      <c r="DS2" s="6" t="inlineStr">
        <is>
          <t>SFA 24:0 (g)</t>
        </is>
      </c>
      <c r="DT2" s="6" t="inlineStr">
        <is>
          <t>Fatty acids, total monounsaturated (g)</t>
        </is>
      </c>
      <c r="DU2" s="6" t="inlineStr">
        <is>
          <t>MUFA 12:1 (g)</t>
        </is>
      </c>
      <c r="DV2" s="6" t="inlineStr">
        <is>
          <t>MUFA 14:1 (g)</t>
        </is>
      </c>
      <c r="DW2" s="6" t="inlineStr">
        <is>
          <t>MUFA 14:1 c (g)</t>
        </is>
      </c>
      <c r="DX2" s="6" t="inlineStr">
        <is>
          <t>MUFA 15:1 (g)</t>
        </is>
      </c>
      <c r="DY2" s="6" t="inlineStr">
        <is>
          <t>MUFA 16:1 (g)</t>
        </is>
      </c>
      <c r="DZ2" s="6" t="inlineStr">
        <is>
          <t>MUFA 16:1 c (g)</t>
        </is>
      </c>
      <c r="EA2" s="6" t="inlineStr">
        <is>
          <t>MUFA 17:1 (g)</t>
        </is>
      </c>
      <c r="EB2" s="6" t="inlineStr">
        <is>
          <t>MUFA 17:1 c (g)</t>
        </is>
      </c>
      <c r="EC2" s="6" t="inlineStr">
        <is>
          <t>MUFA 18:1 (g)</t>
        </is>
      </c>
      <c r="ED2" s="6" t="inlineStr">
        <is>
          <t>MUFA 18:1 c (g)</t>
        </is>
      </c>
      <c r="EE2" s="6" t="inlineStr">
        <is>
          <t>MUFA 20:1 (g)</t>
        </is>
      </c>
      <c r="EF2" s="6" t="inlineStr">
        <is>
          <t>MUFA 20:1 c (g)</t>
        </is>
      </c>
      <c r="EG2" s="6" t="inlineStr">
        <is>
          <t>MUFA 22:1 (g)</t>
        </is>
      </c>
      <c r="EH2" s="6" t="inlineStr">
        <is>
          <t>MUFA 22:1 c (g)</t>
        </is>
      </c>
      <c r="EI2" s="6" t="inlineStr">
        <is>
          <t>MUFA 22:1 n-9 (g)</t>
        </is>
      </c>
      <c r="EJ2" s="6" t="inlineStr">
        <is>
          <t>MUFA 22:1 n-11 (g)</t>
        </is>
      </c>
      <c r="EK2" s="6" t="inlineStr">
        <is>
          <t>MUFA 24:1 c (g)</t>
        </is>
      </c>
      <c r="EL2" s="6" t="inlineStr">
        <is>
          <t>Fatty acids, total polyunsaturated (g)</t>
        </is>
      </c>
      <c r="EM2" s="6" t="inlineStr">
        <is>
          <t>PUFA 18:2 (g)</t>
        </is>
      </c>
      <c r="EN2" s="6" t="inlineStr">
        <is>
          <t>PUFA 18:2 c (g)</t>
        </is>
      </c>
      <c r="EO2" s="6" t="inlineStr">
        <is>
          <t>PUFA 18:2 n-6 c,c (g)</t>
        </is>
      </c>
      <c r="EP2" s="6" t="inlineStr">
        <is>
          <t>PUFA 18:2 CLAs (g)</t>
        </is>
      </c>
      <c r="EQ2" s="6" t="inlineStr">
        <is>
          <t>PUFA 18:2 i (g)</t>
        </is>
      </c>
      <c r="ER2" s="6" t="inlineStr">
        <is>
          <t>PUFA 18:3 (g)</t>
        </is>
      </c>
      <c r="ES2" s="6" t="inlineStr">
        <is>
          <t>PUFA 18:3 c (g)</t>
        </is>
      </c>
      <c r="ET2" s="6" t="inlineStr">
        <is>
          <t>PUFA 18:3 n-3 c,c,c (ALA) (g)</t>
        </is>
      </c>
      <c r="EU2" s="6" t="inlineStr">
        <is>
          <t>PUFA 18:3 n-6 c,c,c (g)</t>
        </is>
      </c>
      <c r="EV2" s="6" t="inlineStr">
        <is>
          <t>PUFA 18:4 (g)</t>
        </is>
      </c>
      <c r="EW2" s="6" t="inlineStr">
        <is>
          <t>PUFA 20:2 c (g)</t>
        </is>
      </c>
      <c r="EX2" s="6" t="inlineStr">
        <is>
          <t>PUFA 20:2 n-6 c,c (g)</t>
        </is>
      </c>
      <c r="EY2" s="6" t="inlineStr">
        <is>
          <t>PUFA 20:3 (g)</t>
        </is>
      </c>
      <c r="EZ2" s="6" t="inlineStr">
        <is>
          <t>PUFA 20:3 c (g)</t>
        </is>
      </c>
      <c r="FA2" s="6" t="inlineStr">
        <is>
          <t>PUFA 20:3 n-3 (g)</t>
        </is>
      </c>
      <c r="FB2" s="6" t="inlineStr">
        <is>
          <t>PUFA 20:3 n-6 (g)</t>
        </is>
      </c>
      <c r="FC2" s="6" t="inlineStr">
        <is>
          <t>PUFA 20:3 n-9 (g)</t>
        </is>
      </c>
      <c r="FD2" s="6" t="inlineStr">
        <is>
          <t>PUFA 20:4 (g)</t>
        </is>
      </c>
      <c r="FE2" s="6" t="inlineStr">
        <is>
          <t>PUFA 20:4c (g)</t>
        </is>
      </c>
      <c r="FF2" s="6" t="inlineStr">
        <is>
          <t>PUFA 20:5c (g)</t>
        </is>
      </c>
      <c r="FG2" s="6" t="inlineStr">
        <is>
          <t>PUFA 20:5 n-3 (EPA) (g)</t>
        </is>
      </c>
      <c r="FH2" s="6" t="inlineStr">
        <is>
          <t>PUFA 22:2 (g)</t>
        </is>
      </c>
      <c r="FI2" s="6" t="inlineStr">
        <is>
          <t>PUFA 22:3 (g)</t>
        </is>
      </c>
      <c r="FJ2" s="6" t="inlineStr">
        <is>
          <t>PUFA 22:4 (g)</t>
        </is>
      </c>
      <c r="FK2" s="6" t="inlineStr">
        <is>
          <t>PUFA 22:5 c (g)</t>
        </is>
      </c>
      <c r="FL2" s="6" t="inlineStr">
        <is>
          <t>PUFA 22:5 n-3 (DPA) (g)</t>
        </is>
      </c>
      <c r="FM2" s="6" t="inlineStr">
        <is>
          <t>PUFA 22:6 c (g)</t>
        </is>
      </c>
      <c r="FN2" s="6" t="inlineStr">
        <is>
          <t>PUFA 22:6 n-3 (DHA) (g)</t>
        </is>
      </c>
      <c r="FO2" s="6" t="inlineStr">
        <is>
          <t>Fatty acids, total trans (g)</t>
        </is>
      </c>
      <c r="FP2" s="6" t="inlineStr">
        <is>
          <t>Fatty acids, total trans-monoenoic (g)</t>
        </is>
      </c>
      <c r="FQ2" s="6" t="inlineStr">
        <is>
          <t>Fatty acids, total trans-dienoic (g)</t>
        </is>
      </c>
      <c r="FR2" s="6" t="inlineStr">
        <is>
          <t>Fatty acids, total trans-polyenoic (g)</t>
        </is>
      </c>
      <c r="FS2" s="6" t="inlineStr">
        <is>
          <t>TFA 14:1 t (g)</t>
        </is>
      </c>
      <c r="FT2" s="6" t="inlineStr">
        <is>
          <t>TFA 16:1 t (g)</t>
        </is>
      </c>
      <c r="FU2" s="6" t="inlineStr">
        <is>
          <t>TFA 18:1 t (g)</t>
        </is>
      </c>
      <c r="FV2" s="6" t="inlineStr">
        <is>
          <t>TFA 18:2 t (g)</t>
        </is>
      </c>
      <c r="FW2" s="6" t="inlineStr">
        <is>
          <t>TFA 18:2 t,t (g)</t>
        </is>
      </c>
      <c r="FX2" s="6" t="inlineStr">
        <is>
          <t>TFA 18:2 t not further defined (g)</t>
        </is>
      </c>
      <c r="FY2" s="6" t="inlineStr">
        <is>
          <t>TFA 18:3 t (g)</t>
        </is>
      </c>
      <c r="FZ2" s="6" t="inlineStr">
        <is>
          <t>TFA 20:1 t (g)</t>
        </is>
      </c>
      <c r="GA2" s="6" t="inlineStr">
        <is>
          <t>TFA 22:1 t (g)</t>
        </is>
      </c>
      <c r="GB2" s="6" t="inlineStr">
        <is>
          <t>Cholesterol (mg)</t>
        </is>
      </c>
      <c r="GC2" s="7" t="inlineStr">
        <is>
          <t>Tryptophan (g)</t>
        </is>
      </c>
      <c r="GD2" s="7" t="inlineStr">
        <is>
          <t>Threonine (g)</t>
        </is>
      </c>
      <c r="GE2" s="7" t="inlineStr">
        <is>
          <t>Isoleucine (g)</t>
        </is>
      </c>
      <c r="GF2" s="7" t="inlineStr">
        <is>
          <t>Leucine (g)</t>
        </is>
      </c>
      <c r="GG2" s="7" t="inlineStr">
        <is>
          <t>Lysine (g)</t>
        </is>
      </c>
      <c r="GH2" s="7" t="inlineStr">
        <is>
          <t>Methionine (g)</t>
        </is>
      </c>
      <c r="GI2" s="7" t="inlineStr">
        <is>
          <t>Phenylalanine (g)</t>
        </is>
      </c>
      <c r="GJ2" s="7" t="inlineStr">
        <is>
          <t>Tyrosine (g)</t>
        </is>
      </c>
      <c r="GK2" s="7" t="inlineStr">
        <is>
          <t>Valine (g)</t>
        </is>
      </c>
      <c r="GL2" s="7" t="inlineStr">
        <is>
          <t>Arginine (g)</t>
        </is>
      </c>
      <c r="GM2" s="7" t="inlineStr">
        <is>
          <t>Histidine (g)</t>
        </is>
      </c>
      <c r="GN2" s="7" t="inlineStr">
        <is>
          <t>Alanine (g)</t>
        </is>
      </c>
      <c r="GO2" s="7" t="inlineStr">
        <is>
          <t>Aspartic acid (g)</t>
        </is>
      </c>
      <c r="GP2" s="7" t="inlineStr">
        <is>
          <t>Glutamic acid (g)</t>
        </is>
      </c>
      <c r="GQ2" s="7" t="inlineStr">
        <is>
          <t>Glycine (g)</t>
        </is>
      </c>
      <c r="GR2" s="7" t="inlineStr">
        <is>
          <t>Proline (g)</t>
        </is>
      </c>
      <c r="GS2" s="7" t="inlineStr">
        <is>
          <t>Serine (g)</t>
        </is>
      </c>
      <c r="GT2" s="7" t="inlineStr">
        <is>
          <t>Hydroxyproline (g)</t>
        </is>
      </c>
      <c r="GU2" s="7" t="inlineStr">
        <is>
          <t>Cysteine (g)</t>
        </is>
      </c>
      <c r="GV2" s="8" t="inlineStr">
        <is>
          <t>Phytosterols (mg)</t>
        </is>
      </c>
      <c r="GW2" s="8" t="inlineStr">
        <is>
          <t>Beta-sitosterol (mg)</t>
        </is>
      </c>
      <c r="GX2" s="8" t="inlineStr">
        <is>
          <t>Brassicasterol (mg)</t>
        </is>
      </c>
      <c r="GY2" s="8" t="inlineStr">
        <is>
          <t>Campesterol (mg)</t>
        </is>
      </c>
      <c r="GZ2" s="8" t="inlineStr">
        <is>
          <t>Campestanol (mg)</t>
        </is>
      </c>
      <c r="HA2" s="8" t="inlineStr">
        <is>
          <t>Delta-5-avenasterol (mg)</t>
        </is>
      </c>
      <c r="HB2" s="8" t="inlineStr">
        <is>
          <t>Phytosterols, other (mg)</t>
        </is>
      </c>
      <c r="HC2" s="8" t="inlineStr">
        <is>
          <t>Stigmasterol (mg)</t>
        </is>
      </c>
      <c r="HD2" s="8" t="inlineStr">
        <is>
          <t>Beta-sitostanol (mg)</t>
        </is>
      </c>
      <c r="HE2" s="8" t="inlineStr">
        <is>
          <t>Citric acid (mg)</t>
        </is>
      </c>
      <c r="HF2" s="8" t="inlineStr">
        <is>
          <t>Malic acid (mg)</t>
        </is>
      </c>
      <c r="HG2" s="8" t="inlineStr">
        <is>
          <t>Oxalic acid (mg)</t>
        </is>
      </c>
      <c r="HH2" s="8" t="inlineStr">
        <is>
          <t>Quinic acid (mg)</t>
        </is>
      </c>
      <c r="HI2" s="8" t="inlineStr">
        <is>
          <t>Verbascose (g)</t>
        </is>
      </c>
      <c r="HJ2" s="8" t="inlineStr">
        <is>
          <t>Raffinose (g)</t>
        </is>
      </c>
      <c r="HK2" s="8" t="inlineStr">
        <is>
          <t>Stachyose (g)</t>
        </is>
      </c>
      <c r="HL2" s="8" t="inlineStr">
        <is>
          <t>Daidzin (mg)</t>
        </is>
      </c>
      <c r="HM2" s="8" t="inlineStr">
        <is>
          <t>Genistin (mg)</t>
        </is>
      </c>
      <c r="HN2" s="8" t="inlineStr">
        <is>
          <t>Glycitin (mg)</t>
        </is>
      </c>
      <c r="HO2" s="8" t="inlineStr">
        <is>
          <t>Daidzein (mg)</t>
        </is>
      </c>
      <c r="HP2" s="8" t="inlineStr">
        <is>
          <t>Genistein (mg)</t>
        </is>
      </c>
      <c r="HQ2" s="8" t="inlineStr">
        <is>
          <t>Alcohol, ethyl (g)</t>
        </is>
      </c>
    </row>
    <row r="3">
      <c r="A3" t="n">
        <v>167755</v>
      </c>
      <c r="B3" t="inlineStr">
        <is>
          <t>Raspberries, raw</t>
        </is>
      </c>
      <c r="C3" t="inlineStr"/>
      <c r="D3" t="inlineStr">
        <is>
          <t>SR Legacy</t>
        </is>
      </c>
      <c r="E3" s="9" t="n">
        <v>100</v>
      </c>
      <c r="F3" s="10">
        <f>E3/SUM($E$3:$E$80)</f>
        <v/>
      </c>
      <c r="G3" t="n">
        <v>85.8</v>
      </c>
      <c r="H3" t="n">
        <v>58.25</v>
      </c>
      <c r="I3" t="n">
        <v>243.718</v>
      </c>
      <c r="J3" t="n">
        <v>0.192</v>
      </c>
      <c r="K3" t="n">
        <v>1.2</v>
      </c>
      <c r="L3" t="n">
        <v>0.65</v>
      </c>
      <c r="M3" t="n">
        <v>0.65</v>
      </c>
      <c r="N3" t="n">
        <v>0.46</v>
      </c>
      <c r="O3" t="n">
        <v>11.9</v>
      </c>
      <c r="P3" t="n">
        <v>6.5</v>
      </c>
      <c r="V3" t="n">
        <v>4.42</v>
      </c>
      <c r="W3" t="n">
        <v>0.2</v>
      </c>
      <c r="X3" t="n">
        <v>1.86</v>
      </c>
      <c r="Y3" t="n">
        <v>2.35</v>
      </c>
      <c r="Z3" t="n">
        <v>0</v>
      </c>
      <c r="AA3" t="n">
        <v>0</v>
      </c>
      <c r="AB3" t="n">
        <v>0</v>
      </c>
      <c r="AC3" t="n">
        <v>0</v>
      </c>
      <c r="AF3" t="n">
        <v>25</v>
      </c>
      <c r="AG3" t="n">
        <v>0.6899999999999999</v>
      </c>
      <c r="AH3" t="n">
        <v>22</v>
      </c>
      <c r="AI3" t="n">
        <v>29</v>
      </c>
      <c r="AJ3" t="n">
        <v>151</v>
      </c>
      <c r="AK3" t="n">
        <v>1</v>
      </c>
      <c r="AL3" t="n">
        <v>0.42</v>
      </c>
      <c r="AM3" t="n">
        <v>0.09</v>
      </c>
      <c r="AN3" t="n">
        <v>0.67</v>
      </c>
      <c r="AP3" t="n">
        <v>0.2</v>
      </c>
      <c r="AS3" t="n">
        <v>21</v>
      </c>
      <c r="AT3" t="n">
        <v>0.032</v>
      </c>
      <c r="AU3" t="n">
        <v>0.038</v>
      </c>
      <c r="AV3" t="n">
        <v>0.598</v>
      </c>
      <c r="AW3" t="n">
        <v>0.055</v>
      </c>
      <c r="AX3" t="n">
        <v>21</v>
      </c>
      <c r="AY3" t="n">
        <v>0</v>
      </c>
      <c r="AZ3" t="n">
        <v>21</v>
      </c>
      <c r="BA3" t="n">
        <v>12.3</v>
      </c>
      <c r="BG3" t="n">
        <v>0.8</v>
      </c>
      <c r="BH3" t="n">
        <v>0</v>
      </c>
      <c r="BI3" t="n">
        <v>0</v>
      </c>
      <c r="BJ3" t="n">
        <v>2</v>
      </c>
      <c r="BK3" t="n">
        <v>0</v>
      </c>
      <c r="BL3" t="n">
        <v>12</v>
      </c>
      <c r="BO3" t="n">
        <v>16</v>
      </c>
      <c r="BQ3" t="n">
        <v>0</v>
      </c>
      <c r="BS3" t="n">
        <v>33</v>
      </c>
      <c r="BT3" t="n">
        <v>0</v>
      </c>
      <c r="BW3" t="n">
        <v>136</v>
      </c>
      <c r="CC3" t="n">
        <v>0</v>
      </c>
      <c r="CD3" t="n">
        <v>0</v>
      </c>
      <c r="CH3" t="n">
        <v>7.8</v>
      </c>
      <c r="CI3" t="n">
        <v>0</v>
      </c>
      <c r="CK3" t="n">
        <v>0.87</v>
      </c>
      <c r="CL3" t="n">
        <v>0</v>
      </c>
      <c r="CM3" t="n">
        <v>0.06</v>
      </c>
      <c r="CN3" t="n">
        <v>1.42</v>
      </c>
      <c r="CO3" t="n">
        <v>1.04</v>
      </c>
      <c r="CP3" t="n">
        <v>0</v>
      </c>
      <c r="CQ3" t="n">
        <v>0</v>
      </c>
      <c r="CR3" t="n">
        <v>0</v>
      </c>
      <c r="CS3" t="n">
        <v>0</v>
      </c>
      <c r="CT3" t="n">
        <v>26.2</v>
      </c>
      <c r="CU3" t="n">
        <v>0.329</v>
      </c>
      <c r="CW3" t="n">
        <v>0</v>
      </c>
      <c r="CX3" t="n">
        <v>0</v>
      </c>
      <c r="CY3" t="n">
        <v>0.019</v>
      </c>
      <c r="CZ3" t="n">
        <v>0</v>
      </c>
      <c r="DB3" t="n">
        <v>0</v>
      </c>
      <c r="DD3" t="n">
        <v>0</v>
      </c>
      <c r="DF3" t="n">
        <v>0</v>
      </c>
      <c r="DH3" t="n">
        <v>0</v>
      </c>
      <c r="DJ3" t="n">
        <v>0</v>
      </c>
      <c r="DL3" t="n">
        <v>0.016</v>
      </c>
      <c r="DN3" t="n">
        <v>0.004</v>
      </c>
      <c r="DT3" t="n">
        <v>0.064</v>
      </c>
      <c r="DY3" t="n">
        <v>0</v>
      </c>
      <c r="EC3" t="n">
        <v>0.059</v>
      </c>
      <c r="EE3" t="n">
        <v>0.005</v>
      </c>
      <c r="EG3" t="n">
        <v>0</v>
      </c>
      <c r="EL3" t="n">
        <v>0.375</v>
      </c>
      <c r="EM3" t="n">
        <v>0.249</v>
      </c>
      <c r="ER3" t="n">
        <v>0.126</v>
      </c>
      <c r="EV3" t="n">
        <v>0</v>
      </c>
      <c r="FD3" t="n">
        <v>0</v>
      </c>
      <c r="FG3" t="n">
        <v>0</v>
      </c>
      <c r="FL3" t="n">
        <v>0</v>
      </c>
      <c r="FN3" t="n">
        <v>0</v>
      </c>
      <c r="FO3" t="n">
        <v>0</v>
      </c>
      <c r="GB3" t="n">
        <v>0</v>
      </c>
      <c r="HQ3" t="n">
        <v>0</v>
      </c>
    </row>
    <row r="4">
      <c r="A4" t="n">
        <v>168113</v>
      </c>
      <c r="B4" t="inlineStr">
        <is>
          <t>Frozen novelties, juice type, orange</t>
        </is>
      </c>
      <c r="C4" t="inlineStr"/>
      <c r="D4" t="inlineStr">
        <is>
          <t>SR Legacy</t>
        </is>
      </c>
      <c r="E4" s="9" t="n">
        <v>100</v>
      </c>
      <c r="F4" s="10">
        <f>E4/SUM($E$3:$E$80)</f>
        <v/>
      </c>
      <c r="G4" t="n">
        <v>76.09999999999999</v>
      </c>
      <c r="H4" t="n">
        <v>94.8</v>
      </c>
      <c r="I4" t="n">
        <v>396.6432</v>
      </c>
      <c r="J4" t="n">
        <v>0.08</v>
      </c>
      <c r="K4" t="n">
        <v>0.5</v>
      </c>
      <c r="L4" t="n">
        <v>0</v>
      </c>
      <c r="M4" t="n">
        <v>0</v>
      </c>
      <c r="N4" t="n">
        <v>0.23</v>
      </c>
      <c r="O4" t="n">
        <v>23.2</v>
      </c>
      <c r="P4" t="n">
        <v>0.1</v>
      </c>
      <c r="V4" t="n">
        <v>20</v>
      </c>
      <c r="AF4" t="n">
        <v>9</v>
      </c>
      <c r="AG4" t="n">
        <v>0.47</v>
      </c>
      <c r="AH4" t="n">
        <v>8</v>
      </c>
      <c r="AI4" t="n">
        <v>13</v>
      </c>
      <c r="AJ4" t="n">
        <v>100</v>
      </c>
      <c r="AK4" t="n">
        <v>8</v>
      </c>
      <c r="AL4" t="n">
        <v>0.02</v>
      </c>
      <c r="AM4" t="n">
        <v>0.022</v>
      </c>
      <c r="AN4" t="n">
        <v>0.008</v>
      </c>
      <c r="AP4" t="n">
        <v>0.1</v>
      </c>
      <c r="AR4" t="n">
        <v>77</v>
      </c>
      <c r="AS4" t="n">
        <v>18</v>
      </c>
      <c r="AT4" t="n">
        <v>0.01</v>
      </c>
      <c r="AU4" t="n">
        <v>0.03</v>
      </c>
      <c r="AV4" t="n">
        <v>0.16</v>
      </c>
      <c r="AW4" t="n">
        <v>0.018</v>
      </c>
      <c r="AX4" t="n">
        <v>18</v>
      </c>
      <c r="AY4" t="n">
        <v>0</v>
      </c>
      <c r="AZ4" t="n">
        <v>18</v>
      </c>
      <c r="BA4" t="n">
        <v>2.9</v>
      </c>
      <c r="BH4" t="n">
        <v>0</v>
      </c>
      <c r="BI4" t="n">
        <v>0</v>
      </c>
      <c r="BJ4" t="n">
        <v>1</v>
      </c>
      <c r="BK4" t="n">
        <v>0</v>
      </c>
      <c r="BL4" t="n">
        <v>12</v>
      </c>
      <c r="BO4" t="n">
        <v>0</v>
      </c>
      <c r="BQ4" t="n">
        <v>0</v>
      </c>
      <c r="BS4" t="n">
        <v>21</v>
      </c>
      <c r="BT4" t="n">
        <v>0</v>
      </c>
      <c r="BW4" t="n">
        <v>39</v>
      </c>
      <c r="CC4" t="n">
        <v>0</v>
      </c>
      <c r="CD4" t="n">
        <v>0</v>
      </c>
      <c r="CH4" t="n">
        <v>0.1</v>
      </c>
      <c r="CK4" t="n">
        <v>0.04</v>
      </c>
      <c r="CL4" t="n">
        <v>0</v>
      </c>
      <c r="CT4" t="n">
        <v>25.7</v>
      </c>
      <c r="CU4" t="n">
        <v>0.065</v>
      </c>
      <c r="CW4" t="n">
        <v>0</v>
      </c>
      <c r="CX4" t="n">
        <v>0</v>
      </c>
      <c r="CY4" t="n">
        <v>0</v>
      </c>
      <c r="CZ4" t="n">
        <v>0</v>
      </c>
      <c r="DB4" t="n">
        <v>0</v>
      </c>
      <c r="DD4" t="n">
        <v>0</v>
      </c>
      <c r="DF4" t="n">
        <v>0</v>
      </c>
      <c r="DH4" t="n">
        <v>0</v>
      </c>
      <c r="DJ4" t="n">
        <v>0</v>
      </c>
      <c r="DL4" t="n">
        <v>0</v>
      </c>
      <c r="DN4" t="n">
        <v>0</v>
      </c>
      <c r="DT4" t="n">
        <v>0</v>
      </c>
      <c r="DY4" t="n">
        <v>0</v>
      </c>
      <c r="EC4" t="n">
        <v>0</v>
      </c>
      <c r="EE4" t="n">
        <v>0</v>
      </c>
      <c r="EG4" t="n">
        <v>0</v>
      </c>
      <c r="EL4" t="n">
        <v>0</v>
      </c>
      <c r="EM4" t="n">
        <v>0</v>
      </c>
      <c r="ER4" t="n">
        <v>0</v>
      </c>
      <c r="EV4" t="n">
        <v>0</v>
      </c>
      <c r="FD4" t="n">
        <v>0</v>
      </c>
      <c r="FG4" t="n">
        <v>0</v>
      </c>
      <c r="FL4" t="n">
        <v>0</v>
      </c>
      <c r="FN4" t="n">
        <v>0</v>
      </c>
      <c r="GB4" t="n">
        <v>0</v>
      </c>
      <c r="HQ4" t="n">
        <v>0</v>
      </c>
    </row>
    <row r="5">
      <c r="A5" t="n">
        <v>168191</v>
      </c>
      <c r="B5" t="inlineStr">
        <is>
          <t>Dates, medjool</t>
        </is>
      </c>
      <c r="C5" t="inlineStr"/>
      <c r="D5" t="inlineStr">
        <is>
          <t>SR Legacy</t>
        </is>
      </c>
      <c r="E5" s="9" t="n">
        <v>100</v>
      </c>
      <c r="F5" s="10">
        <f>E5/SUM($E$3:$E$80)</f>
        <v/>
      </c>
      <c r="G5" t="n">
        <v>21.3</v>
      </c>
      <c r="H5" t="n">
        <v>308.59</v>
      </c>
      <c r="I5" t="n">
        <v>1291.14056</v>
      </c>
      <c r="J5" t="n">
        <v>0.2896</v>
      </c>
      <c r="K5" t="n">
        <v>1.81</v>
      </c>
      <c r="L5" t="n">
        <v>0.15</v>
      </c>
      <c r="M5" t="n">
        <v>0.15</v>
      </c>
      <c r="N5" t="n">
        <v>1.74</v>
      </c>
      <c r="O5" t="n">
        <v>75</v>
      </c>
      <c r="P5" t="n">
        <v>6.7</v>
      </c>
      <c r="V5" t="n">
        <v>66.5</v>
      </c>
      <c r="W5" t="n">
        <v>0.53</v>
      </c>
      <c r="X5" t="n">
        <v>33.7</v>
      </c>
      <c r="Y5" t="n">
        <v>32</v>
      </c>
      <c r="Z5" t="n">
        <v>0</v>
      </c>
      <c r="AA5" t="n">
        <v>0.3</v>
      </c>
      <c r="AB5" t="n">
        <v>0</v>
      </c>
      <c r="AF5" t="n">
        <v>64</v>
      </c>
      <c r="AG5" t="n">
        <v>0.9</v>
      </c>
      <c r="AH5" t="n">
        <v>54</v>
      </c>
      <c r="AI5" t="n">
        <v>62</v>
      </c>
      <c r="AJ5" t="n">
        <v>696</v>
      </c>
      <c r="AK5" t="n">
        <v>1</v>
      </c>
      <c r="AL5" t="n">
        <v>0.44</v>
      </c>
      <c r="AM5" t="n">
        <v>0.362</v>
      </c>
      <c r="AN5" t="n">
        <v>0.296</v>
      </c>
      <c r="AS5" t="n">
        <v>15</v>
      </c>
      <c r="AT5" t="n">
        <v>0.05</v>
      </c>
      <c r="AU5" t="n">
        <v>0.06</v>
      </c>
      <c r="AV5" t="n">
        <v>1.61</v>
      </c>
      <c r="AW5" t="n">
        <v>0.249</v>
      </c>
      <c r="AX5" t="n">
        <v>15</v>
      </c>
      <c r="AY5" t="n">
        <v>0</v>
      </c>
      <c r="AZ5" t="n">
        <v>15</v>
      </c>
      <c r="BA5" t="n">
        <v>9.9</v>
      </c>
      <c r="BG5" t="n">
        <v>0.4</v>
      </c>
      <c r="BJ5" t="n">
        <v>7</v>
      </c>
      <c r="BL5" t="n">
        <v>89</v>
      </c>
      <c r="BO5" t="n">
        <v>0</v>
      </c>
      <c r="BQ5" t="n">
        <v>0</v>
      </c>
      <c r="BS5" t="n">
        <v>149</v>
      </c>
      <c r="BT5" t="n">
        <v>0</v>
      </c>
      <c r="BW5" t="n">
        <v>23</v>
      </c>
      <c r="CC5" t="n">
        <v>0</v>
      </c>
      <c r="CD5" t="n">
        <v>0</v>
      </c>
      <c r="CH5" t="n">
        <v>2.7</v>
      </c>
      <c r="CI5" t="n">
        <v>0</v>
      </c>
      <c r="CT5" t="n">
        <v>0</v>
      </c>
      <c r="CU5" t="n">
        <v>0.805</v>
      </c>
      <c r="FO5" t="n">
        <v>0</v>
      </c>
      <c r="GC5" t="n">
        <v>0.007</v>
      </c>
      <c r="GD5" t="n">
        <v>0.042</v>
      </c>
      <c r="GE5" t="n">
        <v>0.045</v>
      </c>
      <c r="GF5" t="n">
        <v>0.082</v>
      </c>
      <c r="GG5" t="n">
        <v>0.054</v>
      </c>
      <c r="GH5" t="n">
        <v>0.017</v>
      </c>
      <c r="GI5" t="n">
        <v>0.048</v>
      </c>
      <c r="GJ5" t="n">
        <v>0.016</v>
      </c>
      <c r="GK5" t="n">
        <v>0.066</v>
      </c>
      <c r="GL5" t="n">
        <v>0.06</v>
      </c>
      <c r="GM5" t="n">
        <v>0.029</v>
      </c>
      <c r="GN5" t="n">
        <v>0.078</v>
      </c>
      <c r="GO5" t="n">
        <v>0.22</v>
      </c>
      <c r="GP5" t="n">
        <v>0.265</v>
      </c>
      <c r="GQ5" t="n">
        <v>0.09</v>
      </c>
      <c r="GR5" t="n">
        <v>0.111</v>
      </c>
      <c r="GS5" t="n">
        <v>0.062</v>
      </c>
      <c r="GU5" t="n">
        <v>0.046</v>
      </c>
    </row>
    <row r="6">
      <c r="A6" t="n">
        <v>168482</v>
      </c>
      <c r="B6" t="inlineStr">
        <is>
          <t>Sweet potato, raw, unprepared (Includes foods for USDA's Food Distribution Program)</t>
        </is>
      </c>
      <c r="C6" t="inlineStr"/>
      <c r="D6" t="inlineStr">
        <is>
          <t>SR Legacy</t>
        </is>
      </c>
      <c r="E6" s="9" t="n">
        <v>100</v>
      </c>
      <c r="F6" s="10">
        <f>E6/SUM($E$3:$E$80)</f>
        <v/>
      </c>
      <c r="G6" t="n">
        <v>77.3</v>
      </c>
      <c r="H6" t="n">
        <v>87.13000000000001</v>
      </c>
      <c r="I6" t="n">
        <v>364.5519200000001</v>
      </c>
      <c r="J6" t="n">
        <v>0.2512</v>
      </c>
      <c r="K6" t="n">
        <v>1.57</v>
      </c>
      <c r="L6" t="n">
        <v>0.05</v>
      </c>
      <c r="M6" t="n">
        <v>0.05</v>
      </c>
      <c r="N6" t="n">
        <v>0.99</v>
      </c>
      <c r="O6" t="n">
        <v>20.1</v>
      </c>
      <c r="P6" t="n">
        <v>3</v>
      </c>
      <c r="V6" t="n">
        <v>4.18</v>
      </c>
      <c r="W6" t="n">
        <v>2.52</v>
      </c>
      <c r="X6" t="n">
        <v>0.96</v>
      </c>
      <c r="Y6" t="n">
        <v>0.7</v>
      </c>
      <c r="Z6" t="n">
        <v>0</v>
      </c>
      <c r="AA6" t="n">
        <v>0</v>
      </c>
      <c r="AB6" t="n">
        <v>0</v>
      </c>
      <c r="AC6" t="n">
        <v>12.6</v>
      </c>
      <c r="AF6" t="n">
        <v>30</v>
      </c>
      <c r="AG6" t="n">
        <v>0.61</v>
      </c>
      <c r="AH6" t="n">
        <v>25</v>
      </c>
      <c r="AI6" t="n">
        <v>47</v>
      </c>
      <c r="AJ6" t="n">
        <v>337</v>
      </c>
      <c r="AK6" t="n">
        <v>55</v>
      </c>
      <c r="AL6" t="n">
        <v>0.3</v>
      </c>
      <c r="AM6" t="n">
        <v>0.151</v>
      </c>
      <c r="AN6" t="n">
        <v>0.258</v>
      </c>
      <c r="AP6" t="n">
        <v>0.6</v>
      </c>
      <c r="AS6" t="n">
        <v>11</v>
      </c>
      <c r="AT6" t="n">
        <v>0.078</v>
      </c>
      <c r="AU6" t="n">
        <v>0.061</v>
      </c>
      <c r="AV6" t="n">
        <v>0.5570000000000001</v>
      </c>
      <c r="AW6" t="n">
        <v>0.209</v>
      </c>
      <c r="AX6" t="n">
        <v>11</v>
      </c>
      <c r="AY6" t="n">
        <v>0</v>
      </c>
      <c r="AZ6" t="n">
        <v>11</v>
      </c>
      <c r="BA6" t="n">
        <v>12.3</v>
      </c>
      <c r="BH6" t="n">
        <v>0</v>
      </c>
      <c r="BI6" t="n">
        <v>0</v>
      </c>
      <c r="BJ6" t="n">
        <v>709</v>
      </c>
      <c r="BK6" t="n">
        <v>0</v>
      </c>
      <c r="BL6" t="n">
        <v>8510</v>
      </c>
      <c r="BO6" t="n">
        <v>7</v>
      </c>
      <c r="BQ6" t="n">
        <v>0</v>
      </c>
      <c r="BS6" t="n">
        <v>14200</v>
      </c>
      <c r="BT6" t="n">
        <v>0</v>
      </c>
      <c r="BW6" t="n">
        <v>0</v>
      </c>
      <c r="CC6" t="n">
        <v>0</v>
      </c>
      <c r="CD6" t="n">
        <v>0</v>
      </c>
      <c r="CH6" t="n">
        <v>1.8</v>
      </c>
      <c r="CI6" t="n">
        <v>0</v>
      </c>
      <c r="CK6" t="n">
        <v>0.26</v>
      </c>
      <c r="CL6" t="n">
        <v>0</v>
      </c>
      <c r="CM6" t="n">
        <v>0.01</v>
      </c>
      <c r="CN6" t="n">
        <v>0</v>
      </c>
      <c r="CO6" t="n">
        <v>0</v>
      </c>
      <c r="CP6" t="n">
        <v>0.01</v>
      </c>
      <c r="CQ6" t="n">
        <v>0</v>
      </c>
      <c r="CR6" t="n">
        <v>0</v>
      </c>
      <c r="CS6" t="n">
        <v>0</v>
      </c>
      <c r="CT6" t="n">
        <v>2.4</v>
      </c>
      <c r="CU6" t="n">
        <v>0.8</v>
      </c>
      <c r="CW6" t="n">
        <v>0</v>
      </c>
      <c r="CX6" t="n">
        <v>0</v>
      </c>
      <c r="CY6" t="n">
        <v>0.018</v>
      </c>
      <c r="CZ6" t="n">
        <v>0</v>
      </c>
      <c r="DB6" t="n">
        <v>0</v>
      </c>
      <c r="DD6" t="n">
        <v>0</v>
      </c>
      <c r="DF6" t="n">
        <v>0</v>
      </c>
      <c r="DH6" t="n">
        <v>0</v>
      </c>
      <c r="DJ6" t="n">
        <v>0</v>
      </c>
      <c r="DK6" t="n">
        <v>0</v>
      </c>
      <c r="DL6" t="n">
        <v>0.018</v>
      </c>
      <c r="DM6" t="n">
        <v>0</v>
      </c>
      <c r="DN6" t="n">
        <v>0.001</v>
      </c>
      <c r="DO6" t="n">
        <v>0</v>
      </c>
      <c r="DQ6" t="n">
        <v>0</v>
      </c>
      <c r="DS6" t="n">
        <v>0</v>
      </c>
      <c r="DT6" t="n">
        <v>0.001</v>
      </c>
      <c r="DV6" t="n">
        <v>0</v>
      </c>
      <c r="DX6" t="n">
        <v>0</v>
      </c>
      <c r="DY6" t="n">
        <v>0</v>
      </c>
      <c r="EA6" t="n">
        <v>0</v>
      </c>
      <c r="EC6" t="n">
        <v>0.001</v>
      </c>
      <c r="EE6" t="n">
        <v>0</v>
      </c>
      <c r="EG6" t="n">
        <v>0</v>
      </c>
      <c r="EL6" t="n">
        <v>0.014</v>
      </c>
      <c r="EM6" t="n">
        <v>0.013</v>
      </c>
      <c r="ER6" t="n">
        <v>0.001</v>
      </c>
      <c r="EV6" t="n">
        <v>0</v>
      </c>
      <c r="EX6" t="n">
        <v>0</v>
      </c>
      <c r="EY6" t="n">
        <v>0</v>
      </c>
      <c r="FD6" t="n">
        <v>0</v>
      </c>
      <c r="FG6" t="n">
        <v>0</v>
      </c>
      <c r="FL6" t="n">
        <v>0</v>
      </c>
      <c r="FN6" t="n">
        <v>0</v>
      </c>
      <c r="FO6" t="n">
        <v>0</v>
      </c>
      <c r="GB6" t="n">
        <v>0</v>
      </c>
      <c r="GC6" t="n">
        <v>0.031</v>
      </c>
      <c r="GD6" t="n">
        <v>0.083</v>
      </c>
      <c r="GE6" t="n">
        <v>0.055</v>
      </c>
      <c r="GF6" t="n">
        <v>0.092</v>
      </c>
      <c r="GG6" t="n">
        <v>0.066</v>
      </c>
      <c r="GH6" t="n">
        <v>0.029</v>
      </c>
      <c r="GI6" t="n">
        <v>0.089</v>
      </c>
      <c r="GJ6" t="n">
        <v>0.034</v>
      </c>
      <c r="GK6" t="n">
        <v>0.08599999999999999</v>
      </c>
      <c r="GL6" t="n">
        <v>0.055</v>
      </c>
      <c r="GM6" t="n">
        <v>0.031</v>
      </c>
      <c r="GN6" t="n">
        <v>0.077</v>
      </c>
      <c r="GO6" t="n">
        <v>0.382</v>
      </c>
      <c r="GP6" t="n">
        <v>0.155</v>
      </c>
      <c r="GQ6" t="n">
        <v>0.063</v>
      </c>
      <c r="GR6" t="n">
        <v>0.052</v>
      </c>
      <c r="GS6" t="n">
        <v>0.08799999999999999</v>
      </c>
      <c r="GU6" t="n">
        <v>0.022</v>
      </c>
      <c r="GV6" t="n">
        <v>12</v>
      </c>
      <c r="HQ6" t="n">
        <v>0</v>
      </c>
    </row>
    <row r="7">
      <c r="A7" t="n">
        <v>168483</v>
      </c>
      <c r="B7" t="inlineStr">
        <is>
          <t>Sweet potato, cooked, baked in skin, flesh, without salt</t>
        </is>
      </c>
      <c r="C7" t="inlineStr"/>
      <c r="D7" t="inlineStr">
        <is>
          <t>SR Legacy</t>
        </is>
      </c>
      <c r="E7" s="9" t="n">
        <v>100</v>
      </c>
      <c r="F7" s="10">
        <f>E7/SUM($E$3:$E$80)</f>
        <v/>
      </c>
      <c r="G7" t="n">
        <v>75.8</v>
      </c>
      <c r="H7" t="n">
        <v>92.19</v>
      </c>
      <c r="I7" t="n">
        <v>385.72296</v>
      </c>
      <c r="J7" t="n">
        <v>0.3215999999999999</v>
      </c>
      <c r="K7" t="n">
        <v>2.01</v>
      </c>
      <c r="L7" t="n">
        <v>0.15</v>
      </c>
      <c r="M7" t="n">
        <v>0.15</v>
      </c>
      <c r="N7" t="n">
        <v>1.35</v>
      </c>
      <c r="O7" t="n">
        <v>20.7</v>
      </c>
      <c r="P7" t="n">
        <v>3.3</v>
      </c>
      <c r="V7" t="n">
        <v>6.48</v>
      </c>
      <c r="W7" t="n">
        <v>2.28</v>
      </c>
      <c r="X7" t="n">
        <v>0.57</v>
      </c>
      <c r="Y7" t="n">
        <v>0.5</v>
      </c>
      <c r="Z7" t="n">
        <v>0</v>
      </c>
      <c r="AA7" t="n">
        <v>3.12</v>
      </c>
      <c r="AB7" t="n">
        <v>0</v>
      </c>
      <c r="AC7" t="n">
        <v>7.05</v>
      </c>
      <c r="AF7" t="n">
        <v>38</v>
      </c>
      <c r="AG7" t="n">
        <v>0.6899999999999999</v>
      </c>
      <c r="AH7" t="n">
        <v>27</v>
      </c>
      <c r="AI7" t="n">
        <v>54</v>
      </c>
      <c r="AJ7" t="n">
        <v>475</v>
      </c>
      <c r="AK7" t="n">
        <v>36</v>
      </c>
      <c r="AL7" t="n">
        <v>0.32</v>
      </c>
      <c r="AM7" t="n">
        <v>0.161</v>
      </c>
      <c r="AN7" t="n">
        <v>0.497</v>
      </c>
      <c r="AP7" t="n">
        <v>0.2</v>
      </c>
      <c r="AS7" t="n">
        <v>6</v>
      </c>
      <c r="AT7" t="n">
        <v>0.107</v>
      </c>
      <c r="AU7" t="n">
        <v>0.106</v>
      </c>
      <c r="AV7" t="n">
        <v>1.49</v>
      </c>
      <c r="AW7" t="n">
        <v>0.286</v>
      </c>
      <c r="AX7" t="n">
        <v>6</v>
      </c>
      <c r="AY7" t="n">
        <v>0</v>
      </c>
      <c r="AZ7" t="n">
        <v>6</v>
      </c>
      <c r="BA7" t="n">
        <v>13.1</v>
      </c>
      <c r="BG7" t="n">
        <v>34.6</v>
      </c>
      <c r="BH7" t="n">
        <v>0</v>
      </c>
      <c r="BI7" t="n">
        <v>0</v>
      </c>
      <c r="BJ7" t="n">
        <v>961</v>
      </c>
      <c r="BK7" t="n">
        <v>0</v>
      </c>
      <c r="BL7" t="n">
        <v>11500</v>
      </c>
      <c r="BO7" t="n">
        <v>43</v>
      </c>
      <c r="BQ7" t="n">
        <v>0</v>
      </c>
      <c r="BS7" t="n">
        <v>19200</v>
      </c>
      <c r="BT7" t="n">
        <v>0</v>
      </c>
      <c r="BW7" t="n">
        <v>0</v>
      </c>
      <c r="CC7" t="n">
        <v>0</v>
      </c>
      <c r="CD7" t="n">
        <v>0</v>
      </c>
      <c r="CH7" t="n">
        <v>2.3</v>
      </c>
      <c r="CI7" t="n">
        <v>0</v>
      </c>
      <c r="CK7" t="n">
        <v>0.71</v>
      </c>
      <c r="CL7" t="n">
        <v>0</v>
      </c>
      <c r="CM7" t="n">
        <v>0</v>
      </c>
      <c r="CN7" t="n">
        <v>0.01</v>
      </c>
      <c r="CO7" t="n">
        <v>0</v>
      </c>
      <c r="CP7" t="n">
        <v>0.02</v>
      </c>
      <c r="CQ7" t="n">
        <v>0</v>
      </c>
      <c r="CR7" t="n">
        <v>0</v>
      </c>
      <c r="CS7" t="n">
        <v>0</v>
      </c>
      <c r="CT7" t="n">
        <v>19.6</v>
      </c>
      <c r="CU7" t="n">
        <v>0.884</v>
      </c>
      <c r="CW7" t="n">
        <v>0</v>
      </c>
      <c r="CX7" t="n">
        <v>0</v>
      </c>
      <c r="CY7" t="n">
        <v>0.052</v>
      </c>
      <c r="CZ7" t="n">
        <v>0</v>
      </c>
      <c r="DB7" t="n">
        <v>0</v>
      </c>
      <c r="DD7" t="n">
        <v>0</v>
      </c>
      <c r="DF7" t="n">
        <v>0</v>
      </c>
      <c r="DH7" t="n">
        <v>0</v>
      </c>
      <c r="DJ7" t="n">
        <v>0</v>
      </c>
      <c r="DK7" t="n">
        <v>0</v>
      </c>
      <c r="DL7" t="n">
        <v>0.05</v>
      </c>
      <c r="DM7" t="n">
        <v>0</v>
      </c>
      <c r="DN7" t="n">
        <v>0.002</v>
      </c>
      <c r="DO7" t="n">
        <v>0</v>
      </c>
      <c r="DQ7" t="n">
        <v>0</v>
      </c>
      <c r="DS7" t="n">
        <v>0</v>
      </c>
      <c r="DT7" t="n">
        <v>0.002</v>
      </c>
      <c r="DV7" t="n">
        <v>0</v>
      </c>
      <c r="DX7" t="n">
        <v>0</v>
      </c>
      <c r="DY7" t="n">
        <v>0</v>
      </c>
      <c r="EA7" t="n">
        <v>0</v>
      </c>
      <c r="EC7" t="n">
        <v>0.002</v>
      </c>
      <c r="EE7" t="n">
        <v>0</v>
      </c>
      <c r="EG7" t="n">
        <v>0</v>
      </c>
      <c r="EL7" t="n">
        <v>0.092</v>
      </c>
      <c r="EM7" t="n">
        <v>0.09</v>
      </c>
      <c r="ER7" t="n">
        <v>0.006</v>
      </c>
      <c r="EV7" t="n">
        <v>0</v>
      </c>
      <c r="EX7" t="n">
        <v>0</v>
      </c>
      <c r="EY7" t="n">
        <v>0</v>
      </c>
      <c r="FD7" t="n">
        <v>0</v>
      </c>
      <c r="FG7" t="n">
        <v>0</v>
      </c>
      <c r="FL7" t="n">
        <v>0</v>
      </c>
      <c r="FN7" t="n">
        <v>0</v>
      </c>
      <c r="FO7" t="n">
        <v>0</v>
      </c>
      <c r="GB7" t="n">
        <v>0</v>
      </c>
      <c r="GC7" t="n">
        <v>0.04</v>
      </c>
      <c r="GD7" t="n">
        <v>0.107</v>
      </c>
      <c r="GE7" t="n">
        <v>0.07000000000000001</v>
      </c>
      <c r="GF7" t="n">
        <v>0.118</v>
      </c>
      <c r="GG7" t="n">
        <v>0.08400000000000001</v>
      </c>
      <c r="GH7" t="n">
        <v>0.037</v>
      </c>
      <c r="GI7" t="n">
        <v>0.114</v>
      </c>
      <c r="GJ7" t="n">
        <v>0.044</v>
      </c>
      <c r="GK7" t="n">
        <v>0.11</v>
      </c>
      <c r="GL7" t="n">
        <v>0.07000000000000001</v>
      </c>
      <c r="GM7" t="n">
        <v>0.039</v>
      </c>
      <c r="GN7" t="n">
        <v>0.099</v>
      </c>
      <c r="GO7" t="n">
        <v>0.488</v>
      </c>
      <c r="GP7" t="n">
        <v>0.198</v>
      </c>
      <c r="GQ7" t="n">
        <v>0.081</v>
      </c>
      <c r="GR7" t="n">
        <v>0.067</v>
      </c>
      <c r="GS7" t="n">
        <v>0.113</v>
      </c>
      <c r="GU7" t="n">
        <v>0.028</v>
      </c>
      <c r="HQ7" t="n">
        <v>0</v>
      </c>
    </row>
    <row r="8">
      <c r="A8" t="n">
        <v>168746</v>
      </c>
      <c r="B8" t="inlineStr">
        <is>
          <t>Alcoholic beverage, beer, regular, all</t>
        </is>
      </c>
      <c r="C8" t="inlineStr"/>
      <c r="D8" t="inlineStr">
        <is>
          <t>SR Legacy</t>
        </is>
      </c>
      <c r="E8" s="9" t="n">
        <v>100</v>
      </c>
      <c r="F8" s="10">
        <f>E8/SUM($E$3:$E$80)</f>
        <v/>
      </c>
      <c r="G8" t="n">
        <v>92</v>
      </c>
      <c r="H8" t="n">
        <v>16.04</v>
      </c>
      <c r="I8" t="n">
        <v>67.11136</v>
      </c>
      <c r="J8" t="n">
        <v>0.0736</v>
      </c>
      <c r="K8" t="n">
        <v>0.46</v>
      </c>
      <c r="L8" t="n">
        <v>0</v>
      </c>
      <c r="M8" t="n">
        <v>0</v>
      </c>
      <c r="N8" t="n">
        <v>0.16</v>
      </c>
      <c r="O8" t="n">
        <v>3.55</v>
      </c>
      <c r="P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F8" t="n">
        <v>4</v>
      </c>
      <c r="AG8" t="n">
        <v>0.02</v>
      </c>
      <c r="AH8" t="n">
        <v>6</v>
      </c>
      <c r="AI8" t="n">
        <v>14</v>
      </c>
      <c r="AJ8" t="n">
        <v>27</v>
      </c>
      <c r="AK8" t="n">
        <v>4</v>
      </c>
      <c r="AL8" t="n">
        <v>0.01</v>
      </c>
      <c r="AM8" t="n">
        <v>0.005</v>
      </c>
      <c r="AN8" t="n">
        <v>0.008</v>
      </c>
      <c r="AP8" t="n">
        <v>0.6</v>
      </c>
      <c r="AR8" t="n">
        <v>44.2</v>
      </c>
      <c r="AS8" t="n">
        <v>6</v>
      </c>
      <c r="AT8" t="n">
        <v>0.005</v>
      </c>
      <c r="AU8" t="n">
        <v>0.025</v>
      </c>
      <c r="AV8" t="n">
        <v>0.513</v>
      </c>
      <c r="AW8" t="n">
        <v>0.046</v>
      </c>
      <c r="AX8" t="n">
        <v>6</v>
      </c>
      <c r="AY8" t="n">
        <v>0</v>
      </c>
      <c r="AZ8" t="n">
        <v>6</v>
      </c>
      <c r="BA8" t="n">
        <v>10.1</v>
      </c>
      <c r="BH8" t="n">
        <v>0.02</v>
      </c>
      <c r="BI8" t="n">
        <v>0</v>
      </c>
      <c r="BJ8" t="n">
        <v>0</v>
      </c>
      <c r="BK8" t="n">
        <v>0</v>
      </c>
      <c r="BL8" t="n">
        <v>0</v>
      </c>
      <c r="BO8" t="n">
        <v>0</v>
      </c>
      <c r="BQ8" t="n">
        <v>0</v>
      </c>
      <c r="BS8" t="n">
        <v>0</v>
      </c>
      <c r="BT8" t="n">
        <v>0</v>
      </c>
      <c r="BW8" t="n">
        <v>0</v>
      </c>
      <c r="CC8" t="n">
        <v>0</v>
      </c>
      <c r="CD8" t="n">
        <v>0</v>
      </c>
      <c r="CH8" t="n">
        <v>0</v>
      </c>
      <c r="CI8" t="n">
        <v>0</v>
      </c>
      <c r="CK8" t="n">
        <v>0</v>
      </c>
      <c r="CL8" t="n">
        <v>0</v>
      </c>
      <c r="CM8" t="n">
        <v>0</v>
      </c>
      <c r="CN8" t="n">
        <v>0</v>
      </c>
      <c r="CO8" t="n">
        <v>0</v>
      </c>
      <c r="CT8" t="n">
        <v>0</v>
      </c>
      <c r="CU8" t="n">
        <v>0.041</v>
      </c>
      <c r="CW8" t="n">
        <v>0</v>
      </c>
      <c r="CX8" t="n">
        <v>0</v>
      </c>
      <c r="CY8" t="n">
        <v>0</v>
      </c>
      <c r="CZ8" t="n">
        <v>0</v>
      </c>
      <c r="DB8" t="n">
        <v>0</v>
      </c>
      <c r="DD8" t="n">
        <v>0</v>
      </c>
      <c r="DF8" t="n">
        <v>0</v>
      </c>
      <c r="DH8" t="n">
        <v>0</v>
      </c>
      <c r="DJ8" t="n">
        <v>0</v>
      </c>
      <c r="DL8" t="n">
        <v>0</v>
      </c>
      <c r="DN8" t="n">
        <v>0</v>
      </c>
      <c r="DT8" t="n">
        <v>0</v>
      </c>
      <c r="DY8" t="n">
        <v>0</v>
      </c>
      <c r="EC8" t="n">
        <v>0</v>
      </c>
      <c r="EE8" t="n">
        <v>0</v>
      </c>
      <c r="EG8" t="n">
        <v>0</v>
      </c>
      <c r="EL8" t="n">
        <v>0</v>
      </c>
      <c r="EM8" t="n">
        <v>0</v>
      </c>
      <c r="ER8" t="n">
        <v>0</v>
      </c>
      <c r="EV8" t="n">
        <v>0</v>
      </c>
      <c r="FD8" t="n">
        <v>0</v>
      </c>
      <c r="FG8" t="n">
        <v>0</v>
      </c>
      <c r="FL8" t="n">
        <v>0</v>
      </c>
      <c r="FN8" t="n">
        <v>0</v>
      </c>
      <c r="FO8" t="n">
        <v>0</v>
      </c>
      <c r="GB8" t="n">
        <v>0</v>
      </c>
      <c r="GC8" t="n">
        <v>0</v>
      </c>
      <c r="GD8" t="n">
        <v>0</v>
      </c>
      <c r="GE8" t="n">
        <v>0</v>
      </c>
      <c r="GF8" t="n">
        <v>0</v>
      </c>
      <c r="GG8" t="n">
        <v>0</v>
      </c>
      <c r="GH8" t="n">
        <v>0</v>
      </c>
      <c r="GI8" t="n">
        <v>0</v>
      </c>
      <c r="GJ8" t="n">
        <v>0</v>
      </c>
      <c r="GK8" t="n">
        <v>0</v>
      </c>
      <c r="GL8" t="n">
        <v>0</v>
      </c>
      <c r="GM8" t="n">
        <v>0</v>
      </c>
      <c r="GN8" t="n">
        <v>0.012</v>
      </c>
      <c r="GO8" t="n">
        <v>0.016</v>
      </c>
      <c r="GP8" t="n">
        <v>0.047</v>
      </c>
      <c r="GQ8" t="n">
        <v>0.013</v>
      </c>
      <c r="GR8" t="n">
        <v>0.035</v>
      </c>
      <c r="GS8" t="n">
        <v>0</v>
      </c>
      <c r="GU8" t="n">
        <v>0</v>
      </c>
      <c r="HQ8" t="n">
        <v>3.9</v>
      </c>
    </row>
    <row r="9">
      <c r="A9" t="n">
        <v>169102</v>
      </c>
      <c r="B9" t="inlineStr">
        <is>
          <t>Orange juice, frozen concentrate, unsweetened, diluted with 3 volume water</t>
        </is>
      </c>
      <c r="C9" t="inlineStr"/>
      <c r="D9" t="inlineStr">
        <is>
          <t>SR Legacy</t>
        </is>
      </c>
      <c r="E9" s="9" t="n">
        <v>100</v>
      </c>
      <c r="F9" s="10">
        <f>E9/SUM($E$3:$E$80)</f>
        <v/>
      </c>
      <c r="G9" t="n">
        <v>90.09999999999999</v>
      </c>
      <c r="H9" t="n">
        <v>38.14</v>
      </c>
      <c r="I9" t="n">
        <v>159.57776</v>
      </c>
      <c r="J9" t="n">
        <v>0.096</v>
      </c>
      <c r="K9" t="n">
        <v>0.6</v>
      </c>
      <c r="L9" t="n">
        <v>0.06</v>
      </c>
      <c r="M9" t="n">
        <v>0.06</v>
      </c>
      <c r="N9" t="n">
        <v>0.47</v>
      </c>
      <c r="O9" t="n">
        <v>8.800000000000001</v>
      </c>
      <c r="P9" t="n">
        <v>0.2</v>
      </c>
      <c r="V9" t="n">
        <v>7.42</v>
      </c>
      <c r="AF9" t="n">
        <v>12</v>
      </c>
      <c r="AG9" t="n">
        <v>0.08</v>
      </c>
      <c r="AH9" t="n">
        <v>10</v>
      </c>
      <c r="AI9" t="n">
        <v>15</v>
      </c>
      <c r="AJ9" t="n">
        <v>158</v>
      </c>
      <c r="AK9" t="n">
        <v>4</v>
      </c>
      <c r="AL9" t="n">
        <v>0.04</v>
      </c>
      <c r="AM9" t="n">
        <v>0.021</v>
      </c>
      <c r="AP9" t="n">
        <v>0.1</v>
      </c>
      <c r="AS9" t="n">
        <v>19</v>
      </c>
      <c r="AT9" t="n">
        <v>0.06900000000000001</v>
      </c>
      <c r="AU9" t="n">
        <v>0.044</v>
      </c>
      <c r="AV9" t="n">
        <v>0.273</v>
      </c>
      <c r="AW9" t="n">
        <v>0.065</v>
      </c>
      <c r="AX9" t="n">
        <v>19</v>
      </c>
      <c r="AY9" t="n">
        <v>0</v>
      </c>
      <c r="AZ9" t="n">
        <v>19</v>
      </c>
      <c r="BA9" t="n">
        <v>5</v>
      </c>
      <c r="BH9" t="n">
        <v>0</v>
      </c>
      <c r="BI9" t="n">
        <v>0</v>
      </c>
      <c r="BJ9" t="n">
        <v>3</v>
      </c>
      <c r="BK9" t="n">
        <v>0</v>
      </c>
      <c r="BL9" t="n">
        <v>13</v>
      </c>
      <c r="BO9" t="n">
        <v>5</v>
      </c>
      <c r="BQ9" t="n">
        <v>48</v>
      </c>
      <c r="BS9" t="n">
        <v>66</v>
      </c>
      <c r="BT9" t="n">
        <v>0</v>
      </c>
      <c r="BW9" t="n">
        <v>83</v>
      </c>
      <c r="CC9" t="n">
        <v>0</v>
      </c>
      <c r="CD9" t="n">
        <v>0</v>
      </c>
      <c r="CH9" t="n">
        <v>0.1</v>
      </c>
      <c r="CK9" t="n">
        <v>0.15</v>
      </c>
      <c r="CL9" t="n">
        <v>0</v>
      </c>
      <c r="CT9" t="n">
        <v>36.2</v>
      </c>
      <c r="CW9" t="n">
        <v>0</v>
      </c>
      <c r="CX9" t="n">
        <v>0</v>
      </c>
      <c r="CY9" t="n">
        <v>0.015</v>
      </c>
      <c r="CZ9" t="n">
        <v>0</v>
      </c>
      <c r="DB9" t="n">
        <v>0</v>
      </c>
      <c r="DD9" t="n">
        <v>0</v>
      </c>
      <c r="DF9" t="n">
        <v>0</v>
      </c>
      <c r="DH9" t="n">
        <v>0.001</v>
      </c>
      <c r="DJ9" t="n">
        <v>0.001</v>
      </c>
      <c r="DL9" t="n">
        <v>0.011</v>
      </c>
      <c r="DN9" t="n">
        <v>0.002</v>
      </c>
      <c r="DT9" t="n">
        <v>0.012</v>
      </c>
      <c r="DY9" t="n">
        <v>0.002</v>
      </c>
      <c r="EC9" t="n">
        <v>0.011</v>
      </c>
      <c r="EE9" t="n">
        <v>0</v>
      </c>
      <c r="EG9" t="n">
        <v>0</v>
      </c>
      <c r="EL9" t="n">
        <v>0.016</v>
      </c>
      <c r="EM9" t="n">
        <v>0.012</v>
      </c>
      <c r="ER9" t="n">
        <v>0.004</v>
      </c>
      <c r="EV9" t="n">
        <v>0</v>
      </c>
      <c r="FD9" t="n">
        <v>0</v>
      </c>
      <c r="FG9" t="n">
        <v>0</v>
      </c>
      <c r="FL9" t="n">
        <v>0</v>
      </c>
      <c r="FN9" t="n">
        <v>0</v>
      </c>
      <c r="FO9" t="n">
        <v>0</v>
      </c>
      <c r="GB9" t="n">
        <v>0</v>
      </c>
      <c r="HQ9" t="n">
        <v>0</v>
      </c>
    </row>
    <row r="10">
      <c r="A10" t="n">
        <v>169707</v>
      </c>
      <c r="B10" t="inlineStr">
        <is>
          <t>Rice, white, long-grain, parboiled, enriched, dry</t>
        </is>
      </c>
      <c r="C10" t="inlineStr"/>
      <c r="D10" t="inlineStr">
        <is>
          <t>SR Legacy</t>
        </is>
      </c>
      <c r="E10" s="9" t="n">
        <v>100</v>
      </c>
      <c r="F10" s="10">
        <f>E10/SUM($E$3:$E$80)</f>
        <v/>
      </c>
      <c r="G10" t="n">
        <v>9.859999999999999</v>
      </c>
      <c r="H10" t="n">
        <v>362.91</v>
      </c>
      <c r="I10" t="n">
        <v>1518.41544</v>
      </c>
      <c r="J10" t="n">
        <v>1.2016</v>
      </c>
      <c r="K10" t="n">
        <v>7.51</v>
      </c>
      <c r="L10" t="n">
        <v>1.03</v>
      </c>
      <c r="M10" t="n">
        <v>1.03</v>
      </c>
      <c r="N10" t="n">
        <v>0.71</v>
      </c>
      <c r="O10" t="n">
        <v>80.90000000000001</v>
      </c>
      <c r="P10" t="n">
        <v>1.8</v>
      </c>
      <c r="V10" t="n">
        <v>0.33</v>
      </c>
      <c r="W10" t="n">
        <v>0.21</v>
      </c>
      <c r="X10" t="n">
        <v>0.11</v>
      </c>
      <c r="Y10" t="n">
        <v>0.02</v>
      </c>
      <c r="Z10" t="n">
        <v>0</v>
      </c>
      <c r="AA10" t="n">
        <v>0</v>
      </c>
      <c r="AB10" t="n">
        <v>0</v>
      </c>
      <c r="AC10" t="n">
        <v>68.3</v>
      </c>
      <c r="AF10" t="n">
        <v>71</v>
      </c>
      <c r="AG10" t="n">
        <v>3.33</v>
      </c>
      <c r="AH10" t="n">
        <v>27</v>
      </c>
      <c r="AI10" t="n">
        <v>153</v>
      </c>
      <c r="AJ10" t="n">
        <v>174</v>
      </c>
      <c r="AK10" t="n">
        <v>2</v>
      </c>
      <c r="AL10" t="n">
        <v>1.02</v>
      </c>
      <c r="AM10" t="n">
        <v>0.284</v>
      </c>
      <c r="AN10" t="n">
        <v>1.04</v>
      </c>
      <c r="AP10" t="n">
        <v>19.9</v>
      </c>
      <c r="AS10" t="n">
        <v>8</v>
      </c>
      <c r="AT10" t="n">
        <v>0.603</v>
      </c>
      <c r="AU10" t="n">
        <v>0.05</v>
      </c>
      <c r="AV10" t="n">
        <v>5.05</v>
      </c>
      <c r="AW10" t="n">
        <v>0.452</v>
      </c>
      <c r="AX10" t="n">
        <v>257</v>
      </c>
      <c r="AY10" t="n">
        <v>249</v>
      </c>
      <c r="AZ10" t="n">
        <v>431</v>
      </c>
      <c r="BA10" t="n">
        <v>6</v>
      </c>
      <c r="BH10" t="n">
        <v>0</v>
      </c>
      <c r="BI10" t="n">
        <v>0</v>
      </c>
      <c r="BJ10" t="n">
        <v>0</v>
      </c>
      <c r="BK10" t="n">
        <v>0</v>
      </c>
      <c r="BL10" t="n">
        <v>0</v>
      </c>
      <c r="BO10" t="n">
        <v>0</v>
      </c>
      <c r="BQ10" t="n">
        <v>0</v>
      </c>
      <c r="BS10" t="n">
        <v>0</v>
      </c>
      <c r="BT10" t="n">
        <v>0</v>
      </c>
      <c r="BW10" t="n">
        <v>0</v>
      </c>
      <c r="CC10" t="n">
        <v>0</v>
      </c>
      <c r="CD10" t="n">
        <v>0</v>
      </c>
      <c r="CH10" t="n">
        <v>0.1</v>
      </c>
      <c r="CK10" t="n">
        <v>0.03</v>
      </c>
      <c r="CL10" t="n">
        <v>0</v>
      </c>
      <c r="CM10" t="n">
        <v>0.02</v>
      </c>
      <c r="CN10" t="n">
        <v>0.17</v>
      </c>
      <c r="CO10" t="n">
        <v>0</v>
      </c>
      <c r="CP10" t="n">
        <v>0.05</v>
      </c>
      <c r="CQ10" t="n">
        <v>0</v>
      </c>
      <c r="CR10" t="n">
        <v>0</v>
      </c>
      <c r="CS10" t="n">
        <v>0</v>
      </c>
      <c r="CT10" t="n">
        <v>0</v>
      </c>
      <c r="CU10" t="n">
        <v>0.672</v>
      </c>
      <c r="CW10" t="n">
        <v>0</v>
      </c>
      <c r="CX10" t="n">
        <v>0</v>
      </c>
      <c r="CY10" t="n">
        <v>0.294</v>
      </c>
      <c r="CZ10" t="n">
        <v>0</v>
      </c>
      <c r="DB10" t="n">
        <v>0</v>
      </c>
      <c r="DD10" t="n">
        <v>0</v>
      </c>
      <c r="DF10" t="n">
        <v>0</v>
      </c>
      <c r="DH10" t="n">
        <v>0</v>
      </c>
      <c r="DJ10" t="n">
        <v>0</v>
      </c>
      <c r="DK10" t="n">
        <v>0</v>
      </c>
      <c r="DL10" t="n">
        <v>0.277</v>
      </c>
      <c r="DM10" t="n">
        <v>0</v>
      </c>
      <c r="DN10" t="n">
        <v>0.017</v>
      </c>
      <c r="DO10" t="n">
        <v>0</v>
      </c>
      <c r="DQ10" t="n">
        <v>0</v>
      </c>
      <c r="DS10" t="n">
        <v>0</v>
      </c>
      <c r="DT10" t="n">
        <v>0.258</v>
      </c>
      <c r="DV10" t="n">
        <v>0</v>
      </c>
      <c r="DY10" t="n">
        <v>0</v>
      </c>
      <c r="EC10" t="n">
        <v>0.258</v>
      </c>
      <c r="EE10" t="n">
        <v>0</v>
      </c>
      <c r="EG10" t="n">
        <v>0</v>
      </c>
      <c r="EL10" t="n">
        <v>0.322</v>
      </c>
      <c r="EM10" t="n">
        <v>0.305</v>
      </c>
      <c r="ER10" t="n">
        <v>0.017</v>
      </c>
      <c r="EV10" t="n">
        <v>0</v>
      </c>
      <c r="FD10" t="n">
        <v>0</v>
      </c>
      <c r="FG10" t="n">
        <v>0</v>
      </c>
      <c r="FL10" t="n">
        <v>0</v>
      </c>
      <c r="FN10" t="n">
        <v>0</v>
      </c>
      <c r="GB10" t="n">
        <v>0</v>
      </c>
      <c r="GC10" t="n">
        <v>0.103</v>
      </c>
      <c r="GD10" t="n">
        <v>0.271</v>
      </c>
      <c r="GE10" t="n">
        <v>0.339</v>
      </c>
      <c r="GF10" t="n">
        <v>0.656</v>
      </c>
      <c r="GG10" t="n">
        <v>0.215</v>
      </c>
      <c r="GH10" t="n">
        <v>0.183</v>
      </c>
      <c r="GI10" t="n">
        <v>0.398</v>
      </c>
      <c r="GJ10" t="n">
        <v>0.216</v>
      </c>
      <c r="GK10" t="n">
        <v>0.47</v>
      </c>
      <c r="GL10" t="n">
        <v>0.651</v>
      </c>
      <c r="GM10" t="n">
        <v>0.185</v>
      </c>
      <c r="GN10" t="n">
        <v>0.433</v>
      </c>
      <c r="GO10" t="n">
        <v>0.795</v>
      </c>
      <c r="GP10" t="n">
        <v>1.4</v>
      </c>
      <c r="GQ10" t="n">
        <v>0.358</v>
      </c>
      <c r="GR10" t="n">
        <v>0.484</v>
      </c>
      <c r="GS10" t="n">
        <v>0.366</v>
      </c>
      <c r="GU10" t="n">
        <v>0.153</v>
      </c>
      <c r="HQ10" t="n">
        <v>0</v>
      </c>
    </row>
    <row r="11">
      <c r="A11" t="n">
        <v>169758</v>
      </c>
      <c r="B11" t="inlineStr">
        <is>
          <t>Rice, white, long-grain, parboiled, unenriched, dry</t>
        </is>
      </c>
      <c r="C11" t="inlineStr"/>
      <c r="D11" t="inlineStr">
        <is>
          <t>SR Legacy</t>
        </is>
      </c>
      <c r="E11" s="9" t="n">
        <v>100</v>
      </c>
      <c r="F11" s="10">
        <f>E11/SUM($E$3:$E$80)</f>
        <v/>
      </c>
      <c r="G11" t="n">
        <v>9.859999999999999</v>
      </c>
      <c r="H11" t="n">
        <v>362.91</v>
      </c>
      <c r="I11" t="n">
        <v>1518.41544</v>
      </c>
      <c r="J11" t="n">
        <v>1.2016</v>
      </c>
      <c r="K11" t="n">
        <v>7.51</v>
      </c>
      <c r="L11" t="n">
        <v>1.03</v>
      </c>
      <c r="M11" t="n">
        <v>1.03</v>
      </c>
      <c r="N11" t="n">
        <v>0.71</v>
      </c>
      <c r="O11" t="n">
        <v>80.90000000000001</v>
      </c>
      <c r="P11" t="n">
        <v>1.8</v>
      </c>
      <c r="V11" t="n">
        <v>0.33</v>
      </c>
      <c r="W11" t="n">
        <v>0.21</v>
      </c>
      <c r="X11" t="n">
        <v>0.11</v>
      </c>
      <c r="Y11" t="n">
        <v>0.02</v>
      </c>
      <c r="Z11" t="n">
        <v>0</v>
      </c>
      <c r="AA11" t="n">
        <v>0</v>
      </c>
      <c r="AB11" t="n">
        <v>0</v>
      </c>
      <c r="AC11" t="n">
        <v>68.3</v>
      </c>
      <c r="AF11" t="n">
        <v>71</v>
      </c>
      <c r="AG11" t="n">
        <v>0.74</v>
      </c>
      <c r="AH11" t="n">
        <v>27</v>
      </c>
      <c r="AI11" t="n">
        <v>153</v>
      </c>
      <c r="AJ11" t="n">
        <v>174</v>
      </c>
      <c r="AK11" t="n">
        <v>2</v>
      </c>
      <c r="AL11" t="n">
        <v>1.02</v>
      </c>
      <c r="AM11" t="n">
        <v>0.284</v>
      </c>
      <c r="AN11" t="n">
        <v>1.04</v>
      </c>
      <c r="AP11" t="n">
        <v>19.9</v>
      </c>
      <c r="AS11" t="n">
        <v>8</v>
      </c>
      <c r="AT11" t="n">
        <v>0.224</v>
      </c>
      <c r="AU11" t="n">
        <v>0.05</v>
      </c>
      <c r="AV11" t="n">
        <v>5.05</v>
      </c>
      <c r="AW11" t="n">
        <v>0.452</v>
      </c>
      <c r="AX11" t="n">
        <v>8</v>
      </c>
      <c r="AY11" t="n">
        <v>0</v>
      </c>
      <c r="AZ11" t="n">
        <v>8</v>
      </c>
      <c r="BH11" t="n">
        <v>0</v>
      </c>
      <c r="BI11" t="n">
        <v>0</v>
      </c>
      <c r="BK11" t="n">
        <v>0</v>
      </c>
      <c r="BS11" t="n">
        <v>0</v>
      </c>
      <c r="CC11" t="n">
        <v>0</v>
      </c>
      <c r="CD11" t="n">
        <v>0</v>
      </c>
      <c r="CH11" t="n">
        <v>0.1</v>
      </c>
      <c r="CK11" t="n">
        <v>0.03</v>
      </c>
      <c r="CL11" t="n">
        <v>0</v>
      </c>
      <c r="CM11" t="n">
        <v>0.02</v>
      </c>
      <c r="CN11" t="n">
        <v>0.17</v>
      </c>
      <c r="CO11" t="n">
        <v>0</v>
      </c>
      <c r="CP11" t="n">
        <v>0.05</v>
      </c>
      <c r="CQ11" t="n">
        <v>0</v>
      </c>
      <c r="CR11" t="n">
        <v>0</v>
      </c>
      <c r="CS11" t="n">
        <v>0</v>
      </c>
      <c r="CT11" t="n">
        <v>0</v>
      </c>
      <c r="CU11" t="n">
        <v>0.672</v>
      </c>
      <c r="CY11" t="n">
        <v>0.294</v>
      </c>
      <c r="CZ11" t="n">
        <v>0</v>
      </c>
      <c r="DB11" t="n">
        <v>0</v>
      </c>
      <c r="DD11" t="n">
        <v>0</v>
      </c>
      <c r="DF11" t="n">
        <v>0</v>
      </c>
      <c r="DH11" t="n">
        <v>0</v>
      </c>
      <c r="DJ11" t="n">
        <v>0</v>
      </c>
      <c r="DK11" t="n">
        <v>0</v>
      </c>
      <c r="DL11" t="n">
        <v>0.277</v>
      </c>
      <c r="DM11" t="n">
        <v>0</v>
      </c>
      <c r="DN11" t="n">
        <v>0.017</v>
      </c>
      <c r="DO11" t="n">
        <v>0</v>
      </c>
      <c r="DQ11" t="n">
        <v>0</v>
      </c>
      <c r="DS11" t="n">
        <v>0</v>
      </c>
      <c r="DT11" t="n">
        <v>0.258</v>
      </c>
      <c r="DV11" t="n">
        <v>0</v>
      </c>
      <c r="DY11" t="n">
        <v>0</v>
      </c>
      <c r="EC11" t="n">
        <v>0.258</v>
      </c>
      <c r="EE11" t="n">
        <v>0</v>
      </c>
      <c r="EG11" t="n">
        <v>0</v>
      </c>
      <c r="EL11" t="n">
        <v>0.322</v>
      </c>
      <c r="EM11" t="n">
        <v>0.305</v>
      </c>
      <c r="ER11" t="n">
        <v>0.017</v>
      </c>
      <c r="EV11" t="n">
        <v>0</v>
      </c>
      <c r="FD11" t="n">
        <v>0</v>
      </c>
      <c r="FG11" t="n">
        <v>0</v>
      </c>
      <c r="FL11" t="n">
        <v>0</v>
      </c>
      <c r="FN11" t="n">
        <v>0</v>
      </c>
      <c r="GB11" t="n">
        <v>0</v>
      </c>
      <c r="GC11" t="n">
        <v>0.103</v>
      </c>
      <c r="GD11" t="n">
        <v>0.271</v>
      </c>
      <c r="GE11" t="n">
        <v>0.339</v>
      </c>
      <c r="GF11" t="n">
        <v>0.656</v>
      </c>
      <c r="GG11" t="n">
        <v>0.215</v>
      </c>
      <c r="GH11" t="n">
        <v>0.183</v>
      </c>
      <c r="GI11" t="n">
        <v>0.398</v>
      </c>
      <c r="GJ11" t="n">
        <v>0.216</v>
      </c>
      <c r="GK11" t="n">
        <v>0.47</v>
      </c>
      <c r="GL11" t="n">
        <v>0.651</v>
      </c>
      <c r="GM11" t="n">
        <v>0.185</v>
      </c>
      <c r="GN11" t="n">
        <v>0.433</v>
      </c>
      <c r="GO11" t="n">
        <v>0.795</v>
      </c>
      <c r="GP11" t="n">
        <v>1.4</v>
      </c>
      <c r="GQ11" t="n">
        <v>0.358</v>
      </c>
      <c r="GR11" t="n">
        <v>0.484</v>
      </c>
      <c r="GS11" t="n">
        <v>0.366</v>
      </c>
      <c r="GU11" t="n">
        <v>0.153</v>
      </c>
      <c r="HQ11" t="n">
        <v>0</v>
      </c>
    </row>
    <row r="12">
      <c r="A12" t="n">
        <v>169802</v>
      </c>
      <c r="B12" t="inlineStr">
        <is>
          <t>Cloudberries, raw (Alaska Native)</t>
        </is>
      </c>
      <c r="C12" t="inlineStr"/>
      <c r="D12" t="inlineStr">
        <is>
          <t>SR Legacy</t>
        </is>
      </c>
      <c r="E12" s="9" t="n">
        <v>100</v>
      </c>
      <c r="F12" s="10">
        <f>E12/SUM($E$3:$E$80)</f>
        <v/>
      </c>
      <c r="G12" t="n">
        <v>87</v>
      </c>
      <c r="H12" t="n">
        <v>51.2</v>
      </c>
      <c r="I12" t="n">
        <v>214.2208</v>
      </c>
      <c r="J12" t="n">
        <v>0.384</v>
      </c>
      <c r="K12" t="n">
        <v>2.4</v>
      </c>
      <c r="L12" t="n">
        <v>0.8</v>
      </c>
      <c r="M12" t="n">
        <v>0.8</v>
      </c>
      <c r="N12" t="n">
        <v>1.2</v>
      </c>
      <c r="O12" t="n">
        <v>8.6</v>
      </c>
      <c r="AF12" t="n">
        <v>18</v>
      </c>
      <c r="AG12" t="n">
        <v>0.7</v>
      </c>
      <c r="AI12" t="n">
        <v>35</v>
      </c>
      <c r="AT12" t="n">
        <v>0.05</v>
      </c>
      <c r="AU12" t="n">
        <v>0.07000000000000001</v>
      </c>
      <c r="AV12" t="n">
        <v>0.9</v>
      </c>
      <c r="BS12" t="n">
        <v>210</v>
      </c>
      <c r="CT12" t="n">
        <v>158</v>
      </c>
    </row>
    <row r="13">
      <c r="A13" t="n">
        <v>169913</v>
      </c>
      <c r="B13" t="inlineStr">
        <is>
          <t>Mulberries, raw</t>
        </is>
      </c>
      <c r="C13" t="inlineStr"/>
      <c r="D13" t="inlineStr">
        <is>
          <t>SR Legacy</t>
        </is>
      </c>
      <c r="E13" s="9" t="n">
        <v>100</v>
      </c>
      <c r="F13" s="10">
        <f>E13/SUM($E$3:$E$80)</f>
        <v/>
      </c>
      <c r="G13" t="n">
        <v>87.7</v>
      </c>
      <c r="H13" t="n">
        <v>48.47</v>
      </c>
      <c r="I13" t="n">
        <v>202.79848</v>
      </c>
      <c r="J13" t="n">
        <v>0.2304</v>
      </c>
      <c r="K13" t="n">
        <v>1.44</v>
      </c>
      <c r="L13" t="n">
        <v>0.39</v>
      </c>
      <c r="M13" t="n">
        <v>0.39</v>
      </c>
      <c r="N13" t="n">
        <v>0.6899999999999999</v>
      </c>
      <c r="O13" t="n">
        <v>9.800000000000001</v>
      </c>
      <c r="P13" t="n">
        <v>1.7</v>
      </c>
      <c r="V13" t="n">
        <v>8.1</v>
      </c>
      <c r="AF13" t="n">
        <v>39</v>
      </c>
      <c r="AG13" t="n">
        <v>1.85</v>
      </c>
      <c r="AH13" t="n">
        <v>18</v>
      </c>
      <c r="AI13" t="n">
        <v>38</v>
      </c>
      <c r="AJ13" t="n">
        <v>194</v>
      </c>
      <c r="AK13" t="n">
        <v>10</v>
      </c>
      <c r="AL13" t="n">
        <v>0.12</v>
      </c>
      <c r="AM13" t="n">
        <v>0.06</v>
      </c>
      <c r="AP13" t="n">
        <v>0.6</v>
      </c>
      <c r="AS13" t="n">
        <v>6</v>
      </c>
      <c r="AT13" t="n">
        <v>0.029</v>
      </c>
      <c r="AU13" t="n">
        <v>0.101</v>
      </c>
      <c r="AV13" t="n">
        <v>0.62</v>
      </c>
      <c r="AW13" t="n">
        <v>0.05</v>
      </c>
      <c r="AX13" t="n">
        <v>6</v>
      </c>
      <c r="AY13" t="n">
        <v>0</v>
      </c>
      <c r="AZ13" t="n">
        <v>6</v>
      </c>
      <c r="BA13" t="n">
        <v>12.3</v>
      </c>
      <c r="BH13" t="n">
        <v>0</v>
      </c>
      <c r="BI13" t="n">
        <v>0</v>
      </c>
      <c r="BJ13" t="n">
        <v>1</v>
      </c>
      <c r="BK13" t="n">
        <v>0</v>
      </c>
      <c r="BL13" t="n">
        <v>9</v>
      </c>
      <c r="BO13" t="n">
        <v>12</v>
      </c>
      <c r="BQ13" t="n">
        <v>0</v>
      </c>
      <c r="BS13" t="n">
        <v>25</v>
      </c>
      <c r="BT13" t="n">
        <v>0</v>
      </c>
      <c r="BW13" t="n">
        <v>136</v>
      </c>
      <c r="CC13" t="n">
        <v>0</v>
      </c>
      <c r="CD13" t="n">
        <v>0</v>
      </c>
      <c r="CH13" t="n">
        <v>7.8</v>
      </c>
      <c r="CK13" t="n">
        <v>0.87</v>
      </c>
      <c r="CL13" t="n">
        <v>0</v>
      </c>
      <c r="CT13" t="n">
        <v>36.4</v>
      </c>
      <c r="CW13" t="n">
        <v>0</v>
      </c>
      <c r="CX13" t="n">
        <v>0</v>
      </c>
      <c r="CY13" t="n">
        <v>0.027</v>
      </c>
      <c r="CZ13" t="n">
        <v>0</v>
      </c>
      <c r="DB13" t="n">
        <v>0</v>
      </c>
      <c r="DD13" t="n">
        <v>0</v>
      </c>
      <c r="DF13" t="n">
        <v>0</v>
      </c>
      <c r="DH13" t="n">
        <v>0</v>
      </c>
      <c r="DJ13" t="n">
        <v>0</v>
      </c>
      <c r="DL13" t="n">
        <v>0.006</v>
      </c>
      <c r="DN13" t="n">
        <v>0.02</v>
      </c>
      <c r="DT13" t="n">
        <v>0.041</v>
      </c>
      <c r="DY13" t="n">
        <v>0</v>
      </c>
      <c r="EC13" t="n">
        <v>0.041</v>
      </c>
      <c r="EE13" t="n">
        <v>0</v>
      </c>
      <c r="EG13" t="n">
        <v>0</v>
      </c>
      <c r="EL13" t="n">
        <v>0.207</v>
      </c>
      <c r="EM13" t="n">
        <v>0.206</v>
      </c>
      <c r="ER13" t="n">
        <v>0.001</v>
      </c>
      <c r="EV13" t="n">
        <v>0</v>
      </c>
      <c r="FD13" t="n">
        <v>0</v>
      </c>
      <c r="FG13" t="n">
        <v>0</v>
      </c>
      <c r="FL13" t="n">
        <v>0</v>
      </c>
      <c r="FN13" t="n">
        <v>0</v>
      </c>
      <c r="FO13" t="n">
        <v>0</v>
      </c>
      <c r="GB13" t="n">
        <v>0</v>
      </c>
      <c r="HQ13" t="n">
        <v>0</v>
      </c>
    </row>
    <row r="14">
      <c r="A14" t="n">
        <v>169967</v>
      </c>
      <c r="B14" t="inlineStr">
        <is>
          <t>Broccoli, cooked, boiled, drained, without salt</t>
        </is>
      </c>
      <c r="C14" t="inlineStr"/>
      <c r="D14" t="inlineStr">
        <is>
          <t>SR Legacy</t>
        </is>
      </c>
      <c r="E14" s="9" t="n">
        <v>100</v>
      </c>
      <c r="F14" s="10">
        <f>E14/SUM($E$3:$E$80)</f>
        <v/>
      </c>
      <c r="G14" t="n">
        <v>89.2</v>
      </c>
      <c r="H14" t="n">
        <v>41.92999999999999</v>
      </c>
      <c r="I14" t="n">
        <v>175.43512</v>
      </c>
      <c r="J14" t="n">
        <v>0.3808</v>
      </c>
      <c r="K14" t="n">
        <v>2.38</v>
      </c>
      <c r="L14" t="n">
        <v>0.41</v>
      </c>
      <c r="M14" t="n">
        <v>0.41</v>
      </c>
      <c r="N14" t="n">
        <v>0.77</v>
      </c>
      <c r="O14" t="n">
        <v>7.18</v>
      </c>
      <c r="P14" t="n">
        <v>3.3</v>
      </c>
      <c r="V14" t="n">
        <v>1.39</v>
      </c>
      <c r="W14" t="n">
        <v>0.08</v>
      </c>
      <c r="X14" t="n">
        <v>0.49</v>
      </c>
      <c r="Y14" t="n">
        <v>0.74</v>
      </c>
      <c r="Z14" t="n">
        <v>0</v>
      </c>
      <c r="AA14" t="n">
        <v>0</v>
      </c>
      <c r="AB14" t="n">
        <v>0</v>
      </c>
      <c r="AC14" t="n">
        <v>0</v>
      </c>
      <c r="AF14" t="n">
        <v>40</v>
      </c>
      <c r="AG14" t="n">
        <v>0.67</v>
      </c>
      <c r="AH14" t="n">
        <v>21</v>
      </c>
      <c r="AI14" t="n">
        <v>67</v>
      </c>
      <c r="AJ14" t="n">
        <v>293</v>
      </c>
      <c r="AK14" t="n">
        <v>41</v>
      </c>
      <c r="AL14" t="n">
        <v>0.45</v>
      </c>
      <c r="AM14" t="n">
        <v>0.061</v>
      </c>
      <c r="AN14" t="n">
        <v>0.194</v>
      </c>
      <c r="AP14" t="n">
        <v>1.6</v>
      </c>
      <c r="AR14" t="n">
        <v>4</v>
      </c>
      <c r="AS14" t="n">
        <v>108</v>
      </c>
      <c r="AT14" t="n">
        <v>0.063</v>
      </c>
      <c r="AU14" t="n">
        <v>0.123</v>
      </c>
      <c r="AV14" t="n">
        <v>0.553</v>
      </c>
      <c r="AW14" t="n">
        <v>0.2</v>
      </c>
      <c r="AX14" t="n">
        <v>108</v>
      </c>
      <c r="AY14" t="n">
        <v>0</v>
      </c>
      <c r="AZ14" t="n">
        <v>108</v>
      </c>
      <c r="BA14" t="n">
        <v>40.1</v>
      </c>
      <c r="BG14" t="n">
        <v>0.1</v>
      </c>
      <c r="BH14" t="n">
        <v>0</v>
      </c>
      <c r="BI14" t="n">
        <v>0</v>
      </c>
      <c r="BJ14" t="n">
        <v>77</v>
      </c>
      <c r="BK14" t="n">
        <v>0</v>
      </c>
      <c r="BL14" t="n">
        <v>929</v>
      </c>
      <c r="BO14" t="n">
        <v>0</v>
      </c>
      <c r="BQ14" t="n">
        <v>0</v>
      </c>
      <c r="BS14" t="n">
        <v>1550</v>
      </c>
      <c r="BT14" t="n">
        <v>0</v>
      </c>
      <c r="BW14" t="n">
        <v>1080</v>
      </c>
      <c r="CC14" t="n">
        <v>0</v>
      </c>
      <c r="CD14" t="n">
        <v>0</v>
      </c>
      <c r="CH14" t="n">
        <v>141</v>
      </c>
      <c r="CI14" t="n">
        <v>0</v>
      </c>
      <c r="CK14" t="n">
        <v>1.45</v>
      </c>
      <c r="CL14" t="n">
        <v>0</v>
      </c>
      <c r="CM14" t="n">
        <v>0.01</v>
      </c>
      <c r="CN14" t="n">
        <v>0.25</v>
      </c>
      <c r="CO14" t="n">
        <v>0</v>
      </c>
      <c r="CP14" t="n">
        <v>0</v>
      </c>
      <c r="CQ14" t="n">
        <v>0</v>
      </c>
      <c r="CR14" t="n">
        <v>0</v>
      </c>
      <c r="CS14" t="n">
        <v>0</v>
      </c>
      <c r="CT14" t="n">
        <v>64.90000000000001</v>
      </c>
      <c r="CU14" t="n">
        <v>0.616</v>
      </c>
      <c r="CW14" t="n">
        <v>0</v>
      </c>
      <c r="CX14" t="n">
        <v>0</v>
      </c>
      <c r="CY14" t="n">
        <v>0.079</v>
      </c>
      <c r="CZ14" t="n">
        <v>0</v>
      </c>
      <c r="DB14" t="n">
        <v>0</v>
      </c>
      <c r="DD14" t="n">
        <v>0</v>
      </c>
      <c r="DF14" t="n">
        <v>0</v>
      </c>
      <c r="DH14" t="n">
        <v>0.002</v>
      </c>
      <c r="DJ14" t="n">
        <v>0</v>
      </c>
      <c r="DK14" t="n">
        <v>0</v>
      </c>
      <c r="DL14" t="n">
        <v>0.056</v>
      </c>
      <c r="DM14" t="n">
        <v>0</v>
      </c>
      <c r="DN14" t="n">
        <v>0.013</v>
      </c>
      <c r="DO14" t="n">
        <v>0.004</v>
      </c>
      <c r="DQ14" t="n">
        <v>0.005</v>
      </c>
      <c r="DT14" t="n">
        <v>0.04</v>
      </c>
      <c r="DV14" t="n">
        <v>0</v>
      </c>
      <c r="DX14" t="n">
        <v>0</v>
      </c>
      <c r="DY14" t="n">
        <v>0.008999999999999999</v>
      </c>
      <c r="EA14" t="n">
        <v>0.002</v>
      </c>
      <c r="EC14" t="n">
        <v>0.029</v>
      </c>
      <c r="EE14" t="n">
        <v>0</v>
      </c>
      <c r="EG14" t="n">
        <v>0</v>
      </c>
      <c r="EL14" t="n">
        <v>0.17</v>
      </c>
      <c r="EM14" t="n">
        <v>0.051</v>
      </c>
      <c r="ER14" t="n">
        <v>0.119</v>
      </c>
      <c r="EU14" t="n">
        <v>0</v>
      </c>
      <c r="EV14" t="n">
        <v>0</v>
      </c>
      <c r="EX14" t="n">
        <v>0</v>
      </c>
      <c r="EY14" t="n">
        <v>0</v>
      </c>
      <c r="FD14" t="n">
        <v>0</v>
      </c>
      <c r="FG14" t="n">
        <v>0</v>
      </c>
      <c r="FL14" t="n">
        <v>0</v>
      </c>
      <c r="FN14" t="n">
        <v>0</v>
      </c>
      <c r="FO14" t="n">
        <v>0</v>
      </c>
      <c r="GB14" t="n">
        <v>0</v>
      </c>
      <c r="GC14" t="n">
        <v>0.034</v>
      </c>
      <c r="GD14" t="n">
        <v>0.096</v>
      </c>
      <c r="GE14" t="n">
        <v>0.092</v>
      </c>
      <c r="GF14" t="n">
        <v>0.147</v>
      </c>
      <c r="GG14" t="n">
        <v>0.155</v>
      </c>
      <c r="GH14" t="n">
        <v>0.043</v>
      </c>
      <c r="GI14" t="n">
        <v>0.116</v>
      </c>
      <c r="GJ14" t="n">
        <v>0.06</v>
      </c>
      <c r="GK14" t="n">
        <v>0.138</v>
      </c>
      <c r="GL14" t="n">
        <v>0.2</v>
      </c>
      <c r="GM14" t="n">
        <v>0.063</v>
      </c>
      <c r="GN14" t="n">
        <v>0.114</v>
      </c>
      <c r="GO14" t="n">
        <v>0.329</v>
      </c>
      <c r="GP14" t="n">
        <v>0.549</v>
      </c>
      <c r="GQ14" t="n">
        <v>0.101</v>
      </c>
      <c r="GR14" t="n">
        <v>0.111</v>
      </c>
      <c r="GS14" t="n">
        <v>0.129</v>
      </c>
      <c r="GU14" t="n">
        <v>0.031</v>
      </c>
      <c r="HQ14" t="n">
        <v>0</v>
      </c>
    </row>
    <row r="15">
      <c r="A15" t="n">
        <v>169969</v>
      </c>
      <c r="B15" t="inlineStr">
        <is>
          <t>Broccoli, frozen, chopped, cooked, boiled, drained, without salt</t>
        </is>
      </c>
      <c r="C15" t="inlineStr"/>
      <c r="D15" t="inlineStr">
        <is>
          <t>SR Legacy</t>
        </is>
      </c>
      <c r="E15" s="9" t="n">
        <v>100</v>
      </c>
      <c r="F15" s="10">
        <f>E15/SUM($E$3:$E$80)</f>
        <v/>
      </c>
      <c r="G15" t="n">
        <v>90.7</v>
      </c>
      <c r="H15" t="n">
        <v>34.88</v>
      </c>
      <c r="I15" t="n">
        <v>145.93792</v>
      </c>
      <c r="J15" t="n">
        <v>0.496</v>
      </c>
      <c r="K15" t="n">
        <v>3.1</v>
      </c>
      <c r="L15" t="n">
        <v>0.12</v>
      </c>
      <c r="M15" t="n">
        <v>0.12</v>
      </c>
      <c r="N15" t="n">
        <v>0.71</v>
      </c>
      <c r="O15" t="n">
        <v>5.35</v>
      </c>
      <c r="P15" t="n">
        <v>3</v>
      </c>
      <c r="V15" t="n">
        <v>1.47</v>
      </c>
      <c r="AF15" t="n">
        <v>33</v>
      </c>
      <c r="AG15" t="n">
        <v>0.61</v>
      </c>
      <c r="AH15" t="n">
        <v>13</v>
      </c>
      <c r="AI15" t="n">
        <v>49</v>
      </c>
      <c r="AJ15" t="n">
        <v>142</v>
      </c>
      <c r="AK15" t="n">
        <v>11</v>
      </c>
      <c r="AL15" t="n">
        <v>0.28</v>
      </c>
      <c r="AM15" t="n">
        <v>0.034</v>
      </c>
      <c r="AN15" t="n">
        <v>0.223</v>
      </c>
      <c r="AP15" t="n">
        <v>0.7</v>
      </c>
      <c r="AS15" t="n">
        <v>56</v>
      </c>
      <c r="AT15" t="n">
        <v>0.055</v>
      </c>
      <c r="AU15" t="n">
        <v>0.081</v>
      </c>
      <c r="AV15" t="n">
        <v>0.458</v>
      </c>
      <c r="AW15" t="n">
        <v>0.13</v>
      </c>
      <c r="AX15" t="n">
        <v>56</v>
      </c>
      <c r="AY15" t="n">
        <v>0</v>
      </c>
      <c r="AZ15" t="n">
        <v>56</v>
      </c>
      <c r="BA15" t="n">
        <v>16.2</v>
      </c>
      <c r="BH15" t="n">
        <v>0</v>
      </c>
      <c r="BI15" t="n">
        <v>0</v>
      </c>
      <c r="BJ15" t="n">
        <v>51</v>
      </c>
      <c r="BK15" t="n">
        <v>0</v>
      </c>
      <c r="BL15" t="n">
        <v>597</v>
      </c>
      <c r="BO15" t="n">
        <v>19</v>
      </c>
      <c r="BQ15" t="n">
        <v>1</v>
      </c>
      <c r="BS15" t="n">
        <v>1010</v>
      </c>
      <c r="BT15" t="n">
        <v>0</v>
      </c>
      <c r="BW15" t="n">
        <v>1100</v>
      </c>
      <c r="CC15" t="n">
        <v>0</v>
      </c>
      <c r="CD15" t="n">
        <v>0</v>
      </c>
      <c r="CH15" t="n">
        <v>88.09999999999999</v>
      </c>
      <c r="CK15" t="n">
        <v>1.32</v>
      </c>
      <c r="CL15" t="n">
        <v>0</v>
      </c>
      <c r="CT15" t="n">
        <v>40.1</v>
      </c>
      <c r="CU15" t="n">
        <v>0.274</v>
      </c>
      <c r="CW15" t="n">
        <v>0</v>
      </c>
      <c r="CX15" t="n">
        <v>0</v>
      </c>
      <c r="CY15" t="n">
        <v>0.018</v>
      </c>
      <c r="CZ15" t="n">
        <v>0</v>
      </c>
      <c r="DB15" t="n">
        <v>0</v>
      </c>
      <c r="DD15" t="n">
        <v>0</v>
      </c>
      <c r="DF15" t="n">
        <v>0</v>
      </c>
      <c r="DH15" t="n">
        <v>0</v>
      </c>
      <c r="DJ15" t="n">
        <v>0</v>
      </c>
      <c r="DL15" t="n">
        <v>0.016</v>
      </c>
      <c r="DN15" t="n">
        <v>0.002</v>
      </c>
      <c r="DT15" t="n">
        <v>0.008</v>
      </c>
      <c r="DY15" t="n">
        <v>0</v>
      </c>
      <c r="EC15" t="n">
        <v>0.008</v>
      </c>
      <c r="EE15" t="n">
        <v>0</v>
      </c>
      <c r="EG15" t="n">
        <v>0</v>
      </c>
      <c r="EL15" t="n">
        <v>0.055</v>
      </c>
      <c r="EM15" t="n">
        <v>0.013</v>
      </c>
      <c r="ER15" t="n">
        <v>0.042</v>
      </c>
      <c r="EV15" t="n">
        <v>0</v>
      </c>
      <c r="FD15" t="n">
        <v>0</v>
      </c>
      <c r="FG15" t="n">
        <v>0</v>
      </c>
      <c r="FL15" t="n">
        <v>0</v>
      </c>
      <c r="FN15" t="n">
        <v>0</v>
      </c>
      <c r="FO15" t="n">
        <v>0</v>
      </c>
      <c r="GB15" t="n">
        <v>0</v>
      </c>
      <c r="GC15" t="n">
        <v>0.032</v>
      </c>
      <c r="GD15" t="n">
        <v>0.101</v>
      </c>
      <c r="GE15" t="n">
        <v>0.121</v>
      </c>
      <c r="GF15" t="n">
        <v>0.145</v>
      </c>
      <c r="GG15" t="n">
        <v>0.156</v>
      </c>
      <c r="GH15" t="n">
        <v>0.037</v>
      </c>
      <c r="GI15" t="n">
        <v>0.094</v>
      </c>
      <c r="GJ15" t="n">
        <v>0.07000000000000001</v>
      </c>
      <c r="GK15" t="n">
        <v>0.142</v>
      </c>
      <c r="GL15" t="n">
        <v>0.161</v>
      </c>
      <c r="GM15" t="n">
        <v>0.055</v>
      </c>
      <c r="GN15" t="n">
        <v>0.13</v>
      </c>
      <c r="GO15" t="n">
        <v>0.236</v>
      </c>
      <c r="GP15" t="n">
        <v>0.417</v>
      </c>
      <c r="GQ15" t="n">
        <v>0.105</v>
      </c>
      <c r="GR15" t="n">
        <v>0.127</v>
      </c>
      <c r="GS15" t="n">
        <v>0.111</v>
      </c>
      <c r="GU15" t="n">
        <v>0.022</v>
      </c>
      <c r="HQ15" t="n">
        <v>0</v>
      </c>
    </row>
    <row r="16">
      <c r="A16" t="n">
        <v>170330</v>
      </c>
      <c r="B16" t="inlineStr">
        <is>
          <t>BURGER KING, Premium Fish Sandwich</t>
        </is>
      </c>
      <c r="C16" t="inlineStr"/>
      <c r="D16" t="inlineStr">
        <is>
          <t>SR Legacy</t>
        </is>
      </c>
      <c r="E16" s="9" t="n">
        <v>100</v>
      </c>
      <c r="F16" s="10">
        <f>E16/SUM($E$3:$E$80)</f>
        <v/>
      </c>
      <c r="G16" t="n">
        <v>48.4</v>
      </c>
      <c r="H16" t="n">
        <v>259.6</v>
      </c>
      <c r="I16" t="n">
        <v>1086.1664</v>
      </c>
      <c r="J16" t="n">
        <v>1.648</v>
      </c>
      <c r="K16" t="n">
        <v>10.3</v>
      </c>
      <c r="L16" t="n">
        <v>12.4</v>
      </c>
      <c r="M16" t="n">
        <v>12.4</v>
      </c>
      <c r="N16" t="n">
        <v>2.13</v>
      </c>
      <c r="O16" t="n">
        <v>26.7</v>
      </c>
      <c r="P16" t="n">
        <v>0.9</v>
      </c>
      <c r="V16" t="n">
        <v>3.53</v>
      </c>
      <c r="W16" t="n">
        <v>0</v>
      </c>
      <c r="X16" t="n">
        <v>1.2</v>
      </c>
      <c r="Y16" t="n">
        <v>1.47</v>
      </c>
      <c r="Z16" t="n">
        <v>0</v>
      </c>
      <c r="AA16" t="n">
        <v>0.87</v>
      </c>
      <c r="AB16" t="n">
        <v>0</v>
      </c>
      <c r="AF16" t="n">
        <v>37</v>
      </c>
      <c r="AG16" t="n">
        <v>1.5</v>
      </c>
      <c r="AH16" t="n">
        <v>25</v>
      </c>
      <c r="AI16" t="n">
        <v>116</v>
      </c>
      <c r="AJ16" t="n">
        <v>206</v>
      </c>
      <c r="AK16" t="n">
        <v>602</v>
      </c>
      <c r="AL16" t="n">
        <v>0.49</v>
      </c>
      <c r="AM16" t="n">
        <v>0.075</v>
      </c>
      <c r="AN16" t="n">
        <v>0.264</v>
      </c>
      <c r="AP16" t="n">
        <v>24.3</v>
      </c>
      <c r="AT16" t="n">
        <v>0.197</v>
      </c>
      <c r="AU16" t="n">
        <v>0.18</v>
      </c>
      <c r="AV16" t="n">
        <v>2.09</v>
      </c>
      <c r="AW16" t="n">
        <v>0.036</v>
      </c>
      <c r="CH16" t="n">
        <v>22.5</v>
      </c>
      <c r="CI16" t="n">
        <v>9.1</v>
      </c>
      <c r="CT16" t="n">
        <v>0.2</v>
      </c>
      <c r="CU16" t="n">
        <v>0.17</v>
      </c>
      <c r="CY16" t="n">
        <v>1.95</v>
      </c>
      <c r="CZ16" t="n">
        <v>0.001</v>
      </c>
      <c r="DB16" t="n">
        <v>0</v>
      </c>
      <c r="DD16" t="n">
        <v>0.002</v>
      </c>
      <c r="DF16" t="n">
        <v>0.004</v>
      </c>
      <c r="DH16" t="n">
        <v>0.001</v>
      </c>
      <c r="DJ16" t="n">
        <v>0.022</v>
      </c>
      <c r="DK16" t="n">
        <v>0.003</v>
      </c>
      <c r="DL16" t="n">
        <v>1.44</v>
      </c>
      <c r="DM16" t="n">
        <v>0.012</v>
      </c>
      <c r="DN16" t="n">
        <v>0.389</v>
      </c>
      <c r="DO16" t="n">
        <v>0.037</v>
      </c>
      <c r="DQ16" t="n">
        <v>0.029</v>
      </c>
      <c r="DS16" t="n">
        <v>0.015</v>
      </c>
      <c r="DT16" t="n">
        <v>2.6</v>
      </c>
      <c r="DV16" t="n">
        <v>0</v>
      </c>
      <c r="DX16" t="n">
        <v>0</v>
      </c>
      <c r="DY16" t="n">
        <v>0.028</v>
      </c>
      <c r="DZ16" t="n">
        <v>0.028</v>
      </c>
      <c r="EA16" t="n">
        <v>0.006</v>
      </c>
      <c r="EC16" t="n">
        <v>2.5</v>
      </c>
      <c r="ED16" t="n">
        <v>2.47</v>
      </c>
      <c r="EE16" t="n">
        <v>0.055</v>
      </c>
      <c r="EG16" t="n">
        <v>0.004</v>
      </c>
      <c r="EH16" t="n">
        <v>0.004</v>
      </c>
      <c r="EK16" t="n">
        <v>0.003</v>
      </c>
      <c r="EL16" t="n">
        <v>6.26</v>
      </c>
      <c r="EM16" t="n">
        <v>5.63</v>
      </c>
      <c r="EO16" t="n">
        <v>5.56</v>
      </c>
      <c r="EP16" t="n">
        <v>0.013</v>
      </c>
      <c r="ER16" t="n">
        <v>0.512</v>
      </c>
      <c r="ET16" t="n">
        <v>0.489</v>
      </c>
      <c r="EU16" t="n">
        <v>0.023</v>
      </c>
      <c r="EV16" t="n">
        <v>0.002</v>
      </c>
      <c r="EX16" t="n">
        <v>0.005</v>
      </c>
      <c r="EY16" t="n">
        <v>0.003</v>
      </c>
      <c r="FA16" t="n">
        <v>0.001</v>
      </c>
      <c r="FB16" t="n">
        <v>0.002</v>
      </c>
      <c r="FD16" t="n">
        <v>0.008</v>
      </c>
      <c r="FG16" t="n">
        <v>0.029</v>
      </c>
      <c r="FJ16" t="n">
        <v>0.004</v>
      </c>
      <c r="FL16" t="n">
        <v>0.003</v>
      </c>
      <c r="FN16" t="n">
        <v>0.064</v>
      </c>
      <c r="FO16" t="n">
        <v>0.08</v>
      </c>
      <c r="FP16" t="n">
        <v>0.028</v>
      </c>
      <c r="FR16" t="n">
        <v>0.053</v>
      </c>
      <c r="FT16" t="n">
        <v>0</v>
      </c>
      <c r="FU16" t="n">
        <v>0.027</v>
      </c>
      <c r="FX16" t="n">
        <v>0.053</v>
      </c>
      <c r="GA16" t="n">
        <v>0</v>
      </c>
      <c r="GB16" t="n">
        <v>31</v>
      </c>
      <c r="GC16" t="n">
        <v>0.081</v>
      </c>
      <c r="GD16" t="n">
        <v>0.356</v>
      </c>
      <c r="GE16" t="n">
        <v>0.386</v>
      </c>
      <c r="GF16" t="n">
        <v>0.803</v>
      </c>
      <c r="GG16" t="n">
        <v>0.661</v>
      </c>
      <c r="GH16" t="n">
        <v>0.234</v>
      </c>
      <c r="GI16" t="n">
        <v>0.478</v>
      </c>
      <c r="GJ16" t="n">
        <v>0.336</v>
      </c>
      <c r="GK16" t="n">
        <v>0.458</v>
      </c>
      <c r="GL16" t="n">
        <v>0.488</v>
      </c>
      <c r="GM16" t="n">
        <v>0.213</v>
      </c>
      <c r="GN16" t="n">
        <v>0.376</v>
      </c>
      <c r="GO16" t="n">
        <v>0.712</v>
      </c>
      <c r="GP16" t="n">
        <v>2.47</v>
      </c>
      <c r="GQ16" t="n">
        <v>0.407</v>
      </c>
      <c r="GR16" t="n">
        <v>0.712</v>
      </c>
      <c r="GS16" t="n">
        <v>0.488</v>
      </c>
      <c r="GT16" t="n">
        <v>0</v>
      </c>
      <c r="GU16" t="n">
        <v>0.153</v>
      </c>
    </row>
    <row r="17">
      <c r="A17" t="n">
        <v>170331</v>
      </c>
      <c r="B17" t="inlineStr">
        <is>
          <t>BURGER KING, Original Chicken Sandwich</t>
        </is>
      </c>
      <c r="C17" t="inlineStr"/>
      <c r="D17" t="inlineStr">
        <is>
          <t>SR Legacy</t>
        </is>
      </c>
      <c r="E17" s="9" t="n">
        <v>100</v>
      </c>
      <c r="F17" s="10">
        <f>E17/SUM($E$3:$E$80)</f>
        <v/>
      </c>
      <c r="G17" t="n">
        <v>44.7</v>
      </c>
      <c r="H17" t="n">
        <v>285.5</v>
      </c>
      <c r="I17" t="n">
        <v>1194.532</v>
      </c>
      <c r="J17" t="n">
        <v>1.936</v>
      </c>
      <c r="K17" t="n">
        <v>12.1</v>
      </c>
      <c r="L17" t="n">
        <v>14.7</v>
      </c>
      <c r="M17" t="n">
        <v>14.7</v>
      </c>
      <c r="N17" t="n">
        <v>2.25</v>
      </c>
      <c r="O17" t="n">
        <v>26.2</v>
      </c>
      <c r="P17" t="n">
        <v>2.4</v>
      </c>
      <c r="V17" t="n">
        <v>3.02</v>
      </c>
      <c r="W17" t="n">
        <v>0.07000000000000001</v>
      </c>
      <c r="X17" t="n">
        <v>1</v>
      </c>
      <c r="Y17" t="n">
        <v>1.37</v>
      </c>
      <c r="Z17" t="n">
        <v>0.02</v>
      </c>
      <c r="AA17" t="n">
        <v>0.57</v>
      </c>
      <c r="AB17" t="n">
        <v>0</v>
      </c>
      <c r="AF17" t="n">
        <v>46</v>
      </c>
      <c r="AG17" t="n">
        <v>1.79</v>
      </c>
      <c r="AH17" t="n">
        <v>23</v>
      </c>
      <c r="AI17" t="n">
        <v>128</v>
      </c>
      <c r="AJ17" t="n">
        <v>196</v>
      </c>
      <c r="AK17" t="n">
        <v>638</v>
      </c>
      <c r="AL17" t="n">
        <v>0.62</v>
      </c>
      <c r="AM17" t="n">
        <v>0.089</v>
      </c>
      <c r="AN17" t="n">
        <v>0.401</v>
      </c>
      <c r="AP17" t="n">
        <v>23.4</v>
      </c>
      <c r="AS17" t="n">
        <v>12</v>
      </c>
      <c r="AT17" t="n">
        <v>0.281</v>
      </c>
      <c r="AU17" t="n">
        <v>0.16</v>
      </c>
      <c r="AV17" t="n">
        <v>4.71</v>
      </c>
      <c r="AW17" t="n">
        <v>0.154</v>
      </c>
      <c r="AX17" t="n">
        <v>33</v>
      </c>
      <c r="AY17" t="n">
        <v>21</v>
      </c>
      <c r="AZ17" t="n">
        <v>48</v>
      </c>
      <c r="CH17" t="n">
        <v>23.7</v>
      </c>
      <c r="CI17" t="n">
        <v>7.7</v>
      </c>
      <c r="CT17" t="n">
        <v>0.2</v>
      </c>
      <c r="CU17" t="n">
        <v>0.43</v>
      </c>
      <c r="CY17" t="n">
        <v>2.72</v>
      </c>
      <c r="CZ17" t="n">
        <v>0.001</v>
      </c>
      <c r="DB17" t="n">
        <v>0</v>
      </c>
      <c r="DD17" t="n">
        <v>0.003</v>
      </c>
      <c r="DF17" t="n">
        <v>0.005</v>
      </c>
      <c r="DH17" t="n">
        <v>0.003</v>
      </c>
      <c r="DJ17" t="n">
        <v>0.03</v>
      </c>
      <c r="DK17" t="n">
        <v>0.005</v>
      </c>
      <c r="DL17" t="n">
        <v>1.95</v>
      </c>
      <c r="DM17" t="n">
        <v>0.015</v>
      </c>
      <c r="DN17" t="n">
        <v>0.616</v>
      </c>
      <c r="DO17" t="n">
        <v>0.042</v>
      </c>
      <c r="DQ17" t="n">
        <v>0.037</v>
      </c>
      <c r="DS17" t="n">
        <v>0.017</v>
      </c>
      <c r="DT17" t="n">
        <v>3.7</v>
      </c>
      <c r="DV17" t="n">
        <v>0.004</v>
      </c>
      <c r="DX17" t="n">
        <v>0</v>
      </c>
      <c r="DY17" t="n">
        <v>0.144</v>
      </c>
      <c r="DZ17" t="n">
        <v>0.143</v>
      </c>
      <c r="EA17" t="n">
        <v>0.008999999999999999</v>
      </c>
      <c r="EC17" t="n">
        <v>3.48</v>
      </c>
      <c r="ED17" t="n">
        <v>3.45</v>
      </c>
      <c r="EE17" t="n">
        <v>0.068</v>
      </c>
      <c r="EG17" t="n">
        <v>0.001</v>
      </c>
      <c r="EH17" t="n">
        <v>0.001</v>
      </c>
      <c r="EK17" t="n">
        <v>0.003</v>
      </c>
      <c r="EL17" t="n">
        <v>7.22</v>
      </c>
      <c r="EM17" t="n">
        <v>6.49</v>
      </c>
      <c r="EO17" t="n">
        <v>6.42</v>
      </c>
      <c r="EP17" t="n">
        <v>0.015</v>
      </c>
      <c r="ER17" t="n">
        <v>0.668</v>
      </c>
      <c r="ET17" t="n">
        <v>0.649</v>
      </c>
      <c r="EU17" t="n">
        <v>0.018</v>
      </c>
      <c r="EV17" t="n">
        <v>0.001</v>
      </c>
      <c r="EX17" t="n">
        <v>0.008999999999999999</v>
      </c>
      <c r="EY17" t="n">
        <v>0.01</v>
      </c>
      <c r="FA17" t="n">
        <v>0.002</v>
      </c>
      <c r="FB17" t="n">
        <v>0.008</v>
      </c>
      <c r="FD17" t="n">
        <v>0.027</v>
      </c>
      <c r="FG17" t="n">
        <v>0.001</v>
      </c>
      <c r="FJ17" t="n">
        <v>0.01</v>
      </c>
      <c r="FL17" t="n">
        <v>0.002</v>
      </c>
      <c r="FN17" t="n">
        <v>0.002</v>
      </c>
      <c r="FO17" t="n">
        <v>0.082</v>
      </c>
      <c r="FP17" t="n">
        <v>0.023</v>
      </c>
      <c r="FR17" t="n">
        <v>0.059</v>
      </c>
      <c r="FT17" t="n">
        <v>0.001</v>
      </c>
      <c r="FU17" t="n">
        <v>0.022</v>
      </c>
      <c r="FX17" t="n">
        <v>0.059</v>
      </c>
      <c r="GA17" t="n">
        <v>0</v>
      </c>
      <c r="GB17" t="n">
        <v>31</v>
      </c>
      <c r="GC17" t="n">
        <v>0.145</v>
      </c>
      <c r="GD17" t="n">
        <v>0.367</v>
      </c>
      <c r="GE17" t="n">
        <v>0.55</v>
      </c>
      <c r="GF17" t="n">
        <v>0.9360000000000001</v>
      </c>
      <c r="GG17" t="n">
        <v>0.8110000000000001</v>
      </c>
      <c r="GH17" t="n">
        <v>0.27</v>
      </c>
      <c r="GI17" t="n">
        <v>0.5600000000000001</v>
      </c>
      <c r="GJ17" t="n">
        <v>0.328</v>
      </c>
      <c r="GK17" t="n">
        <v>0.608</v>
      </c>
      <c r="GL17" t="n">
        <v>0.6850000000000001</v>
      </c>
      <c r="GM17" t="n">
        <v>0.367</v>
      </c>
      <c r="GN17" t="n">
        <v>0.521</v>
      </c>
      <c r="GO17" t="n">
        <v>0.879</v>
      </c>
      <c r="GP17" t="n">
        <v>2.73</v>
      </c>
      <c r="GQ17" t="n">
        <v>0.637</v>
      </c>
      <c r="GR17" t="n">
        <v>1.09</v>
      </c>
      <c r="GS17" t="n">
        <v>0.357</v>
      </c>
      <c r="GT17" t="n">
        <v>0.08</v>
      </c>
      <c r="GU17" t="n">
        <v>0.212</v>
      </c>
    </row>
    <row r="18">
      <c r="A18" t="n">
        <v>170571</v>
      </c>
      <c r="B18" t="inlineStr">
        <is>
          <t>Nuts, cashew nuts, dry roasted, without salt added</t>
        </is>
      </c>
      <c r="C18" t="inlineStr"/>
      <c r="D18" t="inlineStr">
        <is>
          <t>SR Legacy</t>
        </is>
      </c>
      <c r="E18" s="9" t="n">
        <v>100</v>
      </c>
      <c r="F18" s="10">
        <f>E18/SUM($E$3:$E$80)</f>
        <v/>
      </c>
      <c r="G18" t="n">
        <v>1.7</v>
      </c>
      <c r="H18" t="n">
        <v>609.5999999999999</v>
      </c>
      <c r="I18" t="n">
        <v>2550.5664</v>
      </c>
      <c r="J18" t="n">
        <v>2.448</v>
      </c>
      <c r="K18" t="n">
        <v>15.3</v>
      </c>
      <c r="L18" t="n">
        <v>46.4</v>
      </c>
      <c r="M18" t="n">
        <v>46.4</v>
      </c>
      <c r="N18" t="n">
        <v>3.95</v>
      </c>
      <c r="O18" t="n">
        <v>32.7</v>
      </c>
      <c r="P18" t="n">
        <v>3</v>
      </c>
      <c r="V18" t="n">
        <v>5.01</v>
      </c>
      <c r="AF18" t="n">
        <v>45</v>
      </c>
      <c r="AG18" t="n">
        <v>6</v>
      </c>
      <c r="AH18" t="n">
        <v>260</v>
      </c>
      <c r="AI18" t="n">
        <v>490</v>
      </c>
      <c r="AJ18" t="n">
        <v>565</v>
      </c>
      <c r="AK18" t="n">
        <v>16</v>
      </c>
      <c r="AL18" t="n">
        <v>5.6</v>
      </c>
      <c r="AM18" t="n">
        <v>2.22</v>
      </c>
      <c r="AN18" t="n">
        <v>0.826</v>
      </c>
      <c r="AP18" t="n">
        <v>11.7</v>
      </c>
      <c r="AS18" t="n">
        <v>69</v>
      </c>
      <c r="AT18" t="n">
        <v>0.2</v>
      </c>
      <c r="AU18" t="n">
        <v>0.2</v>
      </c>
      <c r="AV18" t="n">
        <v>1.4</v>
      </c>
      <c r="AW18" t="n">
        <v>0.256</v>
      </c>
      <c r="AX18" t="n">
        <v>69</v>
      </c>
      <c r="AY18" t="n">
        <v>0</v>
      </c>
      <c r="AZ18" t="n">
        <v>69</v>
      </c>
      <c r="BA18" t="n">
        <v>61</v>
      </c>
      <c r="BH18" t="n">
        <v>0</v>
      </c>
      <c r="BI18" t="n">
        <v>0</v>
      </c>
      <c r="BJ18" t="n">
        <v>0</v>
      </c>
      <c r="BK18" t="n">
        <v>0</v>
      </c>
      <c r="BL18" t="n">
        <v>0</v>
      </c>
      <c r="BO18" t="n">
        <v>0</v>
      </c>
      <c r="BQ18" t="n">
        <v>0</v>
      </c>
      <c r="BS18" t="n">
        <v>0</v>
      </c>
      <c r="BT18" t="n">
        <v>0</v>
      </c>
      <c r="BW18" t="n">
        <v>23</v>
      </c>
      <c r="CC18" t="n">
        <v>0</v>
      </c>
      <c r="CD18" t="n">
        <v>0</v>
      </c>
      <c r="CH18" t="n">
        <v>34.7</v>
      </c>
      <c r="CK18" t="n">
        <v>0.92</v>
      </c>
      <c r="CL18" t="n">
        <v>0</v>
      </c>
      <c r="CT18" t="n">
        <v>0</v>
      </c>
      <c r="CU18" t="n">
        <v>1.22</v>
      </c>
      <c r="CW18" t="n">
        <v>0</v>
      </c>
      <c r="CX18" t="n">
        <v>0</v>
      </c>
      <c r="CY18" t="n">
        <v>9.16</v>
      </c>
      <c r="CZ18" t="n">
        <v>0</v>
      </c>
      <c r="DB18" t="n">
        <v>0</v>
      </c>
      <c r="DD18" t="n">
        <v>0.132</v>
      </c>
      <c r="DF18" t="n">
        <v>0.132</v>
      </c>
      <c r="DH18" t="n">
        <v>0.784</v>
      </c>
      <c r="DJ18" t="n">
        <v>0.347</v>
      </c>
      <c r="DL18" t="n">
        <v>4.35</v>
      </c>
      <c r="DN18" t="n">
        <v>2.97</v>
      </c>
      <c r="DT18" t="n">
        <v>27.3</v>
      </c>
      <c r="DY18" t="n">
        <v>0.318</v>
      </c>
      <c r="EC18" t="n">
        <v>26.8</v>
      </c>
      <c r="EE18" t="n">
        <v>0.139</v>
      </c>
      <c r="EG18" t="n">
        <v>0</v>
      </c>
      <c r="EL18" t="n">
        <v>7.84</v>
      </c>
      <c r="EM18" t="n">
        <v>7.66</v>
      </c>
      <c r="ER18" t="n">
        <v>0.161</v>
      </c>
      <c r="EV18" t="n">
        <v>0</v>
      </c>
      <c r="FD18" t="n">
        <v>0</v>
      </c>
      <c r="FG18" t="n">
        <v>0</v>
      </c>
      <c r="FL18" t="n">
        <v>0</v>
      </c>
      <c r="FN18" t="n">
        <v>0</v>
      </c>
      <c r="GB18" t="n">
        <v>0</v>
      </c>
      <c r="GC18" t="n">
        <v>0.237</v>
      </c>
      <c r="GD18" t="n">
        <v>0.592</v>
      </c>
      <c r="GE18" t="n">
        <v>0.731</v>
      </c>
      <c r="GF18" t="n">
        <v>1.28</v>
      </c>
      <c r="GG18" t="n">
        <v>0.8169999999999999</v>
      </c>
      <c r="GH18" t="n">
        <v>0.274</v>
      </c>
      <c r="GI18" t="n">
        <v>0.791</v>
      </c>
      <c r="GJ18" t="n">
        <v>0.491</v>
      </c>
      <c r="GK18" t="n">
        <v>1.04</v>
      </c>
      <c r="GL18" t="n">
        <v>1.74</v>
      </c>
      <c r="GM18" t="n">
        <v>0.399</v>
      </c>
      <c r="GN18" t="n">
        <v>0.702</v>
      </c>
      <c r="GO18" t="n">
        <v>1.5</v>
      </c>
      <c r="GP18" t="n">
        <v>3.62</v>
      </c>
      <c r="GQ18" t="n">
        <v>0.803</v>
      </c>
      <c r="GR18" t="n">
        <v>0.6899999999999999</v>
      </c>
      <c r="GS18" t="n">
        <v>0.849</v>
      </c>
      <c r="GU18" t="n">
        <v>0.283</v>
      </c>
      <c r="GV18" t="n">
        <v>158</v>
      </c>
      <c r="HQ18" t="n">
        <v>0</v>
      </c>
    </row>
    <row r="19">
      <c r="A19" t="n">
        <v>171320</v>
      </c>
      <c r="B19" t="inlineStr">
        <is>
          <t>Spices, cinnamon, ground</t>
        </is>
      </c>
      <c r="C19" t="inlineStr"/>
      <c r="D19" t="inlineStr">
        <is>
          <t>SR Legacy</t>
        </is>
      </c>
      <c r="E19" s="9" t="n">
        <v>39.66666666666669</v>
      </c>
      <c r="F19" s="10">
        <f>E19/SUM($E$3:$E$80)</f>
        <v/>
      </c>
      <c r="G19" t="n">
        <v>10.6</v>
      </c>
      <c r="H19" t="n">
        <v>349.52</v>
      </c>
      <c r="I19" t="n">
        <v>1462.39168</v>
      </c>
      <c r="J19" t="n">
        <v>0.6384000000000001</v>
      </c>
      <c r="K19" t="n">
        <v>3.99</v>
      </c>
      <c r="L19" t="n">
        <v>1.24</v>
      </c>
      <c r="M19" t="n">
        <v>1.24</v>
      </c>
      <c r="N19" t="n">
        <v>3.6</v>
      </c>
      <c r="O19" t="n">
        <v>80.59999999999999</v>
      </c>
      <c r="P19" t="n">
        <v>53.1</v>
      </c>
      <c r="V19" t="n">
        <v>2.17</v>
      </c>
      <c r="W19" t="n">
        <v>0.02</v>
      </c>
      <c r="X19" t="n">
        <v>1.04</v>
      </c>
      <c r="Y19" t="n">
        <v>1.11</v>
      </c>
      <c r="Z19" t="n">
        <v>0</v>
      </c>
      <c r="AA19" t="n">
        <v>0</v>
      </c>
      <c r="AB19" t="n">
        <v>0</v>
      </c>
      <c r="AF19" t="n">
        <v>1000</v>
      </c>
      <c r="AG19" t="n">
        <v>8.32</v>
      </c>
      <c r="AH19" t="n">
        <v>60</v>
      </c>
      <c r="AI19" t="n">
        <v>64</v>
      </c>
      <c r="AJ19" t="n">
        <v>431</v>
      </c>
      <c r="AK19" t="n">
        <v>10</v>
      </c>
      <c r="AL19" t="n">
        <v>1.83</v>
      </c>
      <c r="AM19" t="n">
        <v>0.339</v>
      </c>
      <c r="AN19" t="n">
        <v>17.5</v>
      </c>
      <c r="AP19" t="n">
        <v>3.1</v>
      </c>
      <c r="AS19" t="n">
        <v>6</v>
      </c>
      <c r="AT19" t="n">
        <v>0.022</v>
      </c>
      <c r="AU19" t="n">
        <v>0.041</v>
      </c>
      <c r="AV19" t="n">
        <v>1.33</v>
      </c>
      <c r="AW19" t="n">
        <v>0.158</v>
      </c>
      <c r="AX19" t="n">
        <v>6</v>
      </c>
      <c r="AY19" t="n">
        <v>0</v>
      </c>
      <c r="AZ19" t="n">
        <v>6</v>
      </c>
      <c r="BA19" t="n">
        <v>11</v>
      </c>
      <c r="BG19" t="n">
        <v>3.9</v>
      </c>
      <c r="BH19" t="n">
        <v>0</v>
      </c>
      <c r="BI19" t="n">
        <v>0</v>
      </c>
      <c r="BJ19" t="n">
        <v>15</v>
      </c>
      <c r="BK19" t="n">
        <v>0</v>
      </c>
      <c r="BL19" t="n">
        <v>112</v>
      </c>
      <c r="BO19" t="n">
        <v>1</v>
      </c>
      <c r="BQ19" t="n">
        <v>129</v>
      </c>
      <c r="BS19" t="n">
        <v>295</v>
      </c>
      <c r="BT19" t="n">
        <v>15</v>
      </c>
      <c r="BW19" t="n">
        <v>222</v>
      </c>
      <c r="CC19" t="n">
        <v>0</v>
      </c>
      <c r="CD19" t="n">
        <v>0</v>
      </c>
      <c r="CH19" t="n">
        <v>31.2</v>
      </c>
      <c r="CI19" t="n">
        <v>0</v>
      </c>
      <c r="CK19" t="n">
        <v>2.32</v>
      </c>
      <c r="CL19" t="n">
        <v>0</v>
      </c>
      <c r="CM19" t="n">
        <v>0</v>
      </c>
      <c r="CN19" t="n">
        <v>10.4</v>
      </c>
      <c r="CO19" t="n">
        <v>0.26</v>
      </c>
      <c r="CP19" t="n">
        <v>0</v>
      </c>
      <c r="CQ19" t="n">
        <v>0</v>
      </c>
      <c r="CR19" t="n">
        <v>0</v>
      </c>
      <c r="CS19" t="n">
        <v>0</v>
      </c>
      <c r="CT19" t="n">
        <v>3.8</v>
      </c>
      <c r="CU19" t="n">
        <v>0.358</v>
      </c>
      <c r="CW19" t="n">
        <v>0</v>
      </c>
      <c r="CX19" t="n">
        <v>0</v>
      </c>
      <c r="CY19" t="n">
        <v>0.345</v>
      </c>
      <c r="CZ19" t="n">
        <v>0</v>
      </c>
      <c r="DB19" t="n">
        <v>0</v>
      </c>
      <c r="DD19" t="n">
        <v>0</v>
      </c>
      <c r="DF19" t="n">
        <v>0.003</v>
      </c>
      <c r="DH19" t="n">
        <v>0.006</v>
      </c>
      <c r="DI19" t="n">
        <v>0</v>
      </c>
      <c r="DJ19" t="n">
        <v>0.008999999999999999</v>
      </c>
      <c r="DK19" t="n">
        <v>0</v>
      </c>
      <c r="DL19" t="n">
        <v>0.104</v>
      </c>
      <c r="DM19" t="n">
        <v>0.136</v>
      </c>
      <c r="DN19" t="n">
        <v>0.082</v>
      </c>
      <c r="DO19" t="n">
        <v>0</v>
      </c>
      <c r="DQ19" t="n">
        <v>0</v>
      </c>
      <c r="DS19" t="n">
        <v>0</v>
      </c>
      <c r="DT19" t="n">
        <v>0.246</v>
      </c>
      <c r="DV19" t="n">
        <v>0</v>
      </c>
      <c r="DX19" t="n">
        <v>0</v>
      </c>
      <c r="DY19" t="n">
        <v>0.001</v>
      </c>
      <c r="EA19" t="n">
        <v>0</v>
      </c>
      <c r="EC19" t="n">
        <v>0.246</v>
      </c>
      <c r="ED19" t="n">
        <v>0.246</v>
      </c>
      <c r="EE19" t="n">
        <v>0</v>
      </c>
      <c r="EG19" t="n">
        <v>0</v>
      </c>
      <c r="EK19" t="n">
        <v>0</v>
      </c>
      <c r="EL19" t="n">
        <v>0.068</v>
      </c>
      <c r="EM19" t="n">
        <v>0.044</v>
      </c>
      <c r="ER19" t="n">
        <v>0.011</v>
      </c>
      <c r="ET19" t="n">
        <v>0.011</v>
      </c>
      <c r="EU19" t="n">
        <v>0</v>
      </c>
      <c r="EV19" t="n">
        <v>0</v>
      </c>
      <c r="EX19" t="n">
        <v>0</v>
      </c>
      <c r="EY19" t="n">
        <v>0</v>
      </c>
      <c r="FD19" t="n">
        <v>0</v>
      </c>
      <c r="FG19" t="n">
        <v>0</v>
      </c>
      <c r="FL19" t="n">
        <v>0</v>
      </c>
      <c r="FN19" t="n">
        <v>0</v>
      </c>
      <c r="FO19" t="n">
        <v>0</v>
      </c>
      <c r="FP19" t="n">
        <v>0</v>
      </c>
      <c r="FU19" t="n">
        <v>0</v>
      </c>
      <c r="GB19" t="n">
        <v>0</v>
      </c>
      <c r="GC19" t="n">
        <v>0.049</v>
      </c>
      <c r="GD19" t="n">
        <v>0.136</v>
      </c>
      <c r="GE19" t="n">
        <v>0.146</v>
      </c>
      <c r="GF19" t="n">
        <v>0.253</v>
      </c>
      <c r="GG19" t="n">
        <v>0.243</v>
      </c>
      <c r="GH19" t="n">
        <v>0.078</v>
      </c>
      <c r="GI19" t="n">
        <v>0.146</v>
      </c>
      <c r="GJ19" t="n">
        <v>0.136</v>
      </c>
      <c r="GK19" t="n">
        <v>0.224</v>
      </c>
      <c r="GL19" t="n">
        <v>0.166</v>
      </c>
      <c r="GM19" t="n">
        <v>0.117</v>
      </c>
      <c r="GN19" t="n">
        <v>0.166</v>
      </c>
      <c r="GO19" t="n">
        <v>0.438</v>
      </c>
      <c r="GP19" t="n">
        <v>0.37</v>
      </c>
      <c r="GQ19" t="n">
        <v>0.195</v>
      </c>
      <c r="GR19" t="n">
        <v>0.419</v>
      </c>
      <c r="GS19" t="n">
        <v>0.195</v>
      </c>
      <c r="GT19" t="n">
        <v>0</v>
      </c>
      <c r="GU19" t="n">
        <v>0.058</v>
      </c>
      <c r="GV19" t="n">
        <v>26</v>
      </c>
      <c r="HQ19" t="n">
        <v>0</v>
      </c>
    </row>
    <row r="20">
      <c r="A20" t="n">
        <v>171354</v>
      </c>
      <c r="B20" t="inlineStr">
        <is>
          <t>Babyfood, juice, orange</t>
        </is>
      </c>
      <c r="C20" t="inlineStr"/>
      <c r="D20" t="inlineStr">
        <is>
          <t>SR Legacy</t>
        </is>
      </c>
      <c r="E20" s="9" t="n">
        <v>100</v>
      </c>
      <c r="F20" s="10">
        <f>E20/SUM($E$3:$E$80)</f>
        <v/>
      </c>
      <c r="G20" t="n">
        <v>88.5</v>
      </c>
      <c r="H20" t="n">
        <v>45.9</v>
      </c>
      <c r="I20" t="n">
        <v>192.0456</v>
      </c>
      <c r="J20" t="n">
        <v>0.096</v>
      </c>
      <c r="K20" t="n">
        <v>0.6</v>
      </c>
      <c r="L20" t="n">
        <v>0.3</v>
      </c>
      <c r="M20" t="n">
        <v>0.3</v>
      </c>
      <c r="N20" t="n">
        <v>0.4</v>
      </c>
      <c r="O20" t="n">
        <v>10.2</v>
      </c>
      <c r="P20" t="n">
        <v>0.1</v>
      </c>
      <c r="V20" t="n">
        <v>8.26</v>
      </c>
      <c r="AF20" t="n">
        <v>12</v>
      </c>
      <c r="AG20" t="n">
        <v>0.17</v>
      </c>
      <c r="AH20" t="n">
        <v>9</v>
      </c>
      <c r="AI20" t="n">
        <v>11</v>
      </c>
      <c r="AJ20" t="n">
        <v>184</v>
      </c>
      <c r="AK20" t="n">
        <v>0</v>
      </c>
      <c r="AL20" t="n">
        <v>0.06</v>
      </c>
      <c r="AM20" t="n">
        <v>0.046</v>
      </c>
      <c r="AP20" t="n">
        <v>0.1</v>
      </c>
      <c r="AS20" t="n">
        <v>26</v>
      </c>
      <c r="AT20" t="n">
        <v>0.045</v>
      </c>
      <c r="AU20" t="n">
        <v>0.028</v>
      </c>
      <c r="AV20" t="n">
        <v>0.239</v>
      </c>
      <c r="AW20" t="n">
        <v>0.054</v>
      </c>
      <c r="AX20" t="n">
        <v>26</v>
      </c>
      <c r="AY20" t="n">
        <v>0</v>
      </c>
      <c r="AZ20" t="n">
        <v>26</v>
      </c>
      <c r="BA20" t="n">
        <v>6.2</v>
      </c>
      <c r="BH20" t="n">
        <v>0</v>
      </c>
      <c r="BI20" t="n">
        <v>0</v>
      </c>
      <c r="BJ20" t="n">
        <v>3</v>
      </c>
      <c r="BK20" t="n">
        <v>0</v>
      </c>
      <c r="BL20" t="n">
        <v>9</v>
      </c>
      <c r="BO20" t="n">
        <v>2</v>
      </c>
      <c r="BQ20" t="n">
        <v>47</v>
      </c>
      <c r="BS20" t="n">
        <v>55</v>
      </c>
      <c r="BT20" t="n">
        <v>0</v>
      </c>
      <c r="BW20" t="n">
        <v>113</v>
      </c>
      <c r="CC20" t="n">
        <v>0</v>
      </c>
      <c r="CD20" t="n">
        <v>0</v>
      </c>
      <c r="CH20" t="n">
        <v>0.1</v>
      </c>
      <c r="CK20" t="n">
        <v>0.04</v>
      </c>
      <c r="CL20" t="n">
        <v>0</v>
      </c>
      <c r="CT20" t="n">
        <v>62.5</v>
      </c>
      <c r="CU20" t="n">
        <v>0.137</v>
      </c>
      <c r="CW20" t="n">
        <v>0</v>
      </c>
      <c r="CX20" t="n">
        <v>0</v>
      </c>
      <c r="CY20" t="n">
        <v>0.035</v>
      </c>
      <c r="CZ20" t="n">
        <v>0</v>
      </c>
      <c r="DB20" t="n">
        <v>0</v>
      </c>
      <c r="DD20" t="n">
        <v>0</v>
      </c>
      <c r="DF20" t="n">
        <v>0</v>
      </c>
      <c r="DH20" t="n">
        <v>0</v>
      </c>
      <c r="DJ20" t="n">
        <v>0</v>
      </c>
      <c r="DL20" t="n">
        <v>0.035</v>
      </c>
      <c r="DN20" t="n">
        <v>0</v>
      </c>
      <c r="DT20" t="n">
        <v>0.05</v>
      </c>
      <c r="DY20" t="n">
        <v>0.005</v>
      </c>
      <c r="EC20" t="n">
        <v>0.045</v>
      </c>
      <c r="EE20" t="n">
        <v>0</v>
      </c>
      <c r="EG20" t="n">
        <v>0</v>
      </c>
      <c r="EL20" t="n">
        <v>0.06</v>
      </c>
      <c r="EM20" t="n">
        <v>0.045</v>
      </c>
      <c r="ER20" t="n">
        <v>0.015</v>
      </c>
      <c r="EV20" t="n">
        <v>0</v>
      </c>
      <c r="FD20" t="n">
        <v>0</v>
      </c>
      <c r="FG20" t="n">
        <v>0</v>
      </c>
      <c r="FL20" t="n">
        <v>0</v>
      </c>
      <c r="FN20" t="n">
        <v>0</v>
      </c>
      <c r="GB20" t="n">
        <v>0</v>
      </c>
      <c r="HQ20" t="n">
        <v>0</v>
      </c>
    </row>
    <row r="21">
      <c r="A21" t="n">
        <v>171711</v>
      </c>
      <c r="B21" t="inlineStr">
        <is>
          <t>Blueberries, raw</t>
        </is>
      </c>
      <c r="C21" t="inlineStr"/>
      <c r="D21" t="inlineStr">
        <is>
          <t>SR Legacy</t>
        </is>
      </c>
      <c r="E21" s="9" t="n">
        <v>100</v>
      </c>
      <c r="F21" s="10">
        <f>E21/SUM($E$3:$E$80)</f>
        <v/>
      </c>
      <c r="G21" t="n">
        <v>84.2</v>
      </c>
      <c r="H21" t="n">
        <v>63.93</v>
      </c>
      <c r="I21" t="n">
        <v>267.48312</v>
      </c>
      <c r="J21" t="n">
        <v>0.1184</v>
      </c>
      <c r="K21" t="n">
        <v>0.74</v>
      </c>
      <c r="L21" t="n">
        <v>0.33</v>
      </c>
      <c r="M21" t="n">
        <v>0.33</v>
      </c>
      <c r="N21" t="n">
        <v>0.24</v>
      </c>
      <c r="O21" t="n">
        <v>14.5</v>
      </c>
      <c r="P21" t="n">
        <v>2.4</v>
      </c>
      <c r="V21" t="n">
        <v>9.960000000000001</v>
      </c>
      <c r="W21" t="n">
        <v>0.11</v>
      </c>
      <c r="X21" t="n">
        <v>4.88</v>
      </c>
      <c r="Y21" t="n">
        <v>4.97</v>
      </c>
      <c r="Z21" t="n">
        <v>0</v>
      </c>
      <c r="AA21" t="n">
        <v>0</v>
      </c>
      <c r="AB21" t="n">
        <v>0</v>
      </c>
      <c r="AC21" t="n">
        <v>0.03</v>
      </c>
      <c r="AF21" t="n">
        <v>6</v>
      </c>
      <c r="AG21" t="n">
        <v>0.28</v>
      </c>
      <c r="AH21" t="n">
        <v>6</v>
      </c>
      <c r="AI21" t="n">
        <v>12</v>
      </c>
      <c r="AJ21" t="n">
        <v>77</v>
      </c>
      <c r="AK21" t="n">
        <v>1</v>
      </c>
      <c r="AL21" t="n">
        <v>0.16</v>
      </c>
      <c r="AM21" t="n">
        <v>0.057</v>
      </c>
      <c r="AN21" t="n">
        <v>0.336</v>
      </c>
      <c r="AP21" t="n">
        <v>0.1</v>
      </c>
      <c r="AS21" t="n">
        <v>6</v>
      </c>
      <c r="AT21" t="n">
        <v>0.037</v>
      </c>
      <c r="AU21" t="n">
        <v>0.041</v>
      </c>
      <c r="AV21" t="n">
        <v>0.418</v>
      </c>
      <c r="AW21" t="n">
        <v>0.052</v>
      </c>
      <c r="AX21" t="n">
        <v>6</v>
      </c>
      <c r="AY21" t="n">
        <v>0</v>
      </c>
      <c r="AZ21" t="n">
        <v>6</v>
      </c>
      <c r="BA21" t="n">
        <v>6</v>
      </c>
      <c r="BG21" t="n">
        <v>0.2</v>
      </c>
      <c r="BH21" t="n">
        <v>0</v>
      </c>
      <c r="BI21" t="n">
        <v>0</v>
      </c>
      <c r="BJ21" t="n">
        <v>3</v>
      </c>
      <c r="BK21" t="n">
        <v>0</v>
      </c>
      <c r="BL21" t="n">
        <v>32</v>
      </c>
      <c r="BO21" t="n">
        <v>0</v>
      </c>
      <c r="BQ21" t="n">
        <v>0</v>
      </c>
      <c r="BS21" t="n">
        <v>54</v>
      </c>
      <c r="BT21" t="n">
        <v>0</v>
      </c>
      <c r="BW21" t="n">
        <v>80</v>
      </c>
      <c r="CC21" t="n">
        <v>0</v>
      </c>
      <c r="CD21" t="n">
        <v>0</v>
      </c>
      <c r="CH21" t="n">
        <v>19.3</v>
      </c>
      <c r="CI21" t="n">
        <v>0</v>
      </c>
      <c r="CK21" t="n">
        <v>0.57</v>
      </c>
      <c r="CL21" t="n">
        <v>0</v>
      </c>
      <c r="CM21" t="n">
        <v>0.01</v>
      </c>
      <c r="CN21" t="n">
        <v>0.36</v>
      </c>
      <c r="CO21" t="n">
        <v>0.03</v>
      </c>
      <c r="CP21" t="n">
        <v>0</v>
      </c>
      <c r="CQ21" t="n">
        <v>0</v>
      </c>
      <c r="CR21" t="n">
        <v>0.07000000000000001</v>
      </c>
      <c r="CS21" t="n">
        <v>0</v>
      </c>
      <c r="CT21" t="n">
        <v>9.699999999999999</v>
      </c>
      <c r="CU21" t="n">
        <v>0.124</v>
      </c>
      <c r="CW21" t="n">
        <v>0</v>
      </c>
      <c r="CX21" t="n">
        <v>0</v>
      </c>
      <c r="CY21" t="n">
        <v>0.028</v>
      </c>
      <c r="CZ21" t="n">
        <v>0</v>
      </c>
      <c r="DB21" t="n">
        <v>0</v>
      </c>
      <c r="DD21" t="n">
        <v>0</v>
      </c>
      <c r="DF21" t="n">
        <v>0</v>
      </c>
      <c r="DH21" t="n">
        <v>0</v>
      </c>
      <c r="DJ21" t="n">
        <v>0</v>
      </c>
      <c r="DL21" t="n">
        <v>0.017</v>
      </c>
      <c r="DN21" t="n">
        <v>0.005</v>
      </c>
      <c r="DT21" t="n">
        <v>0.047</v>
      </c>
      <c r="DY21" t="n">
        <v>0.002</v>
      </c>
      <c r="EC21" t="n">
        <v>0.047</v>
      </c>
      <c r="EE21" t="n">
        <v>0</v>
      </c>
      <c r="EG21" t="n">
        <v>0</v>
      </c>
      <c r="EL21" t="n">
        <v>0.146</v>
      </c>
      <c r="EM21" t="n">
        <v>0.08799999999999999</v>
      </c>
      <c r="ER21" t="n">
        <v>0.058</v>
      </c>
      <c r="EV21" t="n">
        <v>0</v>
      </c>
      <c r="FD21" t="n">
        <v>0</v>
      </c>
      <c r="FG21" t="n">
        <v>0</v>
      </c>
      <c r="FL21" t="n">
        <v>0</v>
      </c>
      <c r="FN21" t="n">
        <v>0</v>
      </c>
      <c r="FO21" t="n">
        <v>0</v>
      </c>
      <c r="GB21" t="n">
        <v>0</v>
      </c>
      <c r="GC21" t="n">
        <v>0.003</v>
      </c>
      <c r="GD21" t="n">
        <v>0.02</v>
      </c>
      <c r="GE21" t="n">
        <v>0.023</v>
      </c>
      <c r="GF21" t="n">
        <v>0.044</v>
      </c>
      <c r="GG21" t="n">
        <v>0.013</v>
      </c>
      <c r="GH21" t="n">
        <v>0.012</v>
      </c>
      <c r="GI21" t="n">
        <v>0.026</v>
      </c>
      <c r="GJ21" t="n">
        <v>0.008999999999999999</v>
      </c>
      <c r="GK21" t="n">
        <v>0.031</v>
      </c>
      <c r="GL21" t="n">
        <v>0.037</v>
      </c>
      <c r="GM21" t="n">
        <v>0.011</v>
      </c>
      <c r="GN21" t="n">
        <v>0.031</v>
      </c>
      <c r="GO21" t="n">
        <v>0.057</v>
      </c>
      <c r="GP21" t="n">
        <v>0.091</v>
      </c>
      <c r="GQ21" t="n">
        <v>0.031</v>
      </c>
      <c r="GR21" t="n">
        <v>0.028</v>
      </c>
      <c r="GS21" t="n">
        <v>0.022</v>
      </c>
      <c r="GU21" t="n">
        <v>0.008</v>
      </c>
      <c r="HQ21" t="n">
        <v>0</v>
      </c>
    </row>
    <row r="22">
      <c r="A22" t="n">
        <v>171722</v>
      </c>
      <c r="B22" t="inlineStr">
        <is>
          <t>Cranberries, raw</t>
        </is>
      </c>
      <c r="C22" t="inlineStr"/>
      <c r="D22" t="inlineStr">
        <is>
          <t>SR Legacy</t>
        </is>
      </c>
      <c r="E22" s="9" t="n">
        <v>100</v>
      </c>
      <c r="F22" s="10">
        <f>E22/SUM($E$3:$E$80)</f>
        <v/>
      </c>
      <c r="G22" t="n">
        <v>87.3</v>
      </c>
      <c r="H22" t="n">
        <v>51.01000000000001</v>
      </c>
      <c r="I22" t="n">
        <v>213.42584</v>
      </c>
      <c r="J22" t="n">
        <v>0.0736</v>
      </c>
      <c r="K22" t="n">
        <v>0.46</v>
      </c>
      <c r="L22" t="n">
        <v>0.13</v>
      </c>
      <c r="M22" t="n">
        <v>0.13</v>
      </c>
      <c r="N22" t="n">
        <v>0.12</v>
      </c>
      <c r="O22" t="n">
        <v>12</v>
      </c>
      <c r="P22" t="n">
        <v>3.6</v>
      </c>
      <c r="V22" t="n">
        <v>4.27</v>
      </c>
      <c r="W22" t="n">
        <v>0.16</v>
      </c>
      <c r="X22" t="n">
        <v>3.44</v>
      </c>
      <c r="Y22" t="n">
        <v>0.67</v>
      </c>
      <c r="Z22" t="n">
        <v>0</v>
      </c>
      <c r="AA22" t="n">
        <v>0</v>
      </c>
      <c r="AB22" t="n">
        <v>0</v>
      </c>
      <c r="AC22" t="n">
        <v>0</v>
      </c>
      <c r="AF22" t="n">
        <v>8</v>
      </c>
      <c r="AG22" t="n">
        <v>0.23</v>
      </c>
      <c r="AH22" t="n">
        <v>6</v>
      </c>
      <c r="AI22" t="n">
        <v>11</v>
      </c>
      <c r="AJ22" t="n">
        <v>80</v>
      </c>
      <c r="AK22" t="n">
        <v>2</v>
      </c>
      <c r="AL22" t="n">
        <v>0.09</v>
      </c>
      <c r="AM22" t="n">
        <v>0.056</v>
      </c>
      <c r="AN22" t="n">
        <v>0.267</v>
      </c>
      <c r="AP22" t="n">
        <v>0.1</v>
      </c>
      <c r="AS22" t="n">
        <v>1</v>
      </c>
      <c r="AT22" t="n">
        <v>0.012</v>
      </c>
      <c r="AU22" t="n">
        <v>0.02</v>
      </c>
      <c r="AV22" t="n">
        <v>0.101</v>
      </c>
      <c r="AW22" t="n">
        <v>0.057</v>
      </c>
      <c r="AX22" t="n">
        <v>1</v>
      </c>
      <c r="AY22" t="n">
        <v>0</v>
      </c>
      <c r="AZ22" t="n">
        <v>1</v>
      </c>
      <c r="BA22" t="n">
        <v>5.5</v>
      </c>
      <c r="BG22" t="n">
        <v>0.2</v>
      </c>
      <c r="BH22" t="n">
        <v>0</v>
      </c>
      <c r="BI22" t="n">
        <v>0</v>
      </c>
      <c r="BJ22" t="n">
        <v>3</v>
      </c>
      <c r="BK22" t="n">
        <v>0</v>
      </c>
      <c r="BL22" t="n">
        <v>38</v>
      </c>
      <c r="BO22" t="n">
        <v>0</v>
      </c>
      <c r="BQ22" t="n">
        <v>0</v>
      </c>
      <c r="BS22" t="n">
        <v>63</v>
      </c>
      <c r="BT22" t="n">
        <v>0</v>
      </c>
      <c r="BW22" t="n">
        <v>91</v>
      </c>
      <c r="CC22" t="n">
        <v>0</v>
      </c>
      <c r="CD22" t="n">
        <v>0</v>
      </c>
      <c r="CH22" t="n">
        <v>5</v>
      </c>
      <c r="CI22" t="n">
        <v>0</v>
      </c>
      <c r="CK22" t="n">
        <v>1.32</v>
      </c>
      <c r="CL22" t="n">
        <v>0</v>
      </c>
      <c r="CM22" t="n">
        <v>0</v>
      </c>
      <c r="CN22" t="n">
        <v>0.04</v>
      </c>
      <c r="CO22" t="n">
        <v>0</v>
      </c>
      <c r="CP22" t="n">
        <v>0</v>
      </c>
      <c r="CQ22" t="n">
        <v>0</v>
      </c>
      <c r="CR22" t="n">
        <v>0.29</v>
      </c>
      <c r="CS22" t="n">
        <v>0</v>
      </c>
      <c r="CT22" t="n">
        <v>14</v>
      </c>
      <c r="CU22" t="n">
        <v>0.295</v>
      </c>
      <c r="CW22" t="n">
        <v>0</v>
      </c>
      <c r="CX22" t="n">
        <v>0</v>
      </c>
      <c r="CY22" t="n">
        <v>0.008</v>
      </c>
      <c r="CZ22" t="n">
        <v>0</v>
      </c>
      <c r="DB22" t="n">
        <v>0</v>
      </c>
      <c r="DD22" t="n">
        <v>0</v>
      </c>
      <c r="DF22" t="n">
        <v>0</v>
      </c>
      <c r="DH22" t="n">
        <v>0</v>
      </c>
      <c r="DJ22" t="n">
        <v>0</v>
      </c>
      <c r="DL22" t="n">
        <v>0.006</v>
      </c>
      <c r="DN22" t="n">
        <v>0.002</v>
      </c>
      <c r="DT22" t="n">
        <v>0.018</v>
      </c>
      <c r="DY22" t="n">
        <v>0.001</v>
      </c>
      <c r="EC22" t="n">
        <v>0.018</v>
      </c>
      <c r="EE22" t="n">
        <v>0</v>
      </c>
      <c r="EG22" t="n">
        <v>0</v>
      </c>
      <c r="EL22" t="n">
        <v>0.055</v>
      </c>
      <c r="EM22" t="n">
        <v>0.033</v>
      </c>
      <c r="ER22" t="n">
        <v>0.022</v>
      </c>
      <c r="EV22" t="n">
        <v>0</v>
      </c>
      <c r="FD22" t="n">
        <v>0</v>
      </c>
      <c r="FG22" t="n">
        <v>0</v>
      </c>
      <c r="FL22" t="n">
        <v>0</v>
      </c>
      <c r="FN22" t="n">
        <v>0</v>
      </c>
      <c r="FO22" t="n">
        <v>0</v>
      </c>
      <c r="GB22" t="n">
        <v>0</v>
      </c>
      <c r="GC22" t="n">
        <v>0.003</v>
      </c>
      <c r="GD22" t="n">
        <v>0.028</v>
      </c>
      <c r="GE22" t="n">
        <v>0.033</v>
      </c>
      <c r="GF22" t="n">
        <v>0.053</v>
      </c>
      <c r="GG22" t="n">
        <v>0.039</v>
      </c>
      <c r="GH22" t="n">
        <v>0.003</v>
      </c>
      <c r="GI22" t="n">
        <v>0.036</v>
      </c>
      <c r="GJ22" t="n">
        <v>0.032</v>
      </c>
      <c r="GK22" t="n">
        <v>0.045</v>
      </c>
      <c r="GL22" t="n">
        <v>0.056</v>
      </c>
      <c r="GM22" t="n">
        <v>0.018</v>
      </c>
      <c r="GN22" t="n">
        <v>0.049</v>
      </c>
      <c r="GO22" t="n">
        <v>0.188</v>
      </c>
      <c r="GP22" t="n">
        <v>0.146</v>
      </c>
      <c r="GQ22" t="n">
        <v>0.048</v>
      </c>
      <c r="GR22" t="n">
        <v>0.031</v>
      </c>
      <c r="GS22" t="n">
        <v>0.051</v>
      </c>
      <c r="GU22" t="n">
        <v>0.003</v>
      </c>
      <c r="HQ22" t="n">
        <v>0</v>
      </c>
    </row>
    <row r="23">
      <c r="A23" t="n">
        <v>172336</v>
      </c>
      <c r="B23" t="inlineStr">
        <is>
          <t>Oil, canola</t>
        </is>
      </c>
      <c r="C23" t="inlineStr"/>
      <c r="D23" t="inlineStr">
        <is>
          <t>SR Legacy</t>
        </is>
      </c>
      <c r="E23" s="9" t="n">
        <v>30</v>
      </c>
      <c r="F23" s="10">
        <f>E23/SUM($E$3:$E$80)</f>
        <v/>
      </c>
      <c r="G23" t="n">
        <v>0</v>
      </c>
      <c r="H23" t="n">
        <v>900</v>
      </c>
      <c r="I23" t="n">
        <v>3765.6</v>
      </c>
      <c r="J23" t="n">
        <v>0</v>
      </c>
      <c r="K23" t="n">
        <v>0</v>
      </c>
      <c r="L23" t="n">
        <v>100</v>
      </c>
      <c r="M23" t="n">
        <v>100</v>
      </c>
      <c r="N23" t="n">
        <v>0</v>
      </c>
      <c r="O23" t="n">
        <v>0</v>
      </c>
      <c r="P23" t="n">
        <v>0</v>
      </c>
      <c r="V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P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0.2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O23" t="n">
        <v>0</v>
      </c>
      <c r="BQ23" t="n">
        <v>0</v>
      </c>
      <c r="BS23" t="n">
        <v>0</v>
      </c>
      <c r="BT23" t="n">
        <v>0</v>
      </c>
      <c r="BW23" t="n">
        <v>0</v>
      </c>
      <c r="CC23" t="n">
        <v>0</v>
      </c>
      <c r="CD23" t="n">
        <v>0</v>
      </c>
      <c r="CH23" t="n">
        <v>71.3</v>
      </c>
      <c r="CI23" t="n">
        <v>0</v>
      </c>
      <c r="CJ23" t="n">
        <v>0</v>
      </c>
      <c r="CK23" t="n">
        <v>17.5</v>
      </c>
      <c r="CL23" t="n">
        <v>0</v>
      </c>
      <c r="CM23" t="n">
        <v>0.01</v>
      </c>
      <c r="CN23" t="n">
        <v>27.3</v>
      </c>
      <c r="CO23" t="n">
        <v>0.99</v>
      </c>
      <c r="CP23" t="n">
        <v>0.03</v>
      </c>
      <c r="CQ23" t="n">
        <v>0</v>
      </c>
      <c r="CR23" t="n">
        <v>0</v>
      </c>
      <c r="CS23" t="n">
        <v>0.01</v>
      </c>
      <c r="CT23" t="n">
        <v>0</v>
      </c>
      <c r="CU23" t="n">
        <v>0</v>
      </c>
      <c r="CW23" t="n">
        <v>0</v>
      </c>
      <c r="CX23" t="n">
        <v>0</v>
      </c>
      <c r="CY23" t="n">
        <v>7.36</v>
      </c>
      <c r="CZ23" t="n">
        <v>0</v>
      </c>
      <c r="DB23" t="n">
        <v>0</v>
      </c>
      <c r="DD23" t="n">
        <v>0</v>
      </c>
      <c r="DF23" t="n">
        <v>0</v>
      </c>
      <c r="DH23" t="n">
        <v>0</v>
      </c>
      <c r="DJ23" t="n">
        <v>0</v>
      </c>
      <c r="DK23" t="n">
        <v>0</v>
      </c>
      <c r="DL23" t="n">
        <v>4.3</v>
      </c>
      <c r="DM23" t="n">
        <v>0</v>
      </c>
      <c r="DN23" t="n">
        <v>2.09</v>
      </c>
      <c r="DO23" t="n">
        <v>0.65</v>
      </c>
      <c r="DQ23" t="n">
        <v>0.33</v>
      </c>
      <c r="DT23" t="n">
        <v>63.3</v>
      </c>
      <c r="DV23" t="n">
        <v>0</v>
      </c>
      <c r="DX23" t="n">
        <v>0</v>
      </c>
      <c r="DY23" t="n">
        <v>0.214</v>
      </c>
      <c r="EA23" t="n">
        <v>0</v>
      </c>
      <c r="EC23" t="n">
        <v>61.7</v>
      </c>
      <c r="ED23" t="n">
        <v>61.7</v>
      </c>
      <c r="EE23" t="n">
        <v>1.32</v>
      </c>
      <c r="EG23" t="n">
        <v>0</v>
      </c>
      <c r="EL23" t="n">
        <v>28.1</v>
      </c>
      <c r="EM23" t="n">
        <v>19</v>
      </c>
      <c r="EO23" t="n">
        <v>18.6</v>
      </c>
      <c r="ER23" t="n">
        <v>9.140000000000001</v>
      </c>
      <c r="ET23" t="n">
        <v>9.140000000000001</v>
      </c>
      <c r="EU23" t="n">
        <v>0</v>
      </c>
      <c r="EV23" t="n">
        <v>0</v>
      </c>
      <c r="EX23" t="n">
        <v>0</v>
      </c>
      <c r="EY23" t="n">
        <v>0</v>
      </c>
      <c r="FD23" t="n">
        <v>0</v>
      </c>
      <c r="FG23" t="n">
        <v>0</v>
      </c>
      <c r="FL23" t="n">
        <v>0</v>
      </c>
      <c r="FN23" t="n">
        <v>0</v>
      </c>
      <c r="FO23" t="n">
        <v>0.395</v>
      </c>
      <c r="FP23" t="n">
        <v>0.03</v>
      </c>
      <c r="FR23" t="n">
        <v>0.365</v>
      </c>
      <c r="FU23" t="n">
        <v>0.03</v>
      </c>
      <c r="FW23" t="n">
        <v>0.365</v>
      </c>
      <c r="GB23" t="n">
        <v>0</v>
      </c>
      <c r="GW23" t="n">
        <v>413</v>
      </c>
      <c r="GY23" t="n">
        <v>241</v>
      </c>
      <c r="HC23" t="n">
        <v>3</v>
      </c>
      <c r="HQ23" t="n">
        <v>0</v>
      </c>
    </row>
    <row r="24">
      <c r="A24" t="n">
        <v>173410</v>
      </c>
      <c r="B24" t="inlineStr">
        <is>
          <t>Butter, salted</t>
        </is>
      </c>
      <c r="C24" t="inlineStr"/>
      <c r="D24" t="inlineStr">
        <is>
          <t>SR Legacy</t>
        </is>
      </c>
      <c r="E24" s="9" t="n">
        <v>100</v>
      </c>
      <c r="F24" s="10">
        <f>E24/SUM($E$3:$E$80)</f>
        <v/>
      </c>
      <c r="G24" t="n">
        <v>16.2</v>
      </c>
      <c r="H24" t="n">
        <v>733.54</v>
      </c>
      <c r="I24" t="n">
        <v>3069.13136</v>
      </c>
      <c r="J24" t="n">
        <v>0.136</v>
      </c>
      <c r="K24" t="n">
        <v>0.85</v>
      </c>
      <c r="L24" t="n">
        <v>81.09999999999999</v>
      </c>
      <c r="M24" t="n">
        <v>81.09999999999999</v>
      </c>
      <c r="N24" t="n">
        <v>2.11</v>
      </c>
      <c r="O24" t="n">
        <v>0.06</v>
      </c>
      <c r="P24" t="n">
        <v>0</v>
      </c>
      <c r="V24" t="n">
        <v>0.06</v>
      </c>
      <c r="AF24" t="n">
        <v>24</v>
      </c>
      <c r="AG24" t="n">
        <v>0.02</v>
      </c>
      <c r="AH24" t="n">
        <v>2</v>
      </c>
      <c r="AI24" t="n">
        <v>24</v>
      </c>
      <c r="AJ24" t="n">
        <v>24</v>
      </c>
      <c r="AK24" t="n">
        <v>643</v>
      </c>
      <c r="AL24" t="n">
        <v>0.09</v>
      </c>
      <c r="AM24" t="n">
        <v>0</v>
      </c>
      <c r="AN24" t="n">
        <v>0</v>
      </c>
      <c r="AP24" t="n">
        <v>1</v>
      </c>
      <c r="AR24" t="n">
        <v>2.8</v>
      </c>
      <c r="AS24" t="n">
        <v>3</v>
      </c>
      <c r="AT24" t="n">
        <v>0.005</v>
      </c>
      <c r="AU24" t="n">
        <v>0.034</v>
      </c>
      <c r="AV24" t="n">
        <v>0.042</v>
      </c>
      <c r="AW24" t="n">
        <v>0.003</v>
      </c>
      <c r="AX24" t="n">
        <v>3</v>
      </c>
      <c r="AY24" t="n">
        <v>0</v>
      </c>
      <c r="AZ24" t="n">
        <v>3</v>
      </c>
      <c r="BA24" t="n">
        <v>18.8</v>
      </c>
      <c r="BG24" t="n">
        <v>0.3</v>
      </c>
      <c r="BH24" t="n">
        <v>0.17</v>
      </c>
      <c r="BI24" t="n">
        <v>0</v>
      </c>
      <c r="BJ24" t="n">
        <v>684</v>
      </c>
      <c r="BK24" t="n">
        <v>671</v>
      </c>
      <c r="BL24" t="n">
        <v>158</v>
      </c>
      <c r="BO24" t="n">
        <v>0</v>
      </c>
      <c r="BQ24" t="n">
        <v>0</v>
      </c>
      <c r="BS24" t="n">
        <v>2500</v>
      </c>
      <c r="BT24" t="n">
        <v>0</v>
      </c>
      <c r="BW24" t="n">
        <v>0</v>
      </c>
      <c r="CC24" t="n">
        <v>0</v>
      </c>
      <c r="CD24" t="n">
        <v>0</v>
      </c>
      <c r="CE24" t="n">
        <v>0</v>
      </c>
      <c r="CF24" t="n">
        <v>0</v>
      </c>
      <c r="CH24" t="n">
        <v>7</v>
      </c>
      <c r="CK24" t="n">
        <v>2.32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0.11</v>
      </c>
      <c r="CW24" t="n">
        <v>0</v>
      </c>
      <c r="CX24" t="n">
        <v>0</v>
      </c>
      <c r="CY24" t="n">
        <v>51.4</v>
      </c>
      <c r="CZ24" t="n">
        <v>3.23</v>
      </c>
      <c r="DB24" t="n">
        <v>2.01</v>
      </c>
      <c r="DD24" t="n">
        <v>1.19</v>
      </c>
      <c r="DF24" t="n">
        <v>2.53</v>
      </c>
      <c r="DH24" t="n">
        <v>2.59</v>
      </c>
      <c r="DJ24" t="n">
        <v>7.44</v>
      </c>
      <c r="DL24" t="n">
        <v>21.7</v>
      </c>
      <c r="DM24" t="n">
        <v>0.5600000000000001</v>
      </c>
      <c r="DN24" t="n">
        <v>10</v>
      </c>
      <c r="DO24" t="n">
        <v>0.138</v>
      </c>
      <c r="DT24" t="n">
        <v>21</v>
      </c>
      <c r="DY24" t="n">
        <v>0.961</v>
      </c>
      <c r="DZ24" t="n">
        <v>0.961</v>
      </c>
      <c r="EC24" t="n">
        <v>20</v>
      </c>
      <c r="ED24" t="n">
        <v>17</v>
      </c>
      <c r="EE24" t="n">
        <v>0.1</v>
      </c>
      <c r="EG24" t="n">
        <v>0</v>
      </c>
      <c r="EL24" t="n">
        <v>3.04</v>
      </c>
      <c r="EM24" t="n">
        <v>2.73</v>
      </c>
      <c r="EO24" t="n">
        <v>2.17</v>
      </c>
      <c r="EP24" t="n">
        <v>0.267</v>
      </c>
      <c r="EQ24" t="n">
        <v>0.296</v>
      </c>
      <c r="ER24" t="n">
        <v>0.315</v>
      </c>
      <c r="ET24" t="n">
        <v>0.315</v>
      </c>
      <c r="EV24" t="n">
        <v>0</v>
      </c>
      <c r="FD24" t="n">
        <v>0</v>
      </c>
      <c r="FG24" t="n">
        <v>0</v>
      </c>
      <c r="FL24" t="n">
        <v>0</v>
      </c>
      <c r="FN24" t="n">
        <v>0</v>
      </c>
      <c r="FO24" t="n">
        <v>3.28</v>
      </c>
      <c r="FP24" t="n">
        <v>2.98</v>
      </c>
      <c r="FR24" t="n">
        <v>0.296</v>
      </c>
      <c r="FU24" t="n">
        <v>2.98</v>
      </c>
      <c r="GB24" t="n">
        <v>215</v>
      </c>
      <c r="GC24" t="n">
        <v>0.012</v>
      </c>
      <c r="GD24" t="n">
        <v>0.038</v>
      </c>
      <c r="GE24" t="n">
        <v>0.051</v>
      </c>
      <c r="GF24" t="n">
        <v>0.083</v>
      </c>
      <c r="GG24" t="n">
        <v>0.067</v>
      </c>
      <c r="GH24" t="n">
        <v>0.021</v>
      </c>
      <c r="GI24" t="n">
        <v>0.041</v>
      </c>
      <c r="GJ24" t="n">
        <v>0.041</v>
      </c>
      <c r="GK24" t="n">
        <v>0.057</v>
      </c>
      <c r="GL24" t="n">
        <v>0.031</v>
      </c>
      <c r="GM24" t="n">
        <v>0.023</v>
      </c>
      <c r="GN24" t="n">
        <v>0.029</v>
      </c>
      <c r="GO24" t="n">
        <v>0.064</v>
      </c>
      <c r="GP24" t="n">
        <v>0.178</v>
      </c>
      <c r="GQ24" t="n">
        <v>0.018</v>
      </c>
      <c r="GR24" t="n">
        <v>0.082</v>
      </c>
      <c r="GS24" t="n">
        <v>0.046</v>
      </c>
      <c r="GU24" t="n">
        <v>0.008</v>
      </c>
      <c r="GW24" t="n">
        <v>4</v>
      </c>
      <c r="GY24" t="n">
        <v>0</v>
      </c>
      <c r="HC24" t="n">
        <v>0</v>
      </c>
      <c r="HQ24" t="n">
        <v>0</v>
      </c>
    </row>
    <row r="25">
      <c r="A25" t="n">
        <v>173468</v>
      </c>
      <c r="B25" t="inlineStr">
        <is>
          <t>Salt, table</t>
        </is>
      </c>
      <c r="C25" t="inlineStr"/>
      <c r="D25" t="inlineStr">
        <is>
          <t>SR Legacy</t>
        </is>
      </c>
      <c r="E25" s="9" t="n">
        <v>3.130147163880557</v>
      </c>
      <c r="F25" s="10">
        <f>E25/SUM($E$3:$E$80)</f>
        <v/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99.8</v>
      </c>
      <c r="O25" t="n">
        <v>0</v>
      </c>
      <c r="P25" t="n">
        <v>0</v>
      </c>
      <c r="V25" t="n">
        <v>0</v>
      </c>
      <c r="AF25" t="n">
        <v>24</v>
      </c>
      <c r="AG25" t="n">
        <v>0.33</v>
      </c>
      <c r="AH25" t="n">
        <v>1</v>
      </c>
      <c r="AI25" t="n">
        <v>0</v>
      </c>
      <c r="AJ25" t="n">
        <v>8</v>
      </c>
      <c r="AK25" t="n">
        <v>38800</v>
      </c>
      <c r="AL25" t="n">
        <v>0.1</v>
      </c>
      <c r="AM25" t="n">
        <v>0.03</v>
      </c>
      <c r="AN25" t="n">
        <v>0.1</v>
      </c>
      <c r="AP25" t="n">
        <v>0.1</v>
      </c>
      <c r="AR25" t="n">
        <v>2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H25" t="n">
        <v>0</v>
      </c>
      <c r="BI25" t="n">
        <v>0</v>
      </c>
      <c r="BJ25" t="n">
        <v>0</v>
      </c>
      <c r="BK25" t="n">
        <v>0</v>
      </c>
      <c r="BL25" t="n">
        <v>0</v>
      </c>
      <c r="BO25" t="n">
        <v>0</v>
      </c>
      <c r="BQ25" t="n">
        <v>0</v>
      </c>
      <c r="BS25" t="n">
        <v>0</v>
      </c>
      <c r="BT25" t="n">
        <v>0</v>
      </c>
      <c r="BW25" t="n">
        <v>0</v>
      </c>
      <c r="CC25" t="n">
        <v>0</v>
      </c>
      <c r="CD25" t="n">
        <v>0</v>
      </c>
      <c r="CH25" t="n">
        <v>0</v>
      </c>
      <c r="CK25" t="n">
        <v>0</v>
      </c>
      <c r="CL25" t="n">
        <v>0</v>
      </c>
      <c r="CT25" t="n">
        <v>0</v>
      </c>
      <c r="CU25" t="n">
        <v>0</v>
      </c>
      <c r="CW25" t="n">
        <v>0</v>
      </c>
      <c r="CX25" t="n">
        <v>0</v>
      </c>
      <c r="CY25" t="n">
        <v>0</v>
      </c>
      <c r="CZ25" t="n">
        <v>0</v>
      </c>
      <c r="DB25" t="n">
        <v>0</v>
      </c>
      <c r="DD25" t="n">
        <v>0</v>
      </c>
      <c r="DF25" t="n">
        <v>0</v>
      </c>
      <c r="DH25" t="n">
        <v>0</v>
      </c>
      <c r="DJ25" t="n">
        <v>0</v>
      </c>
      <c r="DL25" t="n">
        <v>0</v>
      </c>
      <c r="DN25" t="n">
        <v>0</v>
      </c>
      <c r="DT25" t="n">
        <v>0</v>
      </c>
      <c r="DY25" t="n">
        <v>0</v>
      </c>
      <c r="EC25" t="n">
        <v>0</v>
      </c>
      <c r="EE25" t="n">
        <v>0</v>
      </c>
      <c r="EG25" t="n">
        <v>0</v>
      </c>
      <c r="EL25" t="n">
        <v>0</v>
      </c>
      <c r="EM25" t="n">
        <v>0</v>
      </c>
      <c r="ER25" t="n">
        <v>0</v>
      </c>
      <c r="EV25" t="n">
        <v>0</v>
      </c>
      <c r="FD25" t="n">
        <v>0</v>
      </c>
      <c r="FG25" t="n">
        <v>0</v>
      </c>
      <c r="FL25" t="n">
        <v>0</v>
      </c>
      <c r="FN25" t="n">
        <v>0</v>
      </c>
      <c r="FO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0</v>
      </c>
      <c r="GG25" t="n">
        <v>0</v>
      </c>
      <c r="GH25" t="n">
        <v>0</v>
      </c>
      <c r="GI25" t="n">
        <v>0</v>
      </c>
      <c r="GJ25" t="n">
        <v>0</v>
      </c>
      <c r="GK25" t="n">
        <v>0</v>
      </c>
      <c r="GL25" t="n">
        <v>0</v>
      </c>
      <c r="GM25" t="n">
        <v>0</v>
      </c>
      <c r="GN25" t="n">
        <v>0</v>
      </c>
      <c r="GO25" t="n">
        <v>0</v>
      </c>
      <c r="GP25" t="n">
        <v>0</v>
      </c>
      <c r="GQ25" t="n">
        <v>0</v>
      </c>
      <c r="GR25" t="n">
        <v>0</v>
      </c>
      <c r="GS25" t="n">
        <v>0</v>
      </c>
      <c r="GU25" t="n">
        <v>0</v>
      </c>
      <c r="GV25" t="n">
        <v>0</v>
      </c>
      <c r="HQ25" t="n">
        <v>0</v>
      </c>
    </row>
    <row r="26">
      <c r="A26" t="n">
        <v>173532</v>
      </c>
      <c r="B26" t="inlineStr">
        <is>
          <t>Babyfood, cereal, mixed, with honey, prepared with whole milk</t>
        </is>
      </c>
      <c r="C26" t="inlineStr"/>
      <c r="D26" t="inlineStr">
        <is>
          <t>SR Legacy</t>
        </is>
      </c>
      <c r="E26" s="9" t="n">
        <v>100</v>
      </c>
      <c r="F26" s="10">
        <f>E26/SUM($E$3:$E$80)</f>
        <v/>
      </c>
      <c r="G26" t="n">
        <v>74.2</v>
      </c>
      <c r="H26" t="n">
        <v>116</v>
      </c>
      <c r="I26" t="n">
        <v>485.344</v>
      </c>
      <c r="J26" t="n">
        <v>0.8</v>
      </c>
      <c r="K26" t="n">
        <v>5</v>
      </c>
      <c r="L26" t="n">
        <v>3.6</v>
      </c>
      <c r="M26" t="n">
        <v>3.6</v>
      </c>
      <c r="N26" t="n">
        <v>1.2</v>
      </c>
      <c r="O26" t="n">
        <v>15.9</v>
      </c>
      <c r="AF26" t="n">
        <v>294</v>
      </c>
      <c r="AG26" t="n">
        <v>11.3</v>
      </c>
      <c r="AH26" t="n">
        <v>28</v>
      </c>
      <c r="AI26" t="n">
        <v>184</v>
      </c>
      <c r="AJ26" t="n">
        <v>171</v>
      </c>
      <c r="AK26" t="n">
        <v>48</v>
      </c>
      <c r="AL26" t="n">
        <v>0.72</v>
      </c>
      <c r="AM26" t="n">
        <v>0.064</v>
      </c>
      <c r="AS26" t="n">
        <v>11</v>
      </c>
      <c r="AT26" t="n">
        <v>0.447</v>
      </c>
      <c r="AU26" t="n">
        <v>0.583</v>
      </c>
      <c r="AV26" t="n">
        <v>6.26</v>
      </c>
      <c r="AW26" t="n">
        <v>0.067</v>
      </c>
      <c r="AX26" t="n">
        <v>11</v>
      </c>
      <c r="AY26" t="n">
        <v>0</v>
      </c>
      <c r="AZ26" t="n">
        <v>11</v>
      </c>
      <c r="BH26" t="n">
        <v>0.3</v>
      </c>
      <c r="CU26" t="n">
        <v>0.443</v>
      </c>
    </row>
    <row r="27">
      <c r="A27" t="n">
        <v>173534</v>
      </c>
      <c r="B27" t="inlineStr">
        <is>
          <t>Babyfood, cereal, rice, with bananas, prepared with whole milk</t>
        </is>
      </c>
      <c r="C27" t="inlineStr"/>
      <c r="D27" t="inlineStr">
        <is>
          <t>SR Legacy</t>
        </is>
      </c>
      <c r="E27" s="9" t="n">
        <v>100</v>
      </c>
      <c r="F27" s="10">
        <f>E27/SUM($E$3:$E$80)</f>
        <v/>
      </c>
      <c r="G27" t="n">
        <v>81.8</v>
      </c>
      <c r="H27" t="n">
        <v>86.16</v>
      </c>
      <c r="I27" t="n">
        <v>360.49344</v>
      </c>
      <c r="J27" t="n">
        <v>0.5711999999999999</v>
      </c>
      <c r="K27" t="n">
        <v>3.57</v>
      </c>
      <c r="L27" t="n">
        <v>3.32</v>
      </c>
      <c r="M27" t="n">
        <v>3.32</v>
      </c>
      <c r="N27" t="n">
        <v>0.8100000000000001</v>
      </c>
      <c r="O27" t="n">
        <v>10.5</v>
      </c>
      <c r="P27" t="n">
        <v>0.1</v>
      </c>
      <c r="V27" t="n">
        <v>6.13</v>
      </c>
      <c r="W27" t="n">
        <v>0</v>
      </c>
      <c r="X27" t="n">
        <v>0</v>
      </c>
      <c r="Y27" t="n">
        <v>0</v>
      </c>
      <c r="Z27" t="n">
        <v>4.67</v>
      </c>
      <c r="AA27" t="n">
        <v>0</v>
      </c>
      <c r="AB27" t="n">
        <v>0</v>
      </c>
      <c r="AF27" t="n">
        <v>156</v>
      </c>
      <c r="AG27" t="n">
        <v>3.63</v>
      </c>
      <c r="AH27" t="n">
        <v>20</v>
      </c>
      <c r="AI27" t="n">
        <v>109</v>
      </c>
      <c r="AJ27" t="n">
        <v>180</v>
      </c>
      <c r="AK27" t="n">
        <v>47</v>
      </c>
      <c r="AL27" t="n">
        <v>0.46</v>
      </c>
      <c r="AM27" t="n">
        <v>0.042</v>
      </c>
      <c r="AN27" t="n">
        <v>0.004</v>
      </c>
      <c r="AP27" t="n">
        <v>4.3</v>
      </c>
      <c r="AS27" t="n">
        <v>6</v>
      </c>
      <c r="AT27" t="n">
        <v>0.6840000000000001</v>
      </c>
      <c r="AU27" t="n">
        <v>0.444</v>
      </c>
      <c r="AV27" t="n">
        <v>1.85</v>
      </c>
      <c r="AW27" t="n">
        <v>0.08500000000000001</v>
      </c>
      <c r="AX27" t="n">
        <v>6</v>
      </c>
      <c r="AY27" t="n">
        <v>0</v>
      </c>
      <c r="AZ27" t="n">
        <v>6</v>
      </c>
      <c r="BA27" t="n">
        <v>15.2</v>
      </c>
      <c r="BG27" t="n">
        <v>0.6</v>
      </c>
      <c r="BH27" t="n">
        <v>0.43</v>
      </c>
      <c r="BI27" t="n">
        <v>0</v>
      </c>
      <c r="BJ27" t="n">
        <v>43</v>
      </c>
      <c r="BK27" t="n">
        <v>42</v>
      </c>
      <c r="BL27" t="n">
        <v>7</v>
      </c>
      <c r="BO27" t="n">
        <v>1</v>
      </c>
      <c r="BQ27" t="n">
        <v>0</v>
      </c>
      <c r="BS27" t="n">
        <v>152</v>
      </c>
      <c r="BT27" t="n">
        <v>0</v>
      </c>
      <c r="BW27" t="n">
        <v>3</v>
      </c>
      <c r="CC27" t="n">
        <v>47</v>
      </c>
      <c r="CD27" t="n">
        <v>1.2</v>
      </c>
      <c r="CF27" t="n">
        <v>1.2</v>
      </c>
      <c r="CH27" t="n">
        <v>0.5</v>
      </c>
      <c r="CI27" t="n">
        <v>0</v>
      </c>
      <c r="CJ27" t="n">
        <v>0.9</v>
      </c>
      <c r="CK27" t="n">
        <v>0.09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0.2</v>
      </c>
      <c r="CU27" t="n">
        <v>0.345</v>
      </c>
      <c r="CW27" t="n">
        <v>0</v>
      </c>
      <c r="CX27" t="n">
        <v>0</v>
      </c>
      <c r="CY27" t="n">
        <v>1.8</v>
      </c>
      <c r="CZ27" t="n">
        <v>0.06900000000000001</v>
      </c>
      <c r="DB27" t="n">
        <v>0.06900000000000001</v>
      </c>
      <c r="DD27" t="n">
        <v>0.06900000000000001</v>
      </c>
      <c r="DF27" t="n">
        <v>0.06900000000000001</v>
      </c>
      <c r="DH27" t="n">
        <v>0.07099999999999999</v>
      </c>
      <c r="DI27" t="n">
        <v>0</v>
      </c>
      <c r="DJ27" t="n">
        <v>0.276</v>
      </c>
      <c r="DK27" t="n">
        <v>0</v>
      </c>
      <c r="DL27" t="n">
        <v>0.826</v>
      </c>
      <c r="DM27" t="n">
        <v>0</v>
      </c>
      <c r="DN27" t="n">
        <v>0.345</v>
      </c>
      <c r="DO27" t="n">
        <v>0</v>
      </c>
      <c r="DQ27" t="n">
        <v>0</v>
      </c>
      <c r="DS27" t="n">
        <v>0</v>
      </c>
      <c r="DT27" t="n">
        <v>0.826</v>
      </c>
      <c r="DV27" t="n">
        <v>0</v>
      </c>
      <c r="DY27" t="n">
        <v>0.002</v>
      </c>
      <c r="EC27" t="n">
        <v>0.823</v>
      </c>
      <c r="EE27" t="n">
        <v>0</v>
      </c>
      <c r="EG27" t="n">
        <v>0</v>
      </c>
      <c r="EL27" t="n">
        <v>0.294</v>
      </c>
      <c r="EM27" t="n">
        <v>0.209</v>
      </c>
      <c r="ER27" t="n">
        <v>0.08500000000000001</v>
      </c>
      <c r="EV27" t="n">
        <v>0</v>
      </c>
      <c r="FD27" t="n">
        <v>0</v>
      </c>
      <c r="FG27" t="n">
        <v>0</v>
      </c>
      <c r="FL27" t="n">
        <v>0</v>
      </c>
      <c r="FN27" t="n">
        <v>0</v>
      </c>
      <c r="GB27" t="n">
        <v>10</v>
      </c>
      <c r="GC27" t="n">
        <v>0.079</v>
      </c>
      <c r="GD27" t="n">
        <v>0.163</v>
      </c>
      <c r="GE27" t="n">
        <v>0.184</v>
      </c>
      <c r="GF27" t="n">
        <v>0.302</v>
      </c>
      <c r="GG27" t="n">
        <v>0.161</v>
      </c>
      <c r="GH27" t="n">
        <v>0.08500000000000001</v>
      </c>
      <c r="GI27" t="n">
        <v>0.163</v>
      </c>
      <c r="GJ27" t="n">
        <v>0.165</v>
      </c>
      <c r="GK27" t="n">
        <v>0.215</v>
      </c>
      <c r="GL27" t="n">
        <v>0.113</v>
      </c>
      <c r="GM27" t="n">
        <v>0.08799999999999999</v>
      </c>
      <c r="GN27" t="n">
        <v>0.131</v>
      </c>
      <c r="GO27" t="n">
        <v>0.28</v>
      </c>
      <c r="GP27" t="n">
        <v>0.702</v>
      </c>
      <c r="GQ27" t="n">
        <v>0.095</v>
      </c>
      <c r="GR27" t="n">
        <v>0.341</v>
      </c>
      <c r="GS27" t="n">
        <v>0.132</v>
      </c>
      <c r="GU27" t="n">
        <v>0.029</v>
      </c>
      <c r="HQ27" t="n">
        <v>0</v>
      </c>
    </row>
    <row r="28">
      <c r="A28" t="n">
        <v>173944</v>
      </c>
      <c r="B28" t="inlineStr">
        <is>
          <t>Bananas, raw</t>
        </is>
      </c>
      <c r="C28" t="inlineStr"/>
      <c r="D28" t="inlineStr">
        <is>
          <t>SR Legacy</t>
        </is>
      </c>
      <c r="E28" s="9" t="n">
        <v>100</v>
      </c>
      <c r="F28" s="10">
        <f>E28/SUM($E$3:$E$80)</f>
        <v/>
      </c>
      <c r="G28" t="n">
        <v>74.90000000000001</v>
      </c>
      <c r="H28" t="n">
        <v>98.53</v>
      </c>
      <c r="I28" t="n">
        <v>412.24952</v>
      </c>
      <c r="J28" t="n">
        <v>0.1744</v>
      </c>
      <c r="K28" t="n">
        <v>1.09</v>
      </c>
      <c r="L28" t="n">
        <v>0.33</v>
      </c>
      <c r="M28" t="n">
        <v>0.33</v>
      </c>
      <c r="N28" t="n">
        <v>0.82</v>
      </c>
      <c r="O28" t="n">
        <v>22.8</v>
      </c>
      <c r="P28" t="n">
        <v>2.6</v>
      </c>
      <c r="V28" t="n">
        <v>12.2</v>
      </c>
      <c r="W28" t="n">
        <v>2.39</v>
      </c>
      <c r="X28" t="n">
        <v>4.98</v>
      </c>
      <c r="Y28" t="n">
        <v>4.85</v>
      </c>
      <c r="Z28" t="n">
        <v>0</v>
      </c>
      <c r="AA28" t="n">
        <v>0.01</v>
      </c>
      <c r="AB28" t="n">
        <v>0</v>
      </c>
      <c r="AC28" t="n">
        <v>5.38</v>
      </c>
      <c r="AF28" t="n">
        <v>5</v>
      </c>
      <c r="AG28" t="n">
        <v>0.26</v>
      </c>
      <c r="AH28" t="n">
        <v>27</v>
      </c>
      <c r="AI28" t="n">
        <v>22</v>
      </c>
      <c r="AJ28" t="n">
        <v>358</v>
      </c>
      <c r="AK28" t="n">
        <v>1</v>
      </c>
      <c r="AL28" t="n">
        <v>0.15</v>
      </c>
      <c r="AM28" t="n">
        <v>0.078</v>
      </c>
      <c r="AN28" t="n">
        <v>0.27</v>
      </c>
      <c r="AP28" t="n">
        <v>1</v>
      </c>
      <c r="AR28" t="n">
        <v>2.2</v>
      </c>
      <c r="AS28" t="n">
        <v>20</v>
      </c>
      <c r="AT28" t="n">
        <v>0.031</v>
      </c>
      <c r="AU28" t="n">
        <v>0.073</v>
      </c>
      <c r="AV28" t="n">
        <v>0.665</v>
      </c>
      <c r="AW28" t="n">
        <v>0.367</v>
      </c>
      <c r="AX28" t="n">
        <v>20</v>
      </c>
      <c r="AY28" t="n">
        <v>0</v>
      </c>
      <c r="AZ28" t="n">
        <v>20</v>
      </c>
      <c r="BA28" t="n">
        <v>9.800000000000001</v>
      </c>
      <c r="BG28" t="n">
        <v>0.1</v>
      </c>
      <c r="BH28" t="n">
        <v>0</v>
      </c>
      <c r="BI28" t="n">
        <v>0</v>
      </c>
      <c r="BJ28" t="n">
        <v>3</v>
      </c>
      <c r="BK28" t="n">
        <v>0</v>
      </c>
      <c r="BL28" t="n">
        <v>26</v>
      </c>
      <c r="BO28" t="n">
        <v>25</v>
      </c>
      <c r="BQ28" t="n">
        <v>0</v>
      </c>
      <c r="BS28" t="n">
        <v>64</v>
      </c>
      <c r="BT28" t="n">
        <v>0</v>
      </c>
      <c r="BW28" t="n">
        <v>22</v>
      </c>
      <c r="CC28" t="n">
        <v>0</v>
      </c>
      <c r="CD28" t="n">
        <v>0</v>
      </c>
      <c r="CH28" t="n">
        <v>0.5</v>
      </c>
      <c r="CI28" t="n">
        <v>0</v>
      </c>
      <c r="CK28" t="n">
        <v>0.1</v>
      </c>
      <c r="CL28" t="n">
        <v>0</v>
      </c>
      <c r="CM28" t="n">
        <v>0</v>
      </c>
      <c r="CN28" t="n">
        <v>0.02</v>
      </c>
      <c r="CO28" t="n">
        <v>0.01</v>
      </c>
      <c r="CP28" t="n">
        <v>0.06</v>
      </c>
      <c r="CQ28" t="n">
        <v>0</v>
      </c>
      <c r="CR28" t="n">
        <v>0</v>
      </c>
      <c r="CS28" t="n">
        <v>0</v>
      </c>
      <c r="CT28" t="n">
        <v>8.699999999999999</v>
      </c>
      <c r="CU28" t="n">
        <v>0.334</v>
      </c>
      <c r="CW28" t="n">
        <v>0</v>
      </c>
      <c r="CX28" t="n">
        <v>0</v>
      </c>
      <c r="CY28" t="n">
        <v>0.112</v>
      </c>
      <c r="CZ28" t="n">
        <v>0</v>
      </c>
      <c r="DB28" t="n">
        <v>0</v>
      </c>
      <c r="DD28" t="n">
        <v>0</v>
      </c>
      <c r="DF28" t="n">
        <v>0.001</v>
      </c>
      <c r="DH28" t="n">
        <v>0.002</v>
      </c>
      <c r="DJ28" t="n">
        <v>0.002</v>
      </c>
      <c r="DL28" t="n">
        <v>0.102</v>
      </c>
      <c r="DN28" t="n">
        <v>0.005</v>
      </c>
      <c r="DT28" t="n">
        <v>0.032</v>
      </c>
      <c r="DY28" t="n">
        <v>0.01</v>
      </c>
      <c r="EC28" t="n">
        <v>0.022</v>
      </c>
      <c r="EE28" t="n">
        <v>0</v>
      </c>
      <c r="EG28" t="n">
        <v>0</v>
      </c>
      <c r="EL28" t="n">
        <v>0.073</v>
      </c>
      <c r="EM28" t="n">
        <v>0.046</v>
      </c>
      <c r="ER28" t="n">
        <v>0.027</v>
      </c>
      <c r="EV28" t="n">
        <v>0</v>
      </c>
      <c r="FD28" t="n">
        <v>0</v>
      </c>
      <c r="FG28" t="n">
        <v>0</v>
      </c>
      <c r="FL28" t="n">
        <v>0</v>
      </c>
      <c r="FN28" t="n">
        <v>0</v>
      </c>
      <c r="FO28" t="n">
        <v>0</v>
      </c>
      <c r="GB28" t="n">
        <v>0</v>
      </c>
      <c r="GC28" t="n">
        <v>0.008999999999999999</v>
      </c>
      <c r="GD28" t="n">
        <v>0.028</v>
      </c>
      <c r="GE28" t="n">
        <v>0.028</v>
      </c>
      <c r="GF28" t="n">
        <v>0.068</v>
      </c>
      <c r="GG28" t="n">
        <v>0.05</v>
      </c>
      <c r="GH28" t="n">
        <v>0.008</v>
      </c>
      <c r="GI28" t="n">
        <v>0.049</v>
      </c>
      <c r="GJ28" t="n">
        <v>0.008999999999999999</v>
      </c>
      <c r="GK28" t="n">
        <v>0.047</v>
      </c>
      <c r="GL28" t="n">
        <v>0.049</v>
      </c>
      <c r="GM28" t="n">
        <v>0.077</v>
      </c>
      <c r="GN28" t="n">
        <v>0.04</v>
      </c>
      <c r="GO28" t="n">
        <v>0.124</v>
      </c>
      <c r="GP28" t="n">
        <v>0.152</v>
      </c>
      <c r="GQ28" t="n">
        <v>0.038</v>
      </c>
      <c r="GR28" t="n">
        <v>0.028</v>
      </c>
      <c r="GS28" t="n">
        <v>0.04</v>
      </c>
      <c r="GU28" t="n">
        <v>0.008999999999999999</v>
      </c>
      <c r="GV28" t="n">
        <v>16</v>
      </c>
      <c r="HQ28" t="n">
        <v>0</v>
      </c>
    </row>
    <row r="29">
      <c r="A29" t="n">
        <v>174158</v>
      </c>
      <c r="B29" t="inlineStr">
        <is>
          <t>Water, bottled, generic</t>
        </is>
      </c>
      <c r="C29" t="inlineStr"/>
      <c r="D29" t="inlineStr">
        <is>
          <t>SR Legacy</t>
        </is>
      </c>
      <c r="E29" s="9" t="n">
        <v>116.4730390055723</v>
      </c>
      <c r="F29" s="10">
        <f>E29/SUM($E$3:$E$80)</f>
        <v/>
      </c>
      <c r="G29" t="n">
        <v>100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0.07000000000000001</v>
      </c>
      <c r="O29" t="n">
        <v>0</v>
      </c>
      <c r="P29" t="n">
        <v>0</v>
      </c>
      <c r="V29" t="n">
        <v>0</v>
      </c>
      <c r="AF29" t="n">
        <v>10</v>
      </c>
      <c r="AG29" t="n">
        <v>0</v>
      </c>
      <c r="AH29" t="n">
        <v>2</v>
      </c>
      <c r="AI29" t="n">
        <v>0</v>
      </c>
      <c r="AJ29" t="n">
        <v>0</v>
      </c>
      <c r="AK29" t="n">
        <v>2</v>
      </c>
      <c r="AL29" t="n">
        <v>0</v>
      </c>
      <c r="AM29" t="n">
        <v>0.007</v>
      </c>
      <c r="AP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n">
        <v>0</v>
      </c>
      <c r="AZ29" t="n">
        <v>0</v>
      </c>
      <c r="BA29" t="n">
        <v>0</v>
      </c>
      <c r="BH29" t="n">
        <v>0</v>
      </c>
      <c r="BI29" t="n">
        <v>0</v>
      </c>
      <c r="BJ29" t="n">
        <v>0</v>
      </c>
      <c r="BK29" t="n">
        <v>0</v>
      </c>
      <c r="BL29" t="n">
        <v>0</v>
      </c>
      <c r="BO29" t="n">
        <v>0</v>
      </c>
      <c r="BQ29" t="n">
        <v>0</v>
      </c>
      <c r="BS29" t="n">
        <v>0</v>
      </c>
      <c r="BT29" t="n">
        <v>0</v>
      </c>
      <c r="BW29" t="n">
        <v>0</v>
      </c>
      <c r="CC29" t="n">
        <v>0</v>
      </c>
      <c r="CD29" t="n">
        <v>0</v>
      </c>
      <c r="CH29" t="n">
        <v>0</v>
      </c>
      <c r="CK29" t="n">
        <v>0</v>
      </c>
      <c r="CL29" t="n">
        <v>0</v>
      </c>
      <c r="CT29" t="n">
        <v>0</v>
      </c>
      <c r="CU29" t="n">
        <v>0</v>
      </c>
      <c r="CW29" t="n">
        <v>0</v>
      </c>
      <c r="CX29" t="n">
        <v>0</v>
      </c>
      <c r="CY29" t="n">
        <v>0</v>
      </c>
      <c r="CZ29" t="n">
        <v>0</v>
      </c>
      <c r="DB29" t="n">
        <v>0</v>
      </c>
      <c r="DD29" t="n">
        <v>0</v>
      </c>
      <c r="DF29" t="n">
        <v>0</v>
      </c>
      <c r="DH29" t="n">
        <v>0</v>
      </c>
      <c r="DJ29" t="n">
        <v>0</v>
      </c>
      <c r="DL29" t="n">
        <v>0</v>
      </c>
      <c r="DN29" t="n">
        <v>0</v>
      </c>
      <c r="DT29" t="n">
        <v>0</v>
      </c>
      <c r="DY29" t="n">
        <v>0</v>
      </c>
      <c r="EC29" t="n">
        <v>0</v>
      </c>
      <c r="EE29" t="n">
        <v>0</v>
      </c>
      <c r="EG29" t="n">
        <v>0</v>
      </c>
      <c r="EL29" t="n">
        <v>0</v>
      </c>
      <c r="EM29" t="n">
        <v>0</v>
      </c>
      <c r="ER29" t="n">
        <v>0</v>
      </c>
      <c r="EV29" t="n">
        <v>0</v>
      </c>
      <c r="FD29" t="n">
        <v>0</v>
      </c>
      <c r="FG29" t="n">
        <v>0</v>
      </c>
      <c r="FL29" t="n">
        <v>0</v>
      </c>
      <c r="FN29" t="n">
        <v>0</v>
      </c>
      <c r="FO29" t="n">
        <v>0</v>
      </c>
      <c r="GB29" t="n">
        <v>0</v>
      </c>
      <c r="HQ29" t="n">
        <v>0</v>
      </c>
    </row>
    <row r="30">
      <c r="A30" t="n">
        <v>175138</v>
      </c>
      <c r="B30" t="inlineStr">
        <is>
          <t>Fish, salmon, pink, raw</t>
        </is>
      </c>
      <c r="C30" t="inlineStr"/>
      <c r="D30" t="inlineStr">
        <is>
          <t>SR Legacy</t>
        </is>
      </c>
      <c r="E30" s="9" t="n">
        <v>100</v>
      </c>
      <c r="F30" s="10">
        <f>E30/SUM($E$3:$E$80)</f>
        <v/>
      </c>
      <c r="G30" t="n">
        <v>75.5</v>
      </c>
      <c r="H30" t="n">
        <v>121.6</v>
      </c>
      <c r="I30" t="n">
        <v>508.7744</v>
      </c>
      <c r="J30" t="n">
        <v>3.28</v>
      </c>
      <c r="K30" t="n">
        <v>20.5</v>
      </c>
      <c r="L30" t="n">
        <v>4.4</v>
      </c>
      <c r="M30" t="n">
        <v>4.4</v>
      </c>
      <c r="N30" t="n">
        <v>1.52</v>
      </c>
      <c r="O30" t="n">
        <v>0</v>
      </c>
      <c r="P30" t="n">
        <v>0</v>
      </c>
      <c r="V30" t="n">
        <v>0</v>
      </c>
      <c r="AF30" t="n">
        <v>7</v>
      </c>
      <c r="AG30" t="n">
        <v>0.38</v>
      </c>
      <c r="AH30" t="n">
        <v>27</v>
      </c>
      <c r="AI30" t="n">
        <v>261</v>
      </c>
      <c r="AJ30" t="n">
        <v>366</v>
      </c>
      <c r="AK30" t="n">
        <v>75</v>
      </c>
      <c r="AL30" t="n">
        <v>0.39</v>
      </c>
      <c r="AM30" t="n">
        <v>0.063</v>
      </c>
      <c r="AN30" t="n">
        <v>0.011</v>
      </c>
      <c r="AP30" t="n">
        <v>31.4</v>
      </c>
      <c r="AS30" t="n">
        <v>4</v>
      </c>
      <c r="AT30" t="n">
        <v>0.08</v>
      </c>
      <c r="AU30" t="n">
        <v>0.105</v>
      </c>
      <c r="AV30" t="n">
        <v>8</v>
      </c>
      <c r="AW30" t="n">
        <v>0.611</v>
      </c>
      <c r="AX30" t="n">
        <v>4</v>
      </c>
      <c r="AY30" t="n">
        <v>0</v>
      </c>
      <c r="AZ30" t="n">
        <v>4</v>
      </c>
      <c r="BA30" t="n">
        <v>94.59999999999999</v>
      </c>
      <c r="BH30" t="n">
        <v>4.15</v>
      </c>
      <c r="BI30" t="n">
        <v>0</v>
      </c>
      <c r="BJ30" t="n">
        <v>35</v>
      </c>
      <c r="BK30" t="n">
        <v>35</v>
      </c>
      <c r="BL30" t="n">
        <v>0</v>
      </c>
      <c r="BO30" t="n">
        <v>0</v>
      </c>
      <c r="BQ30" t="n">
        <v>0</v>
      </c>
      <c r="BS30" t="n">
        <v>117</v>
      </c>
      <c r="BT30" t="n">
        <v>0</v>
      </c>
      <c r="BW30" t="n">
        <v>0</v>
      </c>
      <c r="CC30" t="n">
        <v>435</v>
      </c>
      <c r="CD30" t="n">
        <v>10.9</v>
      </c>
      <c r="CF30" t="n">
        <v>10.9</v>
      </c>
      <c r="CH30" t="n">
        <v>0.4</v>
      </c>
      <c r="CK30" t="n">
        <v>0.4</v>
      </c>
      <c r="CL30" t="n">
        <v>0</v>
      </c>
      <c r="CM30" t="n">
        <v>0</v>
      </c>
      <c r="CN30" t="n">
        <v>0</v>
      </c>
      <c r="CO30" t="n">
        <v>0</v>
      </c>
      <c r="CP30" t="n">
        <v>0</v>
      </c>
      <c r="CQ30" t="n">
        <v>0</v>
      </c>
      <c r="CR30" t="n">
        <v>0</v>
      </c>
      <c r="CS30" t="n">
        <v>0</v>
      </c>
      <c r="CT30" t="n">
        <v>0</v>
      </c>
      <c r="CU30" t="n">
        <v>1.03</v>
      </c>
      <c r="CW30" t="n">
        <v>0</v>
      </c>
      <c r="CX30" t="n">
        <v>0</v>
      </c>
      <c r="CY30" t="n">
        <v>0.8100000000000001</v>
      </c>
      <c r="CZ30" t="n">
        <v>0</v>
      </c>
      <c r="DB30" t="n">
        <v>0</v>
      </c>
      <c r="DD30" t="n">
        <v>0</v>
      </c>
      <c r="DF30" t="n">
        <v>0</v>
      </c>
      <c r="DH30" t="n">
        <v>0.003</v>
      </c>
      <c r="DJ30" t="n">
        <v>0.203</v>
      </c>
      <c r="DK30" t="n">
        <v>0.013</v>
      </c>
      <c r="DL30" t="n">
        <v>0.472</v>
      </c>
      <c r="DM30" t="n">
        <v>0.01</v>
      </c>
      <c r="DN30" t="n">
        <v>0.102</v>
      </c>
      <c r="DO30" t="n">
        <v>0.006</v>
      </c>
      <c r="DQ30" t="n">
        <v>0.002</v>
      </c>
      <c r="DS30" t="n">
        <v>0.001</v>
      </c>
      <c r="DT30" t="n">
        <v>1.35</v>
      </c>
      <c r="DV30" t="n">
        <v>0.003</v>
      </c>
      <c r="DX30" t="n">
        <v>0.002</v>
      </c>
      <c r="DY30" t="n">
        <v>0.18</v>
      </c>
      <c r="DZ30" t="n">
        <v>0.175</v>
      </c>
      <c r="EA30" t="n">
        <v>0.004</v>
      </c>
      <c r="EC30" t="n">
        <v>0.63</v>
      </c>
      <c r="ED30" t="n">
        <v>0.622</v>
      </c>
      <c r="EE30" t="n">
        <v>0.449</v>
      </c>
      <c r="EG30" t="n">
        <v>0.047</v>
      </c>
      <c r="EH30" t="n">
        <v>0.045</v>
      </c>
      <c r="EK30" t="n">
        <v>0.034</v>
      </c>
      <c r="EL30" t="n">
        <v>0.8110000000000001</v>
      </c>
      <c r="EM30" t="n">
        <v>0.081</v>
      </c>
      <c r="EO30" t="n">
        <v>0.057</v>
      </c>
      <c r="EP30" t="n">
        <v>0.005</v>
      </c>
      <c r="ER30" t="n">
        <v>0.047</v>
      </c>
      <c r="ET30" t="n">
        <v>0.045</v>
      </c>
      <c r="EU30" t="n">
        <v>0.002</v>
      </c>
      <c r="EV30" t="n">
        <v>0.07199999999999999</v>
      </c>
      <c r="EX30" t="n">
        <v>0.018</v>
      </c>
      <c r="EY30" t="n">
        <v>0.013</v>
      </c>
      <c r="FA30" t="n">
        <v>0.008</v>
      </c>
      <c r="FB30" t="n">
        <v>0.004</v>
      </c>
      <c r="FD30" t="n">
        <v>0.014</v>
      </c>
      <c r="FG30" t="n">
        <v>0.182</v>
      </c>
      <c r="FJ30" t="n">
        <v>0.001</v>
      </c>
      <c r="FL30" t="n">
        <v>0.047</v>
      </c>
      <c r="FN30" t="n">
        <v>0.333</v>
      </c>
      <c r="FO30" t="n">
        <v>0.034</v>
      </c>
      <c r="FP30" t="n">
        <v>0.015</v>
      </c>
      <c r="FR30" t="n">
        <v>0.019</v>
      </c>
      <c r="FT30" t="n">
        <v>0.005</v>
      </c>
      <c r="FU30" t="n">
        <v>0.008999999999999999</v>
      </c>
      <c r="FX30" t="n">
        <v>0.019</v>
      </c>
      <c r="GA30" t="n">
        <v>0.001</v>
      </c>
      <c r="GB30" t="n">
        <v>46</v>
      </c>
      <c r="GC30" t="n">
        <v>0.221</v>
      </c>
      <c r="GD30" t="n">
        <v>1.07</v>
      </c>
      <c r="GE30" t="n">
        <v>0.954</v>
      </c>
      <c r="GF30" t="n">
        <v>1.56</v>
      </c>
      <c r="GG30" t="n">
        <v>1.76</v>
      </c>
      <c r="GH30" t="n">
        <v>0.577</v>
      </c>
      <c r="GI30" t="n">
        <v>0.845</v>
      </c>
      <c r="GJ30" t="n">
        <v>0.742</v>
      </c>
      <c r="GK30" t="n">
        <v>1.1</v>
      </c>
      <c r="GL30" t="n">
        <v>1.29</v>
      </c>
      <c r="GM30" t="n">
        <v>0.543</v>
      </c>
      <c r="GN30" t="n">
        <v>1.31</v>
      </c>
      <c r="GO30" t="n">
        <v>2.58</v>
      </c>
      <c r="GP30" t="n">
        <v>2.9</v>
      </c>
      <c r="GQ30" t="n">
        <v>1.26</v>
      </c>
      <c r="GR30" t="n">
        <v>0.867</v>
      </c>
      <c r="GS30" t="n">
        <v>0.905</v>
      </c>
      <c r="GU30" t="n">
        <v>0.159</v>
      </c>
      <c r="HQ30" t="n">
        <v>0</v>
      </c>
    </row>
    <row r="31">
      <c r="A31" t="n">
        <v>175156</v>
      </c>
      <c r="B31" t="inlineStr">
        <is>
          <t>Fish, tuna, fresh, skipjack, raw</t>
        </is>
      </c>
      <c r="C31" t="inlineStr"/>
      <c r="D31" t="inlineStr">
        <is>
          <t>SR Legacy</t>
        </is>
      </c>
      <c r="E31" s="9" t="n">
        <v>100</v>
      </c>
      <c r="F31" s="10">
        <f>E31/SUM($E$3:$E$80)</f>
        <v/>
      </c>
      <c r="G31" t="n">
        <v>70.59999999999999</v>
      </c>
      <c r="H31" t="n">
        <v>97.09</v>
      </c>
      <c r="I31" t="n">
        <v>406.2245600000001</v>
      </c>
      <c r="J31" t="n">
        <v>3.52</v>
      </c>
      <c r="K31" t="n">
        <v>22</v>
      </c>
      <c r="L31" t="n">
        <v>1.01</v>
      </c>
      <c r="M31" t="n">
        <v>1.01</v>
      </c>
      <c r="N31" t="n">
        <v>1.3</v>
      </c>
      <c r="O31" t="n">
        <v>0</v>
      </c>
      <c r="P31" t="n">
        <v>0</v>
      </c>
      <c r="AF31" t="n">
        <v>29</v>
      </c>
      <c r="AG31" t="n">
        <v>1.25</v>
      </c>
      <c r="AH31" t="n">
        <v>34</v>
      </c>
      <c r="AI31" t="n">
        <v>222</v>
      </c>
      <c r="AJ31" t="n">
        <v>407</v>
      </c>
      <c r="AK31" t="n">
        <v>37</v>
      </c>
      <c r="AL31" t="n">
        <v>0.82</v>
      </c>
      <c r="AM31" t="n">
        <v>0.08599999999999999</v>
      </c>
      <c r="AN31" t="n">
        <v>0.015</v>
      </c>
      <c r="AP31" t="n">
        <v>36.5</v>
      </c>
      <c r="AS31" t="n">
        <v>9</v>
      </c>
      <c r="AT31" t="n">
        <v>0.033</v>
      </c>
      <c r="AU31" t="n">
        <v>0.1</v>
      </c>
      <c r="AV31" t="n">
        <v>15.4</v>
      </c>
      <c r="AW31" t="n">
        <v>0.85</v>
      </c>
      <c r="AX31" t="n">
        <v>9</v>
      </c>
      <c r="AY31" t="n">
        <v>0</v>
      </c>
      <c r="AZ31" t="n">
        <v>9</v>
      </c>
      <c r="BH31" t="n">
        <v>1.9</v>
      </c>
      <c r="BJ31" t="n">
        <v>16</v>
      </c>
      <c r="BK31" t="n">
        <v>16</v>
      </c>
      <c r="BS31" t="n">
        <v>52</v>
      </c>
      <c r="CT31" t="n">
        <v>1</v>
      </c>
      <c r="CU31" t="n">
        <v>0.42</v>
      </c>
      <c r="CY31" t="n">
        <v>0.328</v>
      </c>
      <c r="DJ31" t="n">
        <v>0.04</v>
      </c>
      <c r="DL31" t="n">
        <v>0.233</v>
      </c>
      <c r="DN31" t="n">
        <v>0.055</v>
      </c>
      <c r="DT31" t="n">
        <v>0.19</v>
      </c>
      <c r="DY31" t="n">
        <v>0.036</v>
      </c>
      <c r="EC31" t="n">
        <v>0.131</v>
      </c>
      <c r="EE31" t="n">
        <v>0.017</v>
      </c>
      <c r="EG31" t="n">
        <v>0.006</v>
      </c>
      <c r="EL31" t="n">
        <v>0.315</v>
      </c>
      <c r="EM31" t="n">
        <v>0.016</v>
      </c>
      <c r="EV31" t="n">
        <v>0.004</v>
      </c>
      <c r="FD31" t="n">
        <v>0.026</v>
      </c>
      <c r="FG31" t="n">
        <v>0.07099999999999999</v>
      </c>
      <c r="FL31" t="n">
        <v>0.013</v>
      </c>
      <c r="FN31" t="n">
        <v>0.185</v>
      </c>
      <c r="GB31" t="n">
        <v>47</v>
      </c>
      <c r="GC31" t="n">
        <v>0.246</v>
      </c>
      <c r="GD31" t="n">
        <v>0.964</v>
      </c>
      <c r="GE31" t="n">
        <v>1.01</v>
      </c>
      <c r="GF31" t="n">
        <v>1.79</v>
      </c>
      <c r="GG31" t="n">
        <v>2.02</v>
      </c>
      <c r="GH31" t="n">
        <v>0.651</v>
      </c>
      <c r="GI31" t="n">
        <v>0.859</v>
      </c>
      <c r="GJ31" t="n">
        <v>0.743</v>
      </c>
      <c r="GK31" t="n">
        <v>1.13</v>
      </c>
      <c r="GL31" t="n">
        <v>1.32</v>
      </c>
      <c r="GM31" t="n">
        <v>0.648</v>
      </c>
      <c r="GN31" t="n">
        <v>1.33</v>
      </c>
      <c r="GO31" t="n">
        <v>2.25</v>
      </c>
      <c r="GP31" t="n">
        <v>3.28</v>
      </c>
      <c r="GQ31" t="n">
        <v>1.06</v>
      </c>
      <c r="GR31" t="n">
        <v>0.778</v>
      </c>
      <c r="GS31" t="n">
        <v>0.898</v>
      </c>
      <c r="GU31" t="n">
        <v>0.236</v>
      </c>
    </row>
    <row r="32">
      <c r="A32" t="n">
        <v>175167</v>
      </c>
      <c r="B32" t="inlineStr">
        <is>
          <t>Fish, salmon, Atlantic, farmed, raw</t>
        </is>
      </c>
      <c r="C32" t="inlineStr"/>
      <c r="D32" t="inlineStr">
        <is>
          <t>SR Legacy</t>
        </is>
      </c>
      <c r="E32" s="9" t="n">
        <v>100</v>
      </c>
      <c r="F32" s="10">
        <f>E32/SUM($E$3:$E$80)</f>
        <v/>
      </c>
      <c r="G32" t="n">
        <v>64.90000000000001</v>
      </c>
      <c r="H32" t="n">
        <v>202.2</v>
      </c>
      <c r="I32" t="n">
        <v>846.0047999999999</v>
      </c>
      <c r="J32" t="n">
        <v>3.264</v>
      </c>
      <c r="K32" t="n">
        <v>20.4</v>
      </c>
      <c r="L32" t="n">
        <v>13.4</v>
      </c>
      <c r="M32" t="n">
        <v>13.4</v>
      </c>
      <c r="N32" t="n">
        <v>1.13</v>
      </c>
      <c r="O32" t="n">
        <v>0</v>
      </c>
      <c r="P32" t="n">
        <v>0</v>
      </c>
      <c r="V32" t="n">
        <v>0</v>
      </c>
      <c r="AF32" t="n">
        <v>9</v>
      </c>
      <c r="AG32" t="n">
        <v>0.34</v>
      </c>
      <c r="AH32" t="n">
        <v>27</v>
      </c>
      <c r="AI32" t="n">
        <v>240</v>
      </c>
      <c r="AJ32" t="n">
        <v>363</v>
      </c>
      <c r="AK32" t="n">
        <v>59</v>
      </c>
      <c r="AL32" t="n">
        <v>0.36</v>
      </c>
      <c r="AM32" t="n">
        <v>0.045</v>
      </c>
      <c r="AN32" t="n">
        <v>0.011</v>
      </c>
      <c r="AP32" t="n">
        <v>24</v>
      </c>
      <c r="AS32" t="n">
        <v>26</v>
      </c>
      <c r="AT32" t="n">
        <v>0.207</v>
      </c>
      <c r="AU32" t="n">
        <v>0.155</v>
      </c>
      <c r="AV32" t="n">
        <v>8.67</v>
      </c>
      <c r="AW32" t="n">
        <v>0.636</v>
      </c>
      <c r="AX32" t="n">
        <v>26</v>
      </c>
      <c r="AY32" t="n">
        <v>0</v>
      </c>
      <c r="AZ32" t="n">
        <v>26</v>
      </c>
      <c r="BA32" t="n">
        <v>78.5</v>
      </c>
      <c r="BG32" t="n">
        <v>3</v>
      </c>
      <c r="BH32" t="n">
        <v>3.23</v>
      </c>
      <c r="BI32" t="n">
        <v>0</v>
      </c>
      <c r="BJ32" t="n">
        <v>58</v>
      </c>
      <c r="BK32" t="n">
        <v>58</v>
      </c>
      <c r="BL32" t="n">
        <v>0</v>
      </c>
      <c r="BO32" t="n">
        <v>0</v>
      </c>
      <c r="BQ32" t="n">
        <v>0</v>
      </c>
      <c r="BS32" t="n">
        <v>193</v>
      </c>
      <c r="BT32" t="n">
        <v>0</v>
      </c>
      <c r="BW32" t="n">
        <v>0</v>
      </c>
      <c r="CC32" t="n">
        <v>441</v>
      </c>
      <c r="CD32" t="n">
        <v>11</v>
      </c>
      <c r="CH32" t="n">
        <v>0.5</v>
      </c>
      <c r="CI32" t="n">
        <v>0</v>
      </c>
      <c r="CJ32" t="n">
        <v>0</v>
      </c>
      <c r="CK32" t="n">
        <v>3.55</v>
      </c>
      <c r="CL32" t="n">
        <v>0</v>
      </c>
      <c r="CM32" t="n">
        <v>0.01</v>
      </c>
      <c r="CN32" t="n">
        <v>0.3</v>
      </c>
      <c r="CO32" t="n">
        <v>0.05</v>
      </c>
      <c r="CP32" t="n">
        <v>0.06</v>
      </c>
      <c r="CQ32" t="n">
        <v>0</v>
      </c>
      <c r="CR32" t="n">
        <v>0</v>
      </c>
      <c r="CS32" t="n">
        <v>0</v>
      </c>
      <c r="CT32" t="n">
        <v>3.9</v>
      </c>
      <c r="CU32" t="n">
        <v>1.55</v>
      </c>
      <c r="CW32" t="n">
        <v>0</v>
      </c>
      <c r="CX32" t="n">
        <v>0</v>
      </c>
      <c r="CY32" t="n">
        <v>3.05</v>
      </c>
      <c r="CZ32" t="n">
        <v>0</v>
      </c>
      <c r="DB32" t="n">
        <v>0</v>
      </c>
      <c r="DD32" t="n">
        <v>0</v>
      </c>
      <c r="DF32" t="n">
        <v>0</v>
      </c>
      <c r="DH32" t="n">
        <v>0</v>
      </c>
      <c r="DJ32" t="n">
        <v>0.556</v>
      </c>
      <c r="DK32" t="n">
        <v>0.046</v>
      </c>
      <c r="DL32" t="n">
        <v>1.88</v>
      </c>
      <c r="DM32" t="n">
        <v>0.043</v>
      </c>
      <c r="DN32" t="n">
        <v>0.495</v>
      </c>
      <c r="DO32" t="n">
        <v>0.022</v>
      </c>
      <c r="DQ32" t="n">
        <v>0.011</v>
      </c>
      <c r="DS32" t="n">
        <v>0</v>
      </c>
      <c r="DT32" t="n">
        <v>3.77</v>
      </c>
      <c r="DV32" t="n">
        <v>0</v>
      </c>
      <c r="DX32" t="n">
        <v>0</v>
      </c>
      <c r="DY32" t="n">
        <v>0.791</v>
      </c>
      <c r="EA32" t="n">
        <v>0</v>
      </c>
      <c r="EC32" t="n">
        <v>2.72</v>
      </c>
      <c r="EE32" t="n">
        <v>0.265</v>
      </c>
      <c r="EG32" t="n">
        <v>0</v>
      </c>
      <c r="EL32" t="n">
        <v>3.89</v>
      </c>
      <c r="EM32" t="n">
        <v>0.9</v>
      </c>
      <c r="ER32" t="n">
        <v>0.167</v>
      </c>
      <c r="ET32" t="n">
        <v>0.148</v>
      </c>
      <c r="EU32" t="n">
        <v>0.02</v>
      </c>
      <c r="EV32" t="n">
        <v>0.121</v>
      </c>
      <c r="EX32" t="n">
        <v>0.062</v>
      </c>
      <c r="EY32" t="n">
        <v>0.018</v>
      </c>
      <c r="FD32" t="n">
        <v>0.092</v>
      </c>
      <c r="FG32" t="n">
        <v>0.862</v>
      </c>
      <c r="FL32" t="n">
        <v>0.393</v>
      </c>
      <c r="FN32" t="n">
        <v>1.1</v>
      </c>
      <c r="GB32" t="n">
        <v>55</v>
      </c>
      <c r="GC32" t="n">
        <v>0.209</v>
      </c>
      <c r="GD32" t="n">
        <v>0.86</v>
      </c>
      <c r="GE32" t="n">
        <v>0.968</v>
      </c>
      <c r="GF32" t="n">
        <v>1.62</v>
      </c>
      <c r="GG32" t="n">
        <v>1.87</v>
      </c>
      <c r="GH32" t="n">
        <v>0.626</v>
      </c>
      <c r="GI32" t="n">
        <v>0.845</v>
      </c>
      <c r="GJ32" t="n">
        <v>0.759</v>
      </c>
      <c r="GK32" t="n">
        <v>1.11</v>
      </c>
      <c r="GL32" t="n">
        <v>1.22</v>
      </c>
      <c r="GM32" t="n">
        <v>0.549</v>
      </c>
      <c r="GN32" t="n">
        <v>1.27</v>
      </c>
      <c r="GO32" t="n">
        <v>2.02</v>
      </c>
      <c r="GP32" t="n">
        <v>2.83</v>
      </c>
      <c r="GQ32" t="n">
        <v>0.96</v>
      </c>
      <c r="GR32" t="n">
        <v>0.721</v>
      </c>
      <c r="GS32" t="n">
        <v>0.896</v>
      </c>
      <c r="GT32" t="n">
        <v>0.042</v>
      </c>
      <c r="GU32" t="n">
        <v>0.219</v>
      </c>
      <c r="HQ32" t="n">
        <v>0</v>
      </c>
    </row>
    <row r="33">
      <c r="A33" t="n">
        <v>323294</v>
      </c>
      <c r="B33" t="inlineStr">
        <is>
          <t>Nuts, almonds, dry roasted, with salt added</t>
        </is>
      </c>
      <c r="C33" t="inlineStr"/>
      <c r="D33" t="inlineStr">
        <is>
          <t>Foundation</t>
        </is>
      </c>
      <c r="E33" s="9" t="n">
        <v>100</v>
      </c>
      <c r="F33" s="10">
        <f>E33/SUM($E$3:$E$80)</f>
        <v/>
      </c>
      <c r="G33" t="n">
        <v>2.2</v>
      </c>
      <c r="H33" t="n">
        <v>666.5999999999999</v>
      </c>
      <c r="I33" t="n">
        <v>2789.0544</v>
      </c>
      <c r="J33" t="n">
        <v>3.94</v>
      </c>
      <c r="K33" t="n">
        <v>20.4</v>
      </c>
      <c r="L33" t="n">
        <v>53.4</v>
      </c>
      <c r="M33" t="n">
        <v>57.8</v>
      </c>
      <c r="N33" t="n">
        <v>3.47</v>
      </c>
      <c r="O33" t="n">
        <v>16.2</v>
      </c>
      <c r="P33" t="n">
        <v>11</v>
      </c>
      <c r="V33" t="n">
        <v>4.17</v>
      </c>
      <c r="W33" t="n">
        <v>4.17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F33" t="n">
        <v>273</v>
      </c>
      <c r="AG33" t="n">
        <v>3.17</v>
      </c>
      <c r="AH33" t="n">
        <v>258</v>
      </c>
      <c r="AI33" t="n">
        <v>456</v>
      </c>
      <c r="AJ33" t="n">
        <v>684</v>
      </c>
      <c r="AK33" t="n">
        <v>256</v>
      </c>
      <c r="AL33" t="n">
        <v>2.8</v>
      </c>
      <c r="AM33" t="n">
        <v>0.87</v>
      </c>
      <c r="AN33" t="n">
        <v>2.02</v>
      </c>
      <c r="AP33" t="n">
        <v>0</v>
      </c>
      <c r="AT33" t="n">
        <v>0.079</v>
      </c>
      <c r="AU33" t="n">
        <v>1.57</v>
      </c>
      <c r="AV33" t="n">
        <v>3.1</v>
      </c>
      <c r="AW33" t="n">
        <v>0.075</v>
      </c>
      <c r="AX33" t="n">
        <v>35</v>
      </c>
      <c r="BA33" t="n">
        <v>60.8</v>
      </c>
      <c r="BB33" t="n">
        <v>4.3</v>
      </c>
      <c r="BC33" t="n">
        <v>56.1</v>
      </c>
      <c r="BD33" t="n">
        <v>0</v>
      </c>
      <c r="BE33" t="n">
        <v>0.4</v>
      </c>
      <c r="BF33" t="n">
        <v>0</v>
      </c>
      <c r="BG33" t="n">
        <v>0</v>
      </c>
      <c r="BJ33" t="n">
        <v>2</v>
      </c>
      <c r="BL33" t="n">
        <v>17</v>
      </c>
      <c r="BO33" t="n">
        <v>0</v>
      </c>
      <c r="BQ33" t="n">
        <v>9</v>
      </c>
      <c r="BT33" t="n">
        <v>0</v>
      </c>
      <c r="BW33" t="n">
        <v>25</v>
      </c>
      <c r="CH33" t="n">
        <v>0</v>
      </c>
      <c r="CI33" t="n">
        <v>0</v>
      </c>
      <c r="CJ33" t="n">
        <v>0</v>
      </c>
      <c r="CK33" t="n">
        <v>19</v>
      </c>
      <c r="CM33" t="n">
        <v>0.18</v>
      </c>
      <c r="CN33" t="n">
        <v>0.92</v>
      </c>
      <c r="CO33" t="n">
        <v>0</v>
      </c>
      <c r="CP33" t="n">
        <v>0.28</v>
      </c>
      <c r="CQ33" t="n">
        <v>0</v>
      </c>
      <c r="CR33" t="n">
        <v>0</v>
      </c>
      <c r="CS33" t="n">
        <v>0</v>
      </c>
      <c r="CT33" t="n">
        <v>0</v>
      </c>
      <c r="CU33" t="n">
        <v>0.237</v>
      </c>
      <c r="CY33" t="n">
        <v>4.56</v>
      </c>
      <c r="CZ33" t="n">
        <v>0.001</v>
      </c>
      <c r="DB33" t="n">
        <v>0</v>
      </c>
      <c r="DD33" t="n">
        <v>0</v>
      </c>
      <c r="DF33" t="n">
        <v>0</v>
      </c>
      <c r="DG33" t="n">
        <v>0</v>
      </c>
      <c r="DH33" t="n">
        <v>0</v>
      </c>
      <c r="DJ33" t="n">
        <v>0.027</v>
      </c>
      <c r="DK33" t="n">
        <v>0.008</v>
      </c>
      <c r="DL33" t="n">
        <v>3.54</v>
      </c>
      <c r="DM33" t="n">
        <v>0.028</v>
      </c>
      <c r="DN33" t="n">
        <v>0.828</v>
      </c>
      <c r="DO33" t="n">
        <v>0.059</v>
      </c>
      <c r="DQ33" t="n">
        <v>0.042</v>
      </c>
      <c r="DS33" t="n">
        <v>0.024</v>
      </c>
      <c r="DT33" t="n">
        <v>34.2</v>
      </c>
      <c r="DW33" t="n">
        <v>0</v>
      </c>
      <c r="DX33" t="n">
        <v>0</v>
      </c>
      <c r="DZ33" t="n">
        <v>0.259</v>
      </c>
      <c r="EA33" t="n">
        <v>0.061</v>
      </c>
      <c r="EB33" t="n">
        <v>0.061</v>
      </c>
      <c r="ED33" t="n">
        <v>33.8</v>
      </c>
      <c r="EF33" t="n">
        <v>0.076</v>
      </c>
      <c r="EH33" t="n">
        <v>0.001</v>
      </c>
      <c r="EI33" t="n">
        <v>0.001</v>
      </c>
      <c r="EK33" t="n">
        <v>0.001</v>
      </c>
      <c r="EL33" t="n">
        <v>14.5</v>
      </c>
      <c r="EN33" t="n">
        <v>14.5</v>
      </c>
      <c r="EO33" t="n">
        <v>14.5</v>
      </c>
      <c r="EP33" t="n">
        <v>0.006</v>
      </c>
      <c r="ES33" t="n">
        <v>0.052</v>
      </c>
      <c r="ET33" t="n">
        <v>0.05</v>
      </c>
      <c r="EU33" t="n">
        <v>0.002</v>
      </c>
      <c r="EV33" t="n">
        <v>0</v>
      </c>
      <c r="EW33" t="n">
        <v>0</v>
      </c>
      <c r="EX33" t="n">
        <v>0</v>
      </c>
      <c r="EZ33" t="n">
        <v>0</v>
      </c>
      <c r="FA33" t="n">
        <v>0</v>
      </c>
      <c r="FB33" t="n">
        <v>0</v>
      </c>
      <c r="FC33" t="n">
        <v>0</v>
      </c>
      <c r="FD33" t="n">
        <v>0.005</v>
      </c>
      <c r="FE33" t="n">
        <v>0.005</v>
      </c>
      <c r="FF33" t="n">
        <v>0.002</v>
      </c>
      <c r="FG33" t="n">
        <v>0.002</v>
      </c>
      <c r="FH33" t="n">
        <v>0</v>
      </c>
      <c r="FJ33" t="n">
        <v>0</v>
      </c>
      <c r="FK33" t="n">
        <v>0</v>
      </c>
      <c r="FL33" t="n">
        <v>0</v>
      </c>
      <c r="FM33" t="n">
        <v>0</v>
      </c>
      <c r="FN33" t="n">
        <v>0</v>
      </c>
      <c r="FO33" t="n">
        <v>0.032</v>
      </c>
      <c r="FP33" t="n">
        <v>0.016</v>
      </c>
      <c r="FQ33" t="n">
        <v>0.016</v>
      </c>
      <c r="FR33" t="n">
        <v>0</v>
      </c>
      <c r="FT33" t="n">
        <v>0</v>
      </c>
      <c r="FU33" t="n">
        <v>0.016</v>
      </c>
      <c r="FX33" t="n">
        <v>0.016</v>
      </c>
      <c r="FY33" t="n">
        <v>0</v>
      </c>
      <c r="GA33" t="n">
        <v>0</v>
      </c>
    </row>
    <row r="34">
      <c r="A34" t="n">
        <v>746766</v>
      </c>
      <c r="B34" t="inlineStr">
        <is>
          <t>Cheese, ricotta, whole milk</t>
        </is>
      </c>
      <c r="C34" t="inlineStr"/>
      <c r="D34" t="inlineStr">
        <is>
          <t>Foundation</t>
        </is>
      </c>
      <c r="E34" s="9" t="n">
        <v>100</v>
      </c>
      <c r="F34" s="10">
        <f>E34/SUM($E$3:$E$80)</f>
        <v/>
      </c>
      <c r="G34" t="n">
        <v>72.90000000000001</v>
      </c>
      <c r="H34" t="n">
        <v>157.68</v>
      </c>
      <c r="I34" t="n">
        <v>659.7331200000001</v>
      </c>
      <c r="J34" t="n">
        <v>1.22</v>
      </c>
      <c r="K34" t="n">
        <v>7.81</v>
      </c>
      <c r="L34" t="n">
        <v>10.3</v>
      </c>
      <c r="M34" t="n">
        <v>11</v>
      </c>
      <c r="N34" t="n">
        <v>1.36</v>
      </c>
      <c r="O34" t="n">
        <v>6.86</v>
      </c>
      <c r="AF34" t="n">
        <v>224</v>
      </c>
      <c r="AG34" t="n">
        <v>0.1</v>
      </c>
      <c r="AH34" t="n">
        <v>19.7</v>
      </c>
      <c r="AI34" t="n">
        <v>162</v>
      </c>
      <c r="AJ34" t="n">
        <v>230</v>
      </c>
      <c r="AK34" t="n">
        <v>105</v>
      </c>
      <c r="AL34" t="n">
        <v>0.5600000000000001</v>
      </c>
      <c r="AM34" t="n">
        <v>0</v>
      </c>
      <c r="AN34" t="n">
        <v>0</v>
      </c>
      <c r="AP34" t="n">
        <v>5.5</v>
      </c>
      <c r="AT34" t="n">
        <v>0.043</v>
      </c>
      <c r="AU34" t="n">
        <v>0.327</v>
      </c>
      <c r="AV34" t="n">
        <v>0.168</v>
      </c>
      <c r="AW34" t="n">
        <v>0.099</v>
      </c>
      <c r="AX34" t="n">
        <v>4</v>
      </c>
      <c r="BH34" t="n">
        <v>0.78</v>
      </c>
      <c r="BJ34" t="n">
        <v>127</v>
      </c>
      <c r="BK34" t="n">
        <v>127</v>
      </c>
      <c r="CH34" t="n">
        <v>0.6</v>
      </c>
      <c r="CI34" t="n">
        <v>0</v>
      </c>
      <c r="CJ34" t="n">
        <v>3.1</v>
      </c>
      <c r="CK34" t="n">
        <v>0.27</v>
      </c>
      <c r="CM34" t="n">
        <v>0</v>
      </c>
      <c r="CN34" t="n">
        <v>0</v>
      </c>
      <c r="CO34" t="n">
        <v>0</v>
      </c>
      <c r="CP34" t="n">
        <v>0</v>
      </c>
      <c r="CQ34" t="n">
        <v>0</v>
      </c>
      <c r="CR34" t="n">
        <v>0</v>
      </c>
      <c r="CS34" t="n">
        <v>0</v>
      </c>
      <c r="CU34" t="n">
        <v>0.673</v>
      </c>
      <c r="CY34" t="n">
        <v>6.97</v>
      </c>
      <c r="CZ34" t="n">
        <v>0.251</v>
      </c>
      <c r="DB34" t="n">
        <v>0.199</v>
      </c>
      <c r="DD34" t="n">
        <v>0.125</v>
      </c>
      <c r="DF34" t="n">
        <v>0.306</v>
      </c>
      <c r="DG34" t="n">
        <v>0</v>
      </c>
      <c r="DH34" t="n">
        <v>0.36</v>
      </c>
      <c r="DJ34" t="n">
        <v>1.15</v>
      </c>
      <c r="DK34" t="n">
        <v>0.116</v>
      </c>
      <c r="DL34" t="n">
        <v>3.36</v>
      </c>
      <c r="DM34" t="n">
        <v>0.067</v>
      </c>
      <c r="DN34" t="n">
        <v>1.02</v>
      </c>
      <c r="DO34" t="n">
        <v>0.014</v>
      </c>
      <c r="DQ34" t="n">
        <v>0.006</v>
      </c>
      <c r="DS34" t="n">
        <v>0.004</v>
      </c>
      <c r="DT34" t="n">
        <v>2.56</v>
      </c>
      <c r="DW34" t="n">
        <v>0.117</v>
      </c>
      <c r="DX34" t="n">
        <v>0</v>
      </c>
      <c r="DZ34" t="n">
        <v>0.184</v>
      </c>
      <c r="EA34" t="n">
        <v>0.021</v>
      </c>
      <c r="EB34" t="n">
        <v>0.021</v>
      </c>
      <c r="ED34" t="n">
        <v>2.22</v>
      </c>
      <c r="EF34" t="n">
        <v>0.02</v>
      </c>
      <c r="EH34" t="n">
        <v>0.002</v>
      </c>
      <c r="EI34" t="n">
        <v>0.002</v>
      </c>
      <c r="EK34" t="n">
        <v>0</v>
      </c>
      <c r="EL34" t="n">
        <v>0.389</v>
      </c>
      <c r="EN34" t="n">
        <v>0.308</v>
      </c>
      <c r="EO34" t="n">
        <v>0.259</v>
      </c>
      <c r="EP34" t="n">
        <v>0.049</v>
      </c>
      <c r="ES34" t="n">
        <v>0.042</v>
      </c>
      <c r="ET34" t="n">
        <v>0.042</v>
      </c>
      <c r="EU34" t="n">
        <v>0</v>
      </c>
      <c r="EV34" t="n">
        <v>0.001</v>
      </c>
      <c r="EW34" t="n">
        <v>0.001</v>
      </c>
      <c r="EX34" t="n">
        <v>0.001</v>
      </c>
      <c r="EZ34" t="n">
        <v>0.012</v>
      </c>
      <c r="FA34" t="n">
        <v>0</v>
      </c>
      <c r="FB34" t="n">
        <v>0.012</v>
      </c>
      <c r="FC34" t="n">
        <v>0</v>
      </c>
      <c r="FD34" t="n">
        <v>0.015</v>
      </c>
      <c r="FE34" t="n">
        <v>0.015</v>
      </c>
      <c r="FF34" t="n">
        <v>0.005</v>
      </c>
      <c r="FG34" t="n">
        <v>0.005</v>
      </c>
      <c r="FH34" t="n">
        <v>0</v>
      </c>
      <c r="FJ34" t="n">
        <v>0.003</v>
      </c>
      <c r="FK34" t="n">
        <v>0.007</v>
      </c>
      <c r="FL34" t="n">
        <v>0.007</v>
      </c>
      <c r="FM34" t="n">
        <v>0</v>
      </c>
      <c r="FN34" t="n">
        <v>0</v>
      </c>
      <c r="FO34" t="n">
        <v>0.351</v>
      </c>
      <c r="FP34" t="n">
        <v>0.283</v>
      </c>
      <c r="FQ34" t="n">
        <v>0.068</v>
      </c>
      <c r="FR34" t="n">
        <v>0.001</v>
      </c>
      <c r="FT34" t="n">
        <v>0.032</v>
      </c>
      <c r="FU34" t="n">
        <v>0.251</v>
      </c>
      <c r="FX34" t="n">
        <v>0.068</v>
      </c>
      <c r="FY34" t="n">
        <v>0.001</v>
      </c>
      <c r="GA34" t="n">
        <v>0</v>
      </c>
      <c r="GB34" t="n">
        <v>48</v>
      </c>
      <c r="GC34" t="n">
        <v>0.115</v>
      </c>
      <c r="GD34" t="n">
        <v>0.395</v>
      </c>
      <c r="GE34" t="n">
        <v>0.365</v>
      </c>
      <c r="GF34" t="n">
        <v>0.785</v>
      </c>
      <c r="GG34" t="n">
        <v>0.655</v>
      </c>
      <c r="GH34" t="n">
        <v>0.17</v>
      </c>
      <c r="GI34" t="n">
        <v>0.27</v>
      </c>
      <c r="GJ34" t="n">
        <v>0.25</v>
      </c>
      <c r="GK34" t="n">
        <v>0.325</v>
      </c>
      <c r="GL34" t="n">
        <v>0.21</v>
      </c>
      <c r="GM34" t="n">
        <v>0.175</v>
      </c>
      <c r="GN34" t="n">
        <v>0.325</v>
      </c>
      <c r="GO34" t="n">
        <v>0.735</v>
      </c>
      <c r="GP34" t="n">
        <v>1.3</v>
      </c>
      <c r="GQ34" t="n">
        <v>0.135</v>
      </c>
      <c r="GR34" t="n">
        <v>0.5649999999999999</v>
      </c>
      <c r="GS34" t="n">
        <v>0.365</v>
      </c>
      <c r="GT34" t="n">
        <v>0</v>
      </c>
      <c r="GU34" t="n">
        <v>0.18</v>
      </c>
    </row>
    <row r="35">
      <c r="A35" t="n">
        <v>746772</v>
      </c>
      <c r="B35" t="inlineStr">
        <is>
          <t>Milk, lowfat, fluid, 1% milkfat, with added vitamin A and vitamin D</t>
        </is>
      </c>
      <c r="C35" t="inlineStr"/>
      <c r="D35" t="inlineStr">
        <is>
          <t>Foundation</t>
        </is>
      </c>
      <c r="E35" s="9" t="n">
        <v>100</v>
      </c>
      <c r="F35" s="10">
        <f>E35/SUM($E$3:$E$80)</f>
        <v/>
      </c>
      <c r="G35" t="n">
        <v>89.7</v>
      </c>
      <c r="H35" t="n">
        <v>42.78999999999999</v>
      </c>
      <c r="I35" t="n">
        <v>179.03336</v>
      </c>
      <c r="J35" t="n">
        <v>0.53</v>
      </c>
      <c r="K35" t="n">
        <v>3.38</v>
      </c>
      <c r="L35" t="n">
        <v>0.85</v>
      </c>
      <c r="M35" t="n">
        <v>0.95</v>
      </c>
      <c r="N35" t="n">
        <v>0.8</v>
      </c>
      <c r="O35" t="n">
        <v>5.18</v>
      </c>
      <c r="V35" t="n">
        <v>4.96</v>
      </c>
      <c r="W35" t="n">
        <v>0</v>
      </c>
      <c r="X35" t="n">
        <v>0</v>
      </c>
      <c r="Y35" t="n">
        <v>0</v>
      </c>
      <c r="Z35" t="n">
        <v>4.96</v>
      </c>
      <c r="AA35" t="n">
        <v>0</v>
      </c>
      <c r="AB35" t="n">
        <v>0</v>
      </c>
      <c r="AF35" t="n">
        <v>126</v>
      </c>
      <c r="AG35" t="n">
        <v>0</v>
      </c>
      <c r="AH35" t="n">
        <v>12</v>
      </c>
      <c r="AI35" t="n">
        <v>103</v>
      </c>
      <c r="AJ35" t="n">
        <v>159</v>
      </c>
      <c r="AK35" t="n">
        <v>39</v>
      </c>
      <c r="AL35" t="n">
        <v>0.43</v>
      </c>
      <c r="AM35" t="n">
        <v>0.001</v>
      </c>
      <c r="AN35" t="n">
        <v>0</v>
      </c>
      <c r="AO35" t="n">
        <v>36.2</v>
      </c>
      <c r="AP35" t="n">
        <v>2.1</v>
      </c>
      <c r="AT35" t="n">
        <v>0.057</v>
      </c>
      <c r="AU35" t="n">
        <v>0.14</v>
      </c>
      <c r="AV35" t="n">
        <v>0.113</v>
      </c>
      <c r="AW35" t="n">
        <v>0.06</v>
      </c>
      <c r="AX35" t="n">
        <v>2</v>
      </c>
      <c r="BA35" t="n">
        <v>17.4</v>
      </c>
      <c r="BB35" t="n">
        <v>3</v>
      </c>
      <c r="BC35" t="n">
        <v>0.9</v>
      </c>
      <c r="BD35" t="n">
        <v>1.8</v>
      </c>
      <c r="BE35" t="n">
        <v>10.9</v>
      </c>
      <c r="BF35" t="n">
        <v>0.8</v>
      </c>
      <c r="BG35" t="n">
        <v>0.9</v>
      </c>
      <c r="BH35" t="n">
        <v>0.61</v>
      </c>
      <c r="BJ35" t="n">
        <v>58</v>
      </c>
      <c r="BK35" t="n">
        <v>58</v>
      </c>
      <c r="BL35" t="n">
        <v>1</v>
      </c>
      <c r="BM35" t="n">
        <v>0</v>
      </c>
      <c r="BN35" t="n">
        <v>1</v>
      </c>
      <c r="BO35" t="n">
        <v>0</v>
      </c>
      <c r="BQ35" t="n">
        <v>0</v>
      </c>
      <c r="BR35" t="n">
        <v>0</v>
      </c>
      <c r="BT35" t="n">
        <v>0</v>
      </c>
      <c r="BU35" t="n">
        <v>0</v>
      </c>
      <c r="BV35" t="n">
        <v>0</v>
      </c>
      <c r="BX35" t="n">
        <v>0</v>
      </c>
      <c r="BY35" t="n">
        <v>0</v>
      </c>
      <c r="BZ35" t="n">
        <v>0</v>
      </c>
      <c r="CC35" t="n">
        <v>42.4</v>
      </c>
      <c r="CD35" t="n">
        <v>1.06</v>
      </c>
      <c r="CE35" t="n">
        <v>0</v>
      </c>
      <c r="CF35" t="n">
        <v>1.06</v>
      </c>
      <c r="CG35" t="n">
        <v>0</v>
      </c>
      <c r="CK35" t="n">
        <v>0.02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0</v>
      </c>
      <c r="CU35" t="n">
        <v>0.368</v>
      </c>
      <c r="CY35" t="n">
        <v>0.5679999999999999</v>
      </c>
      <c r="CZ35" t="n">
        <v>0.022</v>
      </c>
      <c r="DA35" t="n">
        <v>0</v>
      </c>
      <c r="DB35" t="n">
        <v>0.015</v>
      </c>
      <c r="DC35" t="n">
        <v>0</v>
      </c>
      <c r="DD35" t="n">
        <v>0.011</v>
      </c>
      <c r="DE35" t="n">
        <v>0</v>
      </c>
      <c r="DF35" t="n">
        <v>0.023</v>
      </c>
      <c r="DG35" t="n">
        <v>0</v>
      </c>
      <c r="DH35" t="n">
        <v>0.026</v>
      </c>
      <c r="DJ35" t="n">
        <v>0.093</v>
      </c>
      <c r="DK35" t="n">
        <v>0.01</v>
      </c>
      <c r="DL35" t="n">
        <v>0.265</v>
      </c>
      <c r="DM35" t="n">
        <v>0.006</v>
      </c>
      <c r="DN35" t="n">
        <v>0.096</v>
      </c>
      <c r="DO35" t="n">
        <v>0.001</v>
      </c>
      <c r="DP35" t="n">
        <v>0</v>
      </c>
      <c r="DQ35" t="n">
        <v>0</v>
      </c>
      <c r="DR35" t="n">
        <v>0</v>
      </c>
      <c r="DS35" t="n">
        <v>0</v>
      </c>
      <c r="DT35" t="n">
        <v>0.21</v>
      </c>
      <c r="DU35" t="n">
        <v>0</v>
      </c>
      <c r="DW35" t="n">
        <v>0.007</v>
      </c>
      <c r="DX35" t="n">
        <v>0</v>
      </c>
      <c r="DZ35" t="n">
        <v>0.012</v>
      </c>
      <c r="EA35" t="n">
        <v>0.002</v>
      </c>
      <c r="EB35" t="n">
        <v>0.002</v>
      </c>
      <c r="ED35" t="n">
        <v>0.187</v>
      </c>
      <c r="EF35" t="n">
        <v>0.001</v>
      </c>
      <c r="EH35" t="n">
        <v>0</v>
      </c>
      <c r="EI35" t="n">
        <v>0</v>
      </c>
      <c r="EJ35" t="n">
        <v>0</v>
      </c>
      <c r="EK35" t="n">
        <v>0</v>
      </c>
      <c r="EL35" t="n">
        <v>0.032</v>
      </c>
      <c r="EN35" t="n">
        <v>0.029</v>
      </c>
      <c r="EO35" t="n">
        <v>0.026</v>
      </c>
      <c r="EP35" t="n">
        <v>0.004</v>
      </c>
      <c r="ES35" t="n">
        <v>0.004</v>
      </c>
      <c r="ET35" t="n">
        <v>0.004</v>
      </c>
      <c r="EU35" t="n">
        <v>0</v>
      </c>
      <c r="EV35" t="n">
        <v>0</v>
      </c>
      <c r="EW35" t="n">
        <v>0</v>
      </c>
      <c r="EX35" t="n">
        <v>0</v>
      </c>
      <c r="EZ35" t="n">
        <v>0.001</v>
      </c>
      <c r="FA35" t="n">
        <v>0</v>
      </c>
      <c r="FB35" t="n">
        <v>0.001</v>
      </c>
      <c r="FC35" t="n">
        <v>0</v>
      </c>
      <c r="FD35" t="n">
        <v>0.001</v>
      </c>
      <c r="FE35" t="n">
        <v>0.001</v>
      </c>
      <c r="FF35" t="n">
        <v>0</v>
      </c>
      <c r="FG35" t="n">
        <v>0</v>
      </c>
      <c r="FH35" t="n">
        <v>0</v>
      </c>
      <c r="FI35" t="n">
        <v>0</v>
      </c>
      <c r="FJ35" t="n">
        <v>0</v>
      </c>
      <c r="FK35" t="n">
        <v>0</v>
      </c>
      <c r="FL35" t="n">
        <v>0</v>
      </c>
      <c r="FM35" t="n">
        <v>0</v>
      </c>
      <c r="FN35" t="n">
        <v>0</v>
      </c>
      <c r="FO35" t="n">
        <v>0.036</v>
      </c>
      <c r="FP35" t="n">
        <v>0.031</v>
      </c>
      <c r="FQ35" t="n">
        <v>0.004</v>
      </c>
      <c r="FR35" t="n">
        <v>0</v>
      </c>
      <c r="FS35" t="n">
        <v>0.001</v>
      </c>
      <c r="FT35" t="n">
        <v>0.002</v>
      </c>
      <c r="FU35" t="n">
        <v>0.027</v>
      </c>
      <c r="FX35" t="n">
        <v>0.004</v>
      </c>
      <c r="FY35" t="n">
        <v>0</v>
      </c>
      <c r="FZ35" t="n">
        <v>0</v>
      </c>
      <c r="GA35" t="n">
        <v>0</v>
      </c>
      <c r="GB35" t="n">
        <v>5</v>
      </c>
      <c r="GC35" t="n">
        <v>0.045</v>
      </c>
      <c r="GD35" t="n">
        <v>0.158</v>
      </c>
      <c r="GE35" t="n">
        <v>0.174</v>
      </c>
      <c r="GF35" t="n">
        <v>0.342</v>
      </c>
      <c r="GG35" t="n">
        <v>0.308</v>
      </c>
      <c r="GH35" t="n">
        <v>0.092</v>
      </c>
      <c r="GI35" t="n">
        <v>0.168</v>
      </c>
      <c r="GJ35" t="n">
        <v>0.167</v>
      </c>
      <c r="GK35" t="n">
        <v>0.21</v>
      </c>
      <c r="GL35" t="n">
        <v>0.128</v>
      </c>
      <c r="GM35" t="n">
        <v>0.099</v>
      </c>
      <c r="GN35" t="n">
        <v>0.111</v>
      </c>
      <c r="GO35" t="n">
        <v>0.286</v>
      </c>
      <c r="GP35" t="n">
        <v>0.8090000000000001</v>
      </c>
      <c r="GQ35" t="n">
        <v>0.06900000000000001</v>
      </c>
      <c r="GR35" t="n">
        <v>0.349</v>
      </c>
      <c r="GS35" t="n">
        <v>0.194</v>
      </c>
      <c r="GT35" t="n">
        <v>0</v>
      </c>
      <c r="GU35" t="n">
        <v>0.036</v>
      </c>
    </row>
    <row r="36">
      <c r="A36" t="n">
        <v>746776</v>
      </c>
      <c r="B36" t="inlineStr">
        <is>
          <t>Milk, nonfat, fluid, with added vitamin A and vitamin D (fat free or skim)</t>
        </is>
      </c>
      <c r="C36" t="inlineStr"/>
      <c r="D36" t="inlineStr">
        <is>
          <t>Foundation</t>
        </is>
      </c>
      <c r="E36" s="9" t="n">
        <v>100</v>
      </c>
      <c r="F36" s="10">
        <f>E36/SUM($E$3:$E$80)</f>
        <v/>
      </c>
      <c r="G36" t="n">
        <v>90.8</v>
      </c>
      <c r="H36" t="n">
        <v>34.12</v>
      </c>
      <c r="I36" t="n">
        <v>142.75808</v>
      </c>
      <c r="J36" t="n">
        <v>0.54</v>
      </c>
      <c r="K36" t="n">
        <v>3.43</v>
      </c>
      <c r="L36" t="n">
        <v>0.07000000000000001</v>
      </c>
      <c r="M36" t="n">
        <v>0.08</v>
      </c>
      <c r="N36" t="n">
        <v>0.77</v>
      </c>
      <c r="O36" t="n">
        <v>4.92</v>
      </c>
      <c r="V36" t="n">
        <v>5.05</v>
      </c>
      <c r="W36" t="n">
        <v>0</v>
      </c>
      <c r="X36" t="n">
        <v>0</v>
      </c>
      <c r="Y36" t="n">
        <v>0</v>
      </c>
      <c r="Z36" t="n">
        <v>5.05</v>
      </c>
      <c r="AA36" t="n">
        <v>0</v>
      </c>
      <c r="AB36" t="n">
        <v>0</v>
      </c>
      <c r="AF36" t="n">
        <v>132</v>
      </c>
      <c r="AG36" t="n">
        <v>0</v>
      </c>
      <c r="AH36" t="n">
        <v>12.5</v>
      </c>
      <c r="AI36" t="n">
        <v>107</v>
      </c>
      <c r="AJ36" t="n">
        <v>167</v>
      </c>
      <c r="AK36" t="n">
        <v>41</v>
      </c>
      <c r="AL36" t="n">
        <v>0.45</v>
      </c>
      <c r="AM36" t="n">
        <v>0.002</v>
      </c>
      <c r="AN36" t="n">
        <v>0.001</v>
      </c>
      <c r="AO36" t="n">
        <v>35.7</v>
      </c>
      <c r="AP36" t="n">
        <v>2</v>
      </c>
      <c r="AT36" t="n">
        <v>0.056</v>
      </c>
      <c r="AU36" t="n">
        <v>0.131</v>
      </c>
      <c r="AV36" t="n">
        <v>0.118</v>
      </c>
      <c r="AW36" t="n">
        <v>0.058</v>
      </c>
      <c r="AX36" t="n">
        <v>2</v>
      </c>
      <c r="BA36" t="n">
        <v>18.2</v>
      </c>
      <c r="BB36" t="n">
        <v>3.1</v>
      </c>
      <c r="BC36" t="n">
        <v>0.8</v>
      </c>
      <c r="BD36" t="n">
        <v>2</v>
      </c>
      <c r="BE36" t="n">
        <v>11.5</v>
      </c>
      <c r="BF36" t="n">
        <v>0.9</v>
      </c>
      <c r="BG36" t="n">
        <v>0.9</v>
      </c>
      <c r="BH36" t="n">
        <v>0.58</v>
      </c>
      <c r="BJ36" t="n">
        <v>64</v>
      </c>
      <c r="BK36" t="n">
        <v>64</v>
      </c>
      <c r="BL36" t="n">
        <v>2</v>
      </c>
      <c r="BM36" t="n">
        <v>1</v>
      </c>
      <c r="BN36" t="n">
        <v>1</v>
      </c>
      <c r="BO36" t="n">
        <v>0</v>
      </c>
      <c r="BQ36" t="n">
        <v>0</v>
      </c>
      <c r="BR36" t="n">
        <v>0</v>
      </c>
      <c r="BT36" t="n">
        <v>0</v>
      </c>
      <c r="BU36" t="n">
        <v>0</v>
      </c>
      <c r="BV36" t="n">
        <v>0</v>
      </c>
      <c r="BX36" t="n">
        <v>0</v>
      </c>
      <c r="BY36" t="n">
        <v>1</v>
      </c>
      <c r="BZ36" t="n">
        <v>0</v>
      </c>
      <c r="CC36" t="n">
        <v>44</v>
      </c>
      <c r="CD36" t="n">
        <v>1.1</v>
      </c>
      <c r="CE36" t="n">
        <v>0</v>
      </c>
      <c r="CF36" t="n">
        <v>1.1</v>
      </c>
      <c r="CG36" t="n">
        <v>0</v>
      </c>
      <c r="CK36" t="n">
        <v>0</v>
      </c>
      <c r="CM36" t="n">
        <v>0</v>
      </c>
      <c r="CN36" t="n">
        <v>0</v>
      </c>
      <c r="CO36" t="n">
        <v>0</v>
      </c>
      <c r="CP36" t="n">
        <v>0</v>
      </c>
      <c r="CQ36" t="n">
        <v>0</v>
      </c>
      <c r="CR36" t="n">
        <v>0</v>
      </c>
      <c r="CS36" t="n">
        <v>0</v>
      </c>
      <c r="CU36" t="n">
        <v>0.388</v>
      </c>
      <c r="CY36" t="n">
        <v>0.049</v>
      </c>
      <c r="CZ36" t="n">
        <v>0.003</v>
      </c>
      <c r="DA36" t="n">
        <v>0</v>
      </c>
      <c r="DB36" t="n">
        <v>0.001</v>
      </c>
      <c r="DC36" t="n">
        <v>0</v>
      </c>
      <c r="DD36" t="n">
        <v>0.001</v>
      </c>
      <c r="DE36" t="n">
        <v>0</v>
      </c>
      <c r="DF36" t="n">
        <v>0.002</v>
      </c>
      <c r="DG36" t="n">
        <v>0</v>
      </c>
      <c r="DH36" t="n">
        <v>0.002</v>
      </c>
      <c r="DJ36" t="n">
        <v>0.008</v>
      </c>
      <c r="DK36" t="n">
        <v>0.001</v>
      </c>
      <c r="DL36" t="n">
        <v>0.021</v>
      </c>
      <c r="DM36" t="n">
        <v>0.001</v>
      </c>
      <c r="DN36" t="n">
        <v>0.008999999999999999</v>
      </c>
      <c r="DO36" t="n">
        <v>0</v>
      </c>
      <c r="DP36" t="n">
        <v>0</v>
      </c>
      <c r="DQ36" t="n">
        <v>0</v>
      </c>
      <c r="DR36" t="n">
        <v>0</v>
      </c>
      <c r="DS36" t="n">
        <v>0</v>
      </c>
      <c r="DT36" t="n">
        <v>0.017</v>
      </c>
      <c r="DU36" t="n">
        <v>0</v>
      </c>
      <c r="DW36" t="n">
        <v>0</v>
      </c>
      <c r="DX36" t="n">
        <v>0</v>
      </c>
      <c r="DZ36" t="n">
        <v>0.001</v>
      </c>
      <c r="EA36" t="n">
        <v>0</v>
      </c>
      <c r="EB36" t="n">
        <v>0</v>
      </c>
      <c r="ED36" t="n">
        <v>0.017</v>
      </c>
      <c r="EF36" t="n">
        <v>0</v>
      </c>
      <c r="EH36" t="n">
        <v>0</v>
      </c>
      <c r="EI36" t="n">
        <v>0</v>
      </c>
      <c r="EJ36" t="n">
        <v>0</v>
      </c>
      <c r="EK36" t="n">
        <v>0</v>
      </c>
      <c r="EL36" t="n">
        <v>0.006</v>
      </c>
      <c r="EN36" t="n">
        <v>0.005</v>
      </c>
      <c r="EO36" t="n">
        <v>0.005</v>
      </c>
      <c r="EP36" t="n">
        <v>0</v>
      </c>
      <c r="ES36" t="n">
        <v>0</v>
      </c>
      <c r="ET36" t="n">
        <v>0</v>
      </c>
      <c r="EU36" t="n">
        <v>0</v>
      </c>
      <c r="EV36" t="n">
        <v>0</v>
      </c>
      <c r="EW36" t="n">
        <v>0</v>
      </c>
      <c r="EX36" t="n">
        <v>0</v>
      </c>
      <c r="EZ36" t="n">
        <v>0</v>
      </c>
      <c r="FA36" t="n">
        <v>0</v>
      </c>
      <c r="FB36" t="n">
        <v>0</v>
      </c>
      <c r="FC36" t="n">
        <v>0</v>
      </c>
      <c r="FD36" t="n">
        <v>0</v>
      </c>
      <c r="FE36" t="n">
        <v>0</v>
      </c>
      <c r="FF36" t="n">
        <v>0</v>
      </c>
      <c r="FG36" t="n">
        <v>0</v>
      </c>
      <c r="FH36" t="n">
        <v>0</v>
      </c>
      <c r="FI36" t="n">
        <v>0</v>
      </c>
      <c r="FJ36" t="n">
        <v>0</v>
      </c>
      <c r="FK36" t="n">
        <v>0</v>
      </c>
      <c r="FL36" t="n">
        <v>0</v>
      </c>
      <c r="FM36" t="n">
        <v>0</v>
      </c>
      <c r="FN36" t="n">
        <v>0</v>
      </c>
      <c r="FO36" t="n">
        <v>0</v>
      </c>
      <c r="FP36" t="n">
        <v>0.001</v>
      </c>
      <c r="FQ36" t="n">
        <v>0</v>
      </c>
      <c r="FR36" t="n">
        <v>0</v>
      </c>
      <c r="FS36" t="n">
        <v>0</v>
      </c>
      <c r="FT36" t="n">
        <v>0</v>
      </c>
      <c r="FU36" t="n">
        <v>0.001</v>
      </c>
      <c r="FX36" t="n">
        <v>0</v>
      </c>
      <c r="FY36" t="n">
        <v>0</v>
      </c>
      <c r="FZ36" t="n">
        <v>0</v>
      </c>
      <c r="GA36" t="n">
        <v>0</v>
      </c>
      <c r="GB36" t="n">
        <v>3</v>
      </c>
      <c r="GC36" t="n">
        <v>0.048</v>
      </c>
      <c r="GD36" t="n">
        <v>0.166</v>
      </c>
      <c r="GE36" t="n">
        <v>0.182</v>
      </c>
      <c r="GF36" t="n">
        <v>0.347</v>
      </c>
      <c r="GG36" t="n">
        <v>0.302</v>
      </c>
      <c r="GH36" t="n">
        <v>0.093</v>
      </c>
      <c r="GI36" t="n">
        <v>0.168</v>
      </c>
      <c r="GJ36" t="n">
        <v>0.168</v>
      </c>
      <c r="GK36" t="n">
        <v>0.222</v>
      </c>
      <c r="GL36" t="n">
        <v>0.131</v>
      </c>
      <c r="GM36" t="n">
        <v>0.101</v>
      </c>
      <c r="GN36" t="n">
        <v>0.118</v>
      </c>
      <c r="GO36" t="n">
        <v>0.299</v>
      </c>
      <c r="GP36" t="n">
        <v>0.832</v>
      </c>
      <c r="GQ36" t="n">
        <v>0.07099999999999999</v>
      </c>
      <c r="GR36" t="n">
        <v>0.348</v>
      </c>
      <c r="GS36" t="n">
        <v>0.202</v>
      </c>
      <c r="GT36" t="n">
        <v>0</v>
      </c>
      <c r="GU36" t="n">
        <v>0.038</v>
      </c>
    </row>
    <row r="37">
      <c r="A37" t="n">
        <v>746778</v>
      </c>
      <c r="B37" t="inlineStr">
        <is>
          <t>Milk, reduced fat, fluid, 2% milkfat, with added vitamin A and vitamin D</t>
        </is>
      </c>
      <c r="C37" t="inlineStr"/>
      <c r="D37" t="inlineStr">
        <is>
          <t>Foundation</t>
        </is>
      </c>
      <c r="E37" s="9" t="n">
        <v>100</v>
      </c>
      <c r="F37" s="10">
        <f>E37/SUM($E$3:$E$80)</f>
        <v/>
      </c>
      <c r="G37" t="n">
        <v>89.09999999999999</v>
      </c>
      <c r="H37" t="n">
        <v>50.14</v>
      </c>
      <c r="I37" t="n">
        <v>209.78576</v>
      </c>
      <c r="J37" t="n">
        <v>0.53</v>
      </c>
      <c r="K37" t="n">
        <v>3.36</v>
      </c>
      <c r="L37" t="n">
        <v>1.64</v>
      </c>
      <c r="M37" t="n">
        <v>1.9</v>
      </c>
      <c r="N37" t="n">
        <v>0.75</v>
      </c>
      <c r="O37" t="n">
        <v>4.9</v>
      </c>
      <c r="V37" t="n">
        <v>4.89</v>
      </c>
      <c r="W37" t="n">
        <v>0</v>
      </c>
      <c r="X37" t="n">
        <v>0</v>
      </c>
      <c r="Y37" t="n">
        <v>0</v>
      </c>
      <c r="Z37" t="n">
        <v>4.89</v>
      </c>
      <c r="AA37" t="n">
        <v>0</v>
      </c>
      <c r="AB37" t="n">
        <v>0</v>
      </c>
      <c r="AF37" t="n">
        <v>126</v>
      </c>
      <c r="AG37" t="n">
        <v>0</v>
      </c>
      <c r="AH37" t="n">
        <v>12</v>
      </c>
      <c r="AI37" t="n">
        <v>103</v>
      </c>
      <c r="AJ37" t="n">
        <v>159</v>
      </c>
      <c r="AK37" t="n">
        <v>39</v>
      </c>
      <c r="AL37" t="n">
        <v>0.43</v>
      </c>
      <c r="AM37" t="n">
        <v>0.001</v>
      </c>
      <c r="AN37" t="n">
        <v>0.001</v>
      </c>
      <c r="AO37" t="n">
        <v>39.6</v>
      </c>
      <c r="AP37" t="n">
        <v>1.8</v>
      </c>
      <c r="AT37" t="n">
        <v>0.059</v>
      </c>
      <c r="AU37" t="n">
        <v>0.137</v>
      </c>
      <c r="AV37" t="n">
        <v>0.112</v>
      </c>
      <c r="AW37" t="n">
        <v>0.061</v>
      </c>
      <c r="AX37" t="n">
        <v>2</v>
      </c>
      <c r="BA37" t="n">
        <v>18.2</v>
      </c>
      <c r="BB37" t="n">
        <v>3.1</v>
      </c>
      <c r="BC37" t="n">
        <v>1.1</v>
      </c>
      <c r="BD37" t="n">
        <v>1.9</v>
      </c>
      <c r="BE37" t="n">
        <v>11</v>
      </c>
      <c r="BF37" t="n">
        <v>1.2</v>
      </c>
      <c r="BG37" t="n">
        <v>0.7</v>
      </c>
      <c r="BH37" t="n">
        <v>0.55</v>
      </c>
      <c r="BJ37" t="n">
        <v>83</v>
      </c>
      <c r="BK37" t="n">
        <v>83</v>
      </c>
      <c r="BL37" t="n">
        <v>3</v>
      </c>
      <c r="BM37" t="n">
        <v>1</v>
      </c>
      <c r="BN37" t="n">
        <v>2</v>
      </c>
      <c r="BO37" t="n">
        <v>0</v>
      </c>
      <c r="BQ37" t="n">
        <v>0</v>
      </c>
      <c r="BR37" t="n">
        <v>0</v>
      </c>
      <c r="BT37" t="n">
        <v>0</v>
      </c>
      <c r="BU37" t="n">
        <v>0</v>
      </c>
      <c r="BV37" t="n">
        <v>0</v>
      </c>
      <c r="BX37" t="n">
        <v>0</v>
      </c>
      <c r="BY37" t="n">
        <v>0</v>
      </c>
      <c r="BZ37" t="n">
        <v>0</v>
      </c>
      <c r="CC37" t="n">
        <v>45.2</v>
      </c>
      <c r="CD37" t="n">
        <v>1.13</v>
      </c>
      <c r="CE37" t="n">
        <v>0</v>
      </c>
      <c r="CF37" t="n">
        <v>1.13</v>
      </c>
      <c r="CG37" t="n">
        <v>0</v>
      </c>
      <c r="CK37" t="n">
        <v>0.03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U37" t="n">
        <v>0.39</v>
      </c>
      <c r="CY37" t="n">
        <v>1.11</v>
      </c>
      <c r="CZ37" t="n">
        <v>0.041</v>
      </c>
      <c r="DA37" t="n">
        <v>0</v>
      </c>
      <c r="DB37" t="n">
        <v>0.032</v>
      </c>
      <c r="DC37" t="n">
        <v>0</v>
      </c>
      <c r="DD37" t="n">
        <v>0.021</v>
      </c>
      <c r="DE37" t="n">
        <v>0</v>
      </c>
      <c r="DF37" t="n">
        <v>0.049</v>
      </c>
      <c r="DG37" t="n">
        <v>0</v>
      </c>
      <c r="DH37" t="n">
        <v>0.058</v>
      </c>
      <c r="DJ37" t="n">
        <v>0.181</v>
      </c>
      <c r="DK37" t="n">
        <v>0.019</v>
      </c>
      <c r="DL37" t="n">
        <v>0.512</v>
      </c>
      <c r="DM37" t="n">
        <v>0.011</v>
      </c>
      <c r="DN37" t="n">
        <v>0.184</v>
      </c>
      <c r="DO37" t="n">
        <v>0.002</v>
      </c>
      <c r="DP37" t="n">
        <v>0</v>
      </c>
      <c r="DQ37" t="n">
        <v>0.001</v>
      </c>
      <c r="DR37" t="n">
        <v>0</v>
      </c>
      <c r="DS37" t="n">
        <v>0</v>
      </c>
      <c r="DT37" t="n">
        <v>0.4</v>
      </c>
      <c r="DU37" t="n">
        <v>0.001</v>
      </c>
      <c r="DW37" t="n">
        <v>0.014</v>
      </c>
      <c r="DX37" t="n">
        <v>0</v>
      </c>
      <c r="DZ37" t="n">
        <v>0.024</v>
      </c>
      <c r="EA37" t="n">
        <v>0.003</v>
      </c>
      <c r="EB37" t="n">
        <v>0.003</v>
      </c>
      <c r="ED37" t="n">
        <v>0.358</v>
      </c>
      <c r="EF37" t="n">
        <v>0.002</v>
      </c>
      <c r="EH37" t="n">
        <v>0</v>
      </c>
      <c r="EI37" t="n">
        <v>0</v>
      </c>
      <c r="EJ37" t="n">
        <v>0</v>
      </c>
      <c r="EK37" t="n">
        <v>0</v>
      </c>
      <c r="EL37" t="n">
        <v>0.058</v>
      </c>
      <c r="EN37" t="n">
        <v>0.052</v>
      </c>
      <c r="EO37" t="n">
        <v>0.045</v>
      </c>
      <c r="EP37" t="n">
        <v>0.007</v>
      </c>
      <c r="ES37" t="n">
        <v>0.007</v>
      </c>
      <c r="ET37" t="n">
        <v>0.007</v>
      </c>
      <c r="EU37" t="n">
        <v>0</v>
      </c>
      <c r="EV37" t="n">
        <v>0</v>
      </c>
      <c r="EW37" t="n">
        <v>0</v>
      </c>
      <c r="EX37" t="n">
        <v>0</v>
      </c>
      <c r="EZ37" t="n">
        <v>0.002</v>
      </c>
      <c r="FA37" t="n">
        <v>0</v>
      </c>
      <c r="FB37" t="n">
        <v>0.002</v>
      </c>
      <c r="FC37" t="n">
        <v>0</v>
      </c>
      <c r="FD37" t="n">
        <v>0.003</v>
      </c>
      <c r="FE37" t="n">
        <v>0.003</v>
      </c>
      <c r="FF37" t="n">
        <v>0</v>
      </c>
      <c r="FG37" t="n">
        <v>0</v>
      </c>
      <c r="FH37" t="n">
        <v>0</v>
      </c>
      <c r="FI37" t="n">
        <v>0</v>
      </c>
      <c r="FJ37" t="n">
        <v>0</v>
      </c>
      <c r="FK37" t="n">
        <v>0.001</v>
      </c>
      <c r="FL37" t="n">
        <v>0.001</v>
      </c>
      <c r="FM37" t="n">
        <v>0</v>
      </c>
      <c r="FN37" t="n">
        <v>0</v>
      </c>
      <c r="FO37" t="n">
        <v>0.07000000000000001</v>
      </c>
      <c r="FP37" t="n">
        <v>0.06</v>
      </c>
      <c r="FQ37" t="n">
        <v>0.008999999999999999</v>
      </c>
      <c r="FR37" t="n">
        <v>0</v>
      </c>
      <c r="FS37" t="n">
        <v>0.003</v>
      </c>
      <c r="FT37" t="n">
        <v>0.005</v>
      </c>
      <c r="FU37" t="n">
        <v>0.052</v>
      </c>
      <c r="FX37" t="n">
        <v>0.008999999999999999</v>
      </c>
      <c r="FY37" t="n">
        <v>0</v>
      </c>
      <c r="FZ37" t="n">
        <v>0</v>
      </c>
      <c r="GA37" t="n">
        <v>0</v>
      </c>
      <c r="GB37" t="n">
        <v>8</v>
      </c>
      <c r="GC37" t="n">
        <v>0.042</v>
      </c>
      <c r="GD37" t="n">
        <v>0.162</v>
      </c>
      <c r="GE37" t="n">
        <v>0.173</v>
      </c>
      <c r="GF37" t="n">
        <v>0.335</v>
      </c>
      <c r="GG37" t="n">
        <v>0.293</v>
      </c>
      <c r="GH37" t="n">
        <v>0.089</v>
      </c>
      <c r="GI37" t="n">
        <v>0.163</v>
      </c>
      <c r="GJ37" t="n">
        <v>0.165</v>
      </c>
      <c r="GK37" t="n">
        <v>0.213</v>
      </c>
      <c r="GL37" t="n">
        <v>0.125</v>
      </c>
      <c r="GM37" t="n">
        <v>0.099</v>
      </c>
      <c r="GN37" t="n">
        <v>0.113</v>
      </c>
      <c r="GO37" t="n">
        <v>0.291</v>
      </c>
      <c r="GP37" t="n">
        <v>0.801</v>
      </c>
      <c r="GQ37" t="n">
        <v>0.068</v>
      </c>
      <c r="GR37" t="n">
        <v>0.332</v>
      </c>
      <c r="GS37" t="n">
        <v>0.197</v>
      </c>
      <c r="GT37" t="n">
        <v>0</v>
      </c>
      <c r="GU37" t="n">
        <v>0.035</v>
      </c>
    </row>
    <row r="38">
      <c r="A38" t="n">
        <v>746782</v>
      </c>
      <c r="B38" t="inlineStr">
        <is>
          <t>Milk, whole, 3.25% milkfat, with added vitamin D</t>
        </is>
      </c>
      <c r="C38" t="inlineStr"/>
      <c r="D38" t="inlineStr">
        <is>
          <t>Foundation</t>
        </is>
      </c>
      <c r="E38" s="9" t="n">
        <v>100</v>
      </c>
      <c r="F38" s="10">
        <f>E38/SUM($E$3:$E$80)</f>
        <v/>
      </c>
      <c r="G38" t="n">
        <v>88.09999999999999</v>
      </c>
      <c r="H38" t="n">
        <v>60.40000000000001</v>
      </c>
      <c r="I38" t="n">
        <v>252.7136</v>
      </c>
      <c r="J38" t="n">
        <v>0.51</v>
      </c>
      <c r="K38" t="n">
        <v>3.27</v>
      </c>
      <c r="L38" t="n">
        <v>2.77</v>
      </c>
      <c r="M38" t="n">
        <v>3.2</v>
      </c>
      <c r="N38" t="n">
        <v>0.8</v>
      </c>
      <c r="O38" t="n">
        <v>4.63</v>
      </c>
      <c r="V38" t="n">
        <v>4.81</v>
      </c>
      <c r="W38" t="n">
        <v>0</v>
      </c>
      <c r="X38" t="n">
        <v>0</v>
      </c>
      <c r="Y38" t="n">
        <v>0</v>
      </c>
      <c r="Z38" t="n">
        <v>4.81</v>
      </c>
      <c r="AA38" t="n">
        <v>0</v>
      </c>
      <c r="AB38" t="n">
        <v>0</v>
      </c>
      <c r="AF38" t="n">
        <v>123</v>
      </c>
      <c r="AG38" t="n">
        <v>0</v>
      </c>
      <c r="AH38" t="n">
        <v>11.9</v>
      </c>
      <c r="AI38" t="n">
        <v>101</v>
      </c>
      <c r="AJ38" t="n">
        <v>150</v>
      </c>
      <c r="AK38" t="n">
        <v>38</v>
      </c>
      <c r="AL38" t="n">
        <v>0.42</v>
      </c>
      <c r="AM38" t="n">
        <v>0.001</v>
      </c>
      <c r="AN38" t="n">
        <v>0</v>
      </c>
      <c r="AO38" t="n">
        <v>37.9</v>
      </c>
      <c r="AP38" t="n">
        <v>1.9</v>
      </c>
      <c r="AT38" t="n">
        <v>0.056</v>
      </c>
      <c r="AU38" t="n">
        <v>0.138</v>
      </c>
      <c r="AV38" t="n">
        <v>0.105</v>
      </c>
      <c r="AW38" t="n">
        <v>0.061</v>
      </c>
      <c r="AX38" t="n">
        <v>0</v>
      </c>
      <c r="BA38" t="n">
        <v>17.8</v>
      </c>
      <c r="BB38" t="n">
        <v>3</v>
      </c>
      <c r="BC38" t="n">
        <v>1.3</v>
      </c>
      <c r="BD38" t="n">
        <v>1.8</v>
      </c>
      <c r="BE38" t="n">
        <v>10.3</v>
      </c>
      <c r="BF38" t="n">
        <v>1.4</v>
      </c>
      <c r="BG38" t="n">
        <v>0.7</v>
      </c>
      <c r="BH38" t="n">
        <v>0.54</v>
      </c>
      <c r="BJ38" t="n">
        <v>32</v>
      </c>
      <c r="BK38" t="n">
        <v>31</v>
      </c>
      <c r="BL38" t="n">
        <v>7</v>
      </c>
      <c r="BM38" t="n">
        <v>2</v>
      </c>
      <c r="BN38" t="n">
        <v>5</v>
      </c>
      <c r="BO38" t="n">
        <v>0</v>
      </c>
      <c r="BQ38" t="n">
        <v>0</v>
      </c>
      <c r="BR38" t="n">
        <v>0</v>
      </c>
      <c r="BT38" t="n">
        <v>0</v>
      </c>
      <c r="BU38" t="n">
        <v>0</v>
      </c>
      <c r="BV38" t="n">
        <v>0</v>
      </c>
      <c r="BX38" t="n">
        <v>0</v>
      </c>
      <c r="BY38" t="n">
        <v>5</v>
      </c>
      <c r="BZ38" t="n">
        <v>1</v>
      </c>
      <c r="CC38" t="n">
        <v>38.4</v>
      </c>
      <c r="CD38" t="n">
        <v>0.96</v>
      </c>
      <c r="CE38" t="n">
        <v>0</v>
      </c>
      <c r="CF38" t="n">
        <v>0.96</v>
      </c>
      <c r="CG38" t="n">
        <v>0</v>
      </c>
      <c r="CK38" t="n">
        <v>0.05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U38" t="n">
        <v>0.362</v>
      </c>
      <c r="CY38" t="n">
        <v>1.86</v>
      </c>
      <c r="CZ38" t="n">
        <v>0.067</v>
      </c>
      <c r="DA38" t="n">
        <v>0</v>
      </c>
      <c r="DB38" t="n">
        <v>0.054</v>
      </c>
      <c r="DC38" t="n">
        <v>0</v>
      </c>
      <c r="DD38" t="n">
        <v>0.034</v>
      </c>
      <c r="DE38" t="n">
        <v>0</v>
      </c>
      <c r="DF38" t="n">
        <v>0.08400000000000001</v>
      </c>
      <c r="DG38" t="n">
        <v>0</v>
      </c>
      <c r="DH38" t="n">
        <v>0.097</v>
      </c>
      <c r="DJ38" t="n">
        <v>0.303</v>
      </c>
      <c r="DK38" t="n">
        <v>0.032</v>
      </c>
      <c r="DL38" t="n">
        <v>0.857</v>
      </c>
      <c r="DM38" t="n">
        <v>0.018</v>
      </c>
      <c r="DN38" t="n">
        <v>0.309</v>
      </c>
      <c r="DO38" t="n">
        <v>0.004</v>
      </c>
      <c r="DP38" t="n">
        <v>0</v>
      </c>
      <c r="DQ38" t="n">
        <v>0.002</v>
      </c>
      <c r="DR38" t="n">
        <v>0</v>
      </c>
      <c r="DS38" t="n">
        <v>0.001</v>
      </c>
      <c r="DT38" t="n">
        <v>0.6879999999999999</v>
      </c>
      <c r="DU38" t="n">
        <v>0.001</v>
      </c>
      <c r="DW38" t="n">
        <v>0.024</v>
      </c>
      <c r="DX38" t="n">
        <v>0</v>
      </c>
      <c r="DZ38" t="n">
        <v>0.039</v>
      </c>
      <c r="EA38" t="n">
        <v>0.005</v>
      </c>
      <c r="EB38" t="n">
        <v>0.005</v>
      </c>
      <c r="ED38" t="n">
        <v>0.612</v>
      </c>
      <c r="EF38" t="n">
        <v>0.004</v>
      </c>
      <c r="EH38" t="n">
        <v>0</v>
      </c>
      <c r="EI38" t="n">
        <v>0</v>
      </c>
      <c r="EJ38" t="n">
        <v>0</v>
      </c>
      <c r="EK38" t="n">
        <v>0</v>
      </c>
      <c r="EL38" t="n">
        <v>0.108</v>
      </c>
      <c r="EN38" t="n">
        <v>0.097</v>
      </c>
      <c r="EO38" t="n">
        <v>0.08400000000000001</v>
      </c>
      <c r="EP38" t="n">
        <v>0.013</v>
      </c>
      <c r="ES38" t="n">
        <v>0.013</v>
      </c>
      <c r="ET38" t="n">
        <v>0.012</v>
      </c>
      <c r="EU38" t="n">
        <v>0.001</v>
      </c>
      <c r="EV38" t="n">
        <v>0</v>
      </c>
      <c r="EW38" t="n">
        <v>0.001</v>
      </c>
      <c r="EX38" t="n">
        <v>0.001</v>
      </c>
      <c r="EZ38" t="n">
        <v>0.004</v>
      </c>
      <c r="FA38" t="n">
        <v>0</v>
      </c>
      <c r="FB38" t="n">
        <v>0.004</v>
      </c>
      <c r="FC38" t="n">
        <v>0</v>
      </c>
      <c r="FD38" t="n">
        <v>0.004</v>
      </c>
      <c r="FE38" t="n">
        <v>0.004</v>
      </c>
      <c r="FF38" t="n">
        <v>0.001</v>
      </c>
      <c r="FG38" t="n">
        <v>0.001</v>
      </c>
      <c r="FH38" t="n">
        <v>0</v>
      </c>
      <c r="FI38" t="n">
        <v>0</v>
      </c>
      <c r="FJ38" t="n">
        <v>0.001</v>
      </c>
      <c r="FK38" t="n">
        <v>0.002</v>
      </c>
      <c r="FL38" t="n">
        <v>0.002</v>
      </c>
      <c r="FM38" t="n">
        <v>0</v>
      </c>
      <c r="FN38" t="n">
        <v>0</v>
      </c>
      <c r="FO38" t="n">
        <v>0.112</v>
      </c>
      <c r="FP38" t="n">
        <v>0.095</v>
      </c>
      <c r="FQ38" t="n">
        <v>0.018</v>
      </c>
      <c r="FR38" t="n">
        <v>0</v>
      </c>
      <c r="FS38" t="n">
        <v>0.005</v>
      </c>
      <c r="FT38" t="n">
        <v>0.008</v>
      </c>
      <c r="FU38" t="n">
        <v>0.082</v>
      </c>
      <c r="FX38" t="n">
        <v>0.018</v>
      </c>
      <c r="FY38" t="n">
        <v>0</v>
      </c>
      <c r="FZ38" t="n">
        <v>0</v>
      </c>
      <c r="GA38" t="n">
        <v>0</v>
      </c>
      <c r="GB38" t="n">
        <v>12</v>
      </c>
      <c r="GC38" t="n">
        <v>0.043</v>
      </c>
      <c r="GD38" t="n">
        <v>0.154</v>
      </c>
      <c r="GE38" t="n">
        <v>0.173</v>
      </c>
      <c r="GF38" t="n">
        <v>0.333</v>
      </c>
      <c r="GG38" t="n">
        <v>0.298</v>
      </c>
      <c r="GH38" t="n">
        <v>0.09</v>
      </c>
      <c r="GI38" t="n">
        <v>0.161</v>
      </c>
      <c r="GJ38" t="n">
        <v>0.162</v>
      </c>
      <c r="GK38" t="n">
        <v>0.207</v>
      </c>
      <c r="GL38" t="n">
        <v>0.127</v>
      </c>
      <c r="GM38" t="n">
        <v>0.097</v>
      </c>
      <c r="GN38" t="n">
        <v>0.11</v>
      </c>
      <c r="GO38" t="n">
        <v>0.279</v>
      </c>
      <c r="GP38" t="n">
        <v>0.788</v>
      </c>
      <c r="GQ38" t="n">
        <v>0.06900000000000001</v>
      </c>
      <c r="GR38" t="n">
        <v>0.333</v>
      </c>
      <c r="GS38" t="n">
        <v>0.188</v>
      </c>
      <c r="GT38" t="n">
        <v>0</v>
      </c>
      <c r="GU38" t="n">
        <v>0.038</v>
      </c>
    </row>
    <row r="39">
      <c r="A39" t="n">
        <v>747447</v>
      </c>
      <c r="B39" t="inlineStr">
        <is>
          <t>Broccoli, raw</t>
        </is>
      </c>
      <c r="C39" t="inlineStr"/>
      <c r="D39" t="inlineStr">
        <is>
          <t>Foundation</t>
        </is>
      </c>
      <c r="E39" s="9" t="n">
        <v>100</v>
      </c>
      <c r="F39" s="10">
        <f>E39/SUM($E$3:$E$80)</f>
        <v/>
      </c>
      <c r="G39" t="n">
        <v>90</v>
      </c>
      <c r="H39" t="n">
        <v>38.42</v>
      </c>
      <c r="I39" t="n">
        <v>160.74928</v>
      </c>
      <c r="J39" t="n">
        <v>0.41</v>
      </c>
      <c r="K39" t="n">
        <v>2.57</v>
      </c>
      <c r="L39" t="n">
        <v>0.07000000000000001</v>
      </c>
      <c r="M39" t="n">
        <v>0.34</v>
      </c>
      <c r="N39" t="n">
        <v>0.83</v>
      </c>
      <c r="O39" t="n">
        <v>6.27</v>
      </c>
      <c r="P39" t="n">
        <v>2.4</v>
      </c>
      <c r="Q39" t="n">
        <v>0</v>
      </c>
      <c r="R39" t="n">
        <v>2.4</v>
      </c>
      <c r="V39" t="n">
        <v>1.4</v>
      </c>
      <c r="W39" t="n">
        <v>0.01</v>
      </c>
      <c r="X39" t="n">
        <v>0.58</v>
      </c>
      <c r="Y39" t="n">
        <v>0.82</v>
      </c>
      <c r="Z39" t="n">
        <v>0</v>
      </c>
      <c r="AA39" t="n">
        <v>0</v>
      </c>
      <c r="AB39" t="n">
        <v>0</v>
      </c>
      <c r="AC39" t="n">
        <v>0</v>
      </c>
      <c r="AF39" t="n">
        <v>46</v>
      </c>
      <c r="AG39" t="n">
        <v>0.6899999999999999</v>
      </c>
      <c r="AH39" t="n">
        <v>21</v>
      </c>
      <c r="AI39" t="n">
        <v>67</v>
      </c>
      <c r="AJ39" t="n">
        <v>303</v>
      </c>
      <c r="AK39" t="n">
        <v>36</v>
      </c>
      <c r="AL39" t="n">
        <v>0.42</v>
      </c>
      <c r="AM39" t="n">
        <v>0.059</v>
      </c>
      <c r="AN39" t="n">
        <v>0.197</v>
      </c>
      <c r="AP39" t="n">
        <v>1.6</v>
      </c>
      <c r="AT39" t="n">
        <v>0.077</v>
      </c>
      <c r="AU39" t="n">
        <v>0.114</v>
      </c>
      <c r="AV39" t="n">
        <v>0.639</v>
      </c>
      <c r="AW39" t="n">
        <v>0.191</v>
      </c>
      <c r="AX39" t="n">
        <v>65</v>
      </c>
      <c r="BJ39" t="n">
        <v>8</v>
      </c>
      <c r="BL39" t="n">
        <v>93</v>
      </c>
      <c r="BO39" t="n">
        <v>0</v>
      </c>
      <c r="BQ39" t="n">
        <v>0</v>
      </c>
      <c r="BT39" t="n">
        <v>0</v>
      </c>
      <c r="BW39" t="n">
        <v>745</v>
      </c>
      <c r="CA39" t="n">
        <v>0</v>
      </c>
      <c r="CB39" t="n">
        <v>0</v>
      </c>
      <c r="CH39" t="n">
        <v>102</v>
      </c>
      <c r="CI39" t="n">
        <v>0</v>
      </c>
      <c r="CK39" t="n">
        <v>0.15</v>
      </c>
      <c r="CM39" t="n">
        <v>0</v>
      </c>
      <c r="CN39" t="n">
        <v>0.04</v>
      </c>
      <c r="CO39" t="n">
        <v>0</v>
      </c>
      <c r="CP39" t="n">
        <v>0.01</v>
      </c>
      <c r="CQ39" t="n">
        <v>0</v>
      </c>
      <c r="CR39" t="n">
        <v>0</v>
      </c>
      <c r="CS39" t="n">
        <v>0</v>
      </c>
      <c r="CT39" t="n">
        <v>91.3</v>
      </c>
      <c r="CU39" t="n">
        <v>0.61</v>
      </c>
      <c r="CY39" t="n">
        <v>0.039</v>
      </c>
      <c r="DD39" t="n">
        <v>0</v>
      </c>
      <c r="DF39" t="n">
        <v>0</v>
      </c>
      <c r="DH39" t="n">
        <v>0</v>
      </c>
      <c r="DJ39" t="n">
        <v>0.001</v>
      </c>
      <c r="DK39" t="n">
        <v>0</v>
      </c>
      <c r="DL39" t="n">
        <v>0.029</v>
      </c>
      <c r="DM39" t="n">
        <v>0</v>
      </c>
      <c r="DN39" t="n">
        <v>0.006</v>
      </c>
      <c r="DO39" t="n">
        <v>0.002</v>
      </c>
      <c r="DQ39" t="n">
        <v>0.002</v>
      </c>
      <c r="DT39" t="n">
        <v>0.011</v>
      </c>
      <c r="DW39" t="n">
        <v>0</v>
      </c>
      <c r="DX39" t="n">
        <v>0</v>
      </c>
      <c r="DZ39" t="n">
        <v>0</v>
      </c>
      <c r="EA39" t="n">
        <v>0.001</v>
      </c>
      <c r="EB39" t="n">
        <v>0.001</v>
      </c>
      <c r="EC39" t="n">
        <v>0.01</v>
      </c>
      <c r="ED39" t="n">
        <v>0.01</v>
      </c>
      <c r="EE39" t="n">
        <v>0</v>
      </c>
      <c r="EF39" t="n">
        <v>0</v>
      </c>
      <c r="EL39" t="n">
        <v>0.017</v>
      </c>
      <c r="EM39" t="n">
        <v>0.017</v>
      </c>
      <c r="EN39" t="n">
        <v>0.017</v>
      </c>
      <c r="ER39" t="n">
        <v>0.021</v>
      </c>
      <c r="ES39" t="n">
        <v>0</v>
      </c>
      <c r="EU39" t="n">
        <v>0</v>
      </c>
      <c r="EW39" t="n">
        <v>0</v>
      </c>
      <c r="EX39" t="n">
        <v>0</v>
      </c>
      <c r="EY39" t="n">
        <v>0</v>
      </c>
      <c r="EZ39" t="n">
        <v>0</v>
      </c>
      <c r="FD39" t="n">
        <v>0</v>
      </c>
      <c r="FE39" t="n">
        <v>0</v>
      </c>
      <c r="GC39" t="n">
        <v>0.033</v>
      </c>
      <c r="GD39" t="n">
        <v>0.08799999999999999</v>
      </c>
      <c r="GE39" t="n">
        <v>0.079</v>
      </c>
      <c r="GF39" t="n">
        <v>0.129</v>
      </c>
      <c r="GG39" t="n">
        <v>0.135</v>
      </c>
      <c r="GH39" t="n">
        <v>0.038</v>
      </c>
      <c r="GI39" t="n">
        <v>0.117</v>
      </c>
      <c r="GJ39" t="n">
        <v>0.05</v>
      </c>
      <c r="GK39" t="n">
        <v>0.125</v>
      </c>
      <c r="GL39" t="n">
        <v>0.191</v>
      </c>
      <c r="GM39" t="n">
        <v>0.059</v>
      </c>
      <c r="GN39" t="n">
        <v>0.104</v>
      </c>
      <c r="GO39" t="n">
        <v>0.325</v>
      </c>
      <c r="GP39" t="n">
        <v>0.542</v>
      </c>
      <c r="GQ39" t="n">
        <v>0.089</v>
      </c>
      <c r="GR39" t="n">
        <v>0.11</v>
      </c>
      <c r="GS39" t="n">
        <v>0.121</v>
      </c>
      <c r="GU39" t="n">
        <v>0.028</v>
      </c>
    </row>
    <row r="40">
      <c r="A40" t="n">
        <v>748366</v>
      </c>
      <c r="B40" t="inlineStr">
        <is>
          <t>Oil, soybean</t>
        </is>
      </c>
      <c r="C40" t="inlineStr"/>
      <c r="D40" t="inlineStr">
        <is>
          <t>Foundation</t>
        </is>
      </c>
      <c r="E40" s="9" t="n">
        <v>5</v>
      </c>
      <c r="F40" s="10">
        <f>E40/SUM($E$3:$E$80)</f>
        <v/>
      </c>
      <c r="H40" t="n">
        <v>851.4</v>
      </c>
      <c r="I40" t="n">
        <v>3562.2576</v>
      </c>
      <c r="L40" t="n">
        <v>94.59999999999999</v>
      </c>
      <c r="M40" t="n">
        <v>94.59999999999999</v>
      </c>
      <c r="CK40" t="n">
        <v>12.2</v>
      </c>
      <c r="CM40" t="n">
        <v>1.8</v>
      </c>
      <c r="CN40" t="n">
        <v>70.40000000000001</v>
      </c>
      <c r="CO40" t="n">
        <v>22</v>
      </c>
      <c r="CP40" t="n">
        <v>0</v>
      </c>
      <c r="CQ40" t="n">
        <v>1.6</v>
      </c>
      <c r="CR40" t="n">
        <v>0</v>
      </c>
      <c r="CS40" t="n">
        <v>0</v>
      </c>
      <c r="CY40" t="n">
        <v>14.9</v>
      </c>
      <c r="DJ40" t="n">
        <v>0.075</v>
      </c>
      <c r="DK40" t="n">
        <v>0.014</v>
      </c>
      <c r="DL40" t="n">
        <v>10.3</v>
      </c>
      <c r="DM40" t="n">
        <v>0.08599999999999999</v>
      </c>
      <c r="DN40" t="n">
        <v>3.71</v>
      </c>
      <c r="DO40" t="n">
        <v>0.294</v>
      </c>
      <c r="DP40" t="n">
        <v>0.025</v>
      </c>
      <c r="DQ40" t="n">
        <v>0.306</v>
      </c>
      <c r="DS40" t="n">
        <v>0.124</v>
      </c>
      <c r="DT40" t="n">
        <v>22.1</v>
      </c>
      <c r="DZ40" t="n">
        <v>0.08</v>
      </c>
      <c r="ED40" t="n">
        <v>21.4</v>
      </c>
      <c r="EF40" t="n">
        <v>0.6</v>
      </c>
      <c r="EL40" t="n">
        <v>57.6</v>
      </c>
      <c r="EN40" t="n">
        <v>50.9</v>
      </c>
      <c r="EO40" t="n">
        <v>50.9</v>
      </c>
      <c r="ES40" t="n">
        <v>6.62</v>
      </c>
      <c r="ET40" t="n">
        <v>6.62</v>
      </c>
      <c r="EZ40" t="n">
        <v>0</v>
      </c>
      <c r="FB40" t="n">
        <v>0</v>
      </c>
      <c r="GW40" t="n">
        <v>153</v>
      </c>
      <c r="GX40" t="n">
        <v>0</v>
      </c>
      <c r="GY40" t="n">
        <v>58</v>
      </c>
      <c r="GZ40" t="n">
        <v>2.15</v>
      </c>
      <c r="HA40" t="n">
        <v>10.5</v>
      </c>
      <c r="HB40" t="n">
        <v>20.8</v>
      </c>
      <c r="HC40" t="n">
        <v>55.4</v>
      </c>
      <c r="HD40" t="n">
        <v>5.62</v>
      </c>
    </row>
    <row r="41">
      <c r="A41" t="n">
        <v>748967</v>
      </c>
      <c r="B41" t="inlineStr">
        <is>
          <t>Eggs, Grade A, Large, egg whole</t>
        </is>
      </c>
      <c r="C41" t="inlineStr"/>
      <c r="D41" t="inlineStr">
        <is>
          <t>Foundation</t>
        </is>
      </c>
      <c r="E41" s="9" t="n">
        <v>100</v>
      </c>
      <c r="F41" s="10">
        <f>E41/SUM($E$3:$E$80)</f>
        <v/>
      </c>
      <c r="G41" t="n">
        <v>75.8</v>
      </c>
      <c r="H41" t="n">
        <v>143.08</v>
      </c>
      <c r="I41" t="n">
        <v>598.6467200000001</v>
      </c>
      <c r="J41" t="n">
        <v>1.99</v>
      </c>
      <c r="K41" t="n">
        <v>12.4</v>
      </c>
      <c r="L41" t="n">
        <v>8.65</v>
      </c>
      <c r="M41" t="n">
        <v>9.960000000000001</v>
      </c>
      <c r="N41" t="n">
        <v>0.85</v>
      </c>
      <c r="O41" t="n">
        <v>0.96</v>
      </c>
      <c r="P41" t="n">
        <v>0</v>
      </c>
      <c r="V41" t="n">
        <v>0.2</v>
      </c>
      <c r="W41" t="n">
        <v>0</v>
      </c>
      <c r="X41" t="n">
        <v>0.2</v>
      </c>
      <c r="Y41" t="n">
        <v>0</v>
      </c>
      <c r="Z41" t="n">
        <v>0</v>
      </c>
      <c r="AA41" t="n">
        <v>0</v>
      </c>
      <c r="AC41" t="n">
        <v>0</v>
      </c>
      <c r="AF41" t="n">
        <v>48</v>
      </c>
      <c r="AG41" t="n">
        <v>1.67</v>
      </c>
      <c r="AH41" t="n">
        <v>11.4</v>
      </c>
      <c r="AI41" t="n">
        <v>184</v>
      </c>
      <c r="AJ41" t="n">
        <v>132</v>
      </c>
      <c r="AK41" t="n">
        <v>129</v>
      </c>
      <c r="AL41" t="n">
        <v>1.24</v>
      </c>
      <c r="AM41" t="n">
        <v>0</v>
      </c>
      <c r="AN41" t="n">
        <v>0</v>
      </c>
      <c r="AO41" t="n">
        <v>49.1</v>
      </c>
      <c r="AP41" t="n">
        <v>31.1</v>
      </c>
      <c r="AT41" t="n">
        <v>0.077</v>
      </c>
      <c r="AU41" t="n">
        <v>0.419</v>
      </c>
      <c r="AV41" t="n">
        <v>0</v>
      </c>
      <c r="AW41" t="n">
        <v>0.063</v>
      </c>
      <c r="AX41" t="n">
        <v>71</v>
      </c>
      <c r="BA41" t="n">
        <v>335</v>
      </c>
      <c r="BB41" t="n">
        <v>0.6</v>
      </c>
      <c r="BC41" t="n">
        <v>309</v>
      </c>
      <c r="BD41" t="n">
        <v>0.2</v>
      </c>
      <c r="BE41" t="n">
        <v>0.2</v>
      </c>
      <c r="BF41" t="n">
        <v>25.1</v>
      </c>
      <c r="BG41" t="n">
        <v>0.3</v>
      </c>
      <c r="BH41" t="n">
        <v>1.02</v>
      </c>
      <c r="BJ41" t="n">
        <v>180</v>
      </c>
      <c r="BK41" t="n">
        <v>179</v>
      </c>
      <c r="BL41" t="n">
        <v>0</v>
      </c>
      <c r="BM41" t="n">
        <v>0</v>
      </c>
      <c r="BN41" t="n">
        <v>0</v>
      </c>
      <c r="BO41" t="n">
        <v>0</v>
      </c>
      <c r="BQ41" t="n">
        <v>13</v>
      </c>
      <c r="BR41" t="n">
        <v>13</v>
      </c>
      <c r="BT41" t="n">
        <v>0</v>
      </c>
      <c r="BU41" t="n">
        <v>0</v>
      </c>
      <c r="BV41" t="n">
        <v>0</v>
      </c>
      <c r="BX41" t="n">
        <v>57</v>
      </c>
      <c r="BY41" t="n">
        <v>230</v>
      </c>
      <c r="BZ41" t="n">
        <v>229</v>
      </c>
      <c r="CC41" t="n">
        <v>98.40000000000001</v>
      </c>
      <c r="CD41" t="n">
        <v>2.46</v>
      </c>
      <c r="CE41" t="n">
        <v>0</v>
      </c>
      <c r="CF41" t="n">
        <v>2.46</v>
      </c>
      <c r="CG41" t="n">
        <v>0.5600000000000001</v>
      </c>
      <c r="CY41" t="n">
        <v>3.2</v>
      </c>
      <c r="DJ41" t="n">
        <v>0.032</v>
      </c>
      <c r="DL41" t="n">
        <v>2.32</v>
      </c>
      <c r="DN41" t="n">
        <v>0.8129999999999999</v>
      </c>
      <c r="DT41" t="n">
        <v>3.63</v>
      </c>
      <c r="DZ41" t="n">
        <v>0.238</v>
      </c>
      <c r="ED41" t="n">
        <v>3.35</v>
      </c>
      <c r="EL41" t="n">
        <v>1.82</v>
      </c>
      <c r="EN41" t="n">
        <v>1.46</v>
      </c>
      <c r="EO41" t="n">
        <v>1.46</v>
      </c>
      <c r="ES41" t="n">
        <v>0.011</v>
      </c>
      <c r="EU41" t="n">
        <v>0.011</v>
      </c>
      <c r="EZ41" t="n">
        <v>0.02</v>
      </c>
      <c r="FB41" t="n">
        <v>0.02</v>
      </c>
      <c r="GB41" t="n">
        <v>411</v>
      </c>
      <c r="GC41" t="n">
        <v>0.166</v>
      </c>
      <c r="GD41" t="n">
        <v>0.594</v>
      </c>
      <c r="GE41" t="n">
        <v>0.616</v>
      </c>
      <c r="GF41" t="n">
        <v>1.05</v>
      </c>
      <c r="GG41" t="n">
        <v>0.832</v>
      </c>
      <c r="GH41" t="n">
        <v>0.418</v>
      </c>
      <c r="GI41" t="n">
        <v>0.66</v>
      </c>
      <c r="GJ41" t="n">
        <v>0.512</v>
      </c>
      <c r="GK41" t="n">
        <v>0.734</v>
      </c>
      <c r="GL41" t="n">
        <v>0.787</v>
      </c>
      <c r="GM41" t="n">
        <v>0.283</v>
      </c>
      <c r="GN41" t="n">
        <v>0.667</v>
      </c>
      <c r="GO41" t="n">
        <v>1.27</v>
      </c>
      <c r="GP41" t="n">
        <v>1.63</v>
      </c>
      <c r="GQ41" t="n">
        <v>0.408</v>
      </c>
      <c r="GR41" t="n">
        <v>0.5600000000000001</v>
      </c>
      <c r="GS41" t="n">
        <v>0.919</v>
      </c>
      <c r="GT41" t="n">
        <v>0</v>
      </c>
      <c r="GU41" t="n">
        <v>0.385</v>
      </c>
    </row>
    <row r="42">
      <c r="A42" t="n">
        <v>748967</v>
      </c>
      <c r="B42" t="inlineStr">
        <is>
          <t>Eggs, Grade A, Large, egg whole</t>
        </is>
      </c>
      <c r="C42" t="inlineStr"/>
      <c r="D42" t="inlineStr">
        <is>
          <t>Foundation</t>
        </is>
      </c>
      <c r="E42" s="9" t="n">
        <v>150</v>
      </c>
      <c r="F42" s="10">
        <f>E42/SUM($E$3:$E$80)</f>
        <v/>
      </c>
      <c r="G42" t="n">
        <v>75.8</v>
      </c>
      <c r="H42" t="n">
        <v>143.08</v>
      </c>
      <c r="I42" t="n">
        <v>598.6467200000001</v>
      </c>
      <c r="J42" t="n">
        <v>1.99</v>
      </c>
      <c r="K42" t="n">
        <v>12.4</v>
      </c>
      <c r="L42" t="n">
        <v>8.65</v>
      </c>
      <c r="M42" t="n">
        <v>9.960000000000001</v>
      </c>
      <c r="N42" t="n">
        <v>0.85</v>
      </c>
      <c r="O42" t="n">
        <v>0.96</v>
      </c>
      <c r="P42" t="n">
        <v>0</v>
      </c>
      <c r="V42" t="n">
        <v>0.2</v>
      </c>
      <c r="W42" t="n">
        <v>0</v>
      </c>
      <c r="X42" t="n">
        <v>0.2</v>
      </c>
      <c r="Y42" t="n">
        <v>0</v>
      </c>
      <c r="Z42" t="n">
        <v>0</v>
      </c>
      <c r="AA42" t="n">
        <v>0</v>
      </c>
      <c r="AC42" t="n">
        <v>0</v>
      </c>
      <c r="AF42" t="n">
        <v>48</v>
      </c>
      <c r="AG42" t="n">
        <v>1.67</v>
      </c>
      <c r="AH42" t="n">
        <v>11.4</v>
      </c>
      <c r="AI42" t="n">
        <v>184</v>
      </c>
      <c r="AJ42" t="n">
        <v>132</v>
      </c>
      <c r="AK42" t="n">
        <v>129</v>
      </c>
      <c r="AL42" t="n">
        <v>1.24</v>
      </c>
      <c r="AM42" t="n">
        <v>0</v>
      </c>
      <c r="AN42" t="n">
        <v>0</v>
      </c>
      <c r="AO42" t="n">
        <v>49.1</v>
      </c>
      <c r="AP42" t="n">
        <v>31.1</v>
      </c>
      <c r="AT42" t="n">
        <v>0.077</v>
      </c>
      <c r="AU42" t="n">
        <v>0.419</v>
      </c>
      <c r="AV42" t="n">
        <v>0</v>
      </c>
      <c r="AW42" t="n">
        <v>0.063</v>
      </c>
      <c r="AX42" t="n">
        <v>71</v>
      </c>
      <c r="BA42" t="n">
        <v>335</v>
      </c>
      <c r="BB42" t="n">
        <v>0.6</v>
      </c>
      <c r="BC42" t="n">
        <v>309</v>
      </c>
      <c r="BD42" t="n">
        <v>0.2</v>
      </c>
      <c r="BE42" t="n">
        <v>0.2</v>
      </c>
      <c r="BF42" t="n">
        <v>25.1</v>
      </c>
      <c r="BG42" t="n">
        <v>0.3</v>
      </c>
      <c r="BH42" t="n">
        <v>1.02</v>
      </c>
      <c r="BJ42" t="n">
        <v>180</v>
      </c>
      <c r="BK42" t="n">
        <v>179</v>
      </c>
      <c r="BL42" t="n">
        <v>0</v>
      </c>
      <c r="BM42" t="n">
        <v>0</v>
      </c>
      <c r="BN42" t="n">
        <v>0</v>
      </c>
      <c r="BO42" t="n">
        <v>0</v>
      </c>
      <c r="BQ42" t="n">
        <v>13</v>
      </c>
      <c r="BR42" t="n">
        <v>13</v>
      </c>
      <c r="BT42" t="n">
        <v>0</v>
      </c>
      <c r="BU42" t="n">
        <v>0</v>
      </c>
      <c r="BV42" t="n">
        <v>0</v>
      </c>
      <c r="BX42" t="n">
        <v>57</v>
      </c>
      <c r="BY42" t="n">
        <v>230</v>
      </c>
      <c r="BZ42" t="n">
        <v>229</v>
      </c>
      <c r="CC42" t="n">
        <v>98.40000000000001</v>
      </c>
      <c r="CD42" t="n">
        <v>2.46</v>
      </c>
      <c r="CE42" t="n">
        <v>0</v>
      </c>
      <c r="CF42" t="n">
        <v>2.46</v>
      </c>
      <c r="CG42" t="n">
        <v>0.5600000000000001</v>
      </c>
      <c r="CY42" t="n">
        <v>3.2</v>
      </c>
      <c r="DJ42" t="n">
        <v>0.032</v>
      </c>
      <c r="DL42" t="n">
        <v>2.32</v>
      </c>
      <c r="DN42" t="n">
        <v>0.8129999999999999</v>
      </c>
      <c r="DT42" t="n">
        <v>3.63</v>
      </c>
      <c r="DZ42" t="n">
        <v>0.238</v>
      </c>
      <c r="ED42" t="n">
        <v>3.35</v>
      </c>
      <c r="EL42" t="n">
        <v>1.82</v>
      </c>
      <c r="EN42" t="n">
        <v>1.46</v>
      </c>
      <c r="EO42" t="n">
        <v>1.46</v>
      </c>
      <c r="ES42" t="n">
        <v>0.011</v>
      </c>
      <c r="EU42" t="n">
        <v>0.011</v>
      </c>
      <c r="EZ42" t="n">
        <v>0.02</v>
      </c>
      <c r="FB42" t="n">
        <v>0.02</v>
      </c>
      <c r="GB42" t="n">
        <v>411</v>
      </c>
      <c r="GC42" t="n">
        <v>0.166</v>
      </c>
      <c r="GD42" t="n">
        <v>0.594</v>
      </c>
      <c r="GE42" t="n">
        <v>0.616</v>
      </c>
      <c r="GF42" t="n">
        <v>1.05</v>
      </c>
      <c r="GG42" t="n">
        <v>0.832</v>
      </c>
      <c r="GH42" t="n">
        <v>0.418</v>
      </c>
      <c r="GI42" t="n">
        <v>0.66</v>
      </c>
      <c r="GJ42" t="n">
        <v>0.512</v>
      </c>
      <c r="GK42" t="n">
        <v>0.734</v>
      </c>
      <c r="GL42" t="n">
        <v>0.787</v>
      </c>
      <c r="GM42" t="n">
        <v>0.283</v>
      </c>
      <c r="GN42" t="n">
        <v>0.667</v>
      </c>
      <c r="GO42" t="n">
        <v>1.27</v>
      </c>
      <c r="GP42" t="n">
        <v>1.63</v>
      </c>
      <c r="GQ42" t="n">
        <v>0.408</v>
      </c>
      <c r="GR42" t="n">
        <v>0.5600000000000001</v>
      </c>
      <c r="GS42" t="n">
        <v>0.919</v>
      </c>
      <c r="GT42" t="n">
        <v>0</v>
      </c>
      <c r="GU42" t="n">
        <v>0.385</v>
      </c>
    </row>
    <row r="43">
      <c r="A43" t="n">
        <v>790577</v>
      </c>
      <c r="B43" t="inlineStr">
        <is>
          <t>Onions, red, raw</t>
        </is>
      </c>
      <c r="C43" t="inlineStr"/>
      <c r="D43" t="inlineStr">
        <is>
          <t>Foundation</t>
        </is>
      </c>
      <c r="E43" s="9" t="n">
        <v>100</v>
      </c>
      <c r="F43" s="10">
        <f>E43/SUM($E$3:$E$80)</f>
        <v/>
      </c>
      <c r="G43" t="n">
        <v>88.59999999999999</v>
      </c>
      <c r="H43" t="n">
        <v>44.38</v>
      </c>
      <c r="I43" t="n">
        <v>185.68592</v>
      </c>
      <c r="J43" t="n">
        <v>0.1504</v>
      </c>
      <c r="K43" t="n">
        <v>0.9399999999999999</v>
      </c>
      <c r="L43" t="n">
        <v>0.1</v>
      </c>
      <c r="M43" t="n">
        <v>0.1</v>
      </c>
      <c r="N43" t="n">
        <v>0.43</v>
      </c>
      <c r="O43" t="n">
        <v>9.93</v>
      </c>
      <c r="P43" t="n">
        <v>2.2</v>
      </c>
      <c r="S43" t="n">
        <v>3.97</v>
      </c>
      <c r="V43" t="n">
        <v>5.76</v>
      </c>
      <c r="W43" t="n">
        <v>1.68</v>
      </c>
      <c r="X43" t="n">
        <v>2.29</v>
      </c>
      <c r="Y43" t="n">
        <v>1.79</v>
      </c>
      <c r="Z43" t="n">
        <v>0</v>
      </c>
      <c r="AA43" t="n">
        <v>0</v>
      </c>
      <c r="AF43" t="n">
        <v>17</v>
      </c>
      <c r="AG43" t="n">
        <v>0.24</v>
      </c>
      <c r="AH43" t="n">
        <v>11.4</v>
      </c>
      <c r="AI43" t="n">
        <v>41</v>
      </c>
      <c r="AJ43" t="n">
        <v>197</v>
      </c>
      <c r="AK43" t="n">
        <v>1</v>
      </c>
      <c r="AL43" t="n">
        <v>0.17</v>
      </c>
      <c r="AM43" t="n">
        <v>0.058</v>
      </c>
      <c r="AN43" t="n">
        <v>0.119</v>
      </c>
      <c r="AO43" t="n">
        <v>0</v>
      </c>
      <c r="AP43" t="n">
        <v>0.5</v>
      </c>
      <c r="CT43" t="n">
        <v>8.1</v>
      </c>
      <c r="CV43" t="n">
        <v>0</v>
      </c>
    </row>
    <row r="44">
      <c r="A44" t="n">
        <v>1104812</v>
      </c>
      <c r="B44" t="inlineStr">
        <is>
          <t>Flour, rice, brown</t>
        </is>
      </c>
      <c r="C44" t="inlineStr"/>
      <c r="D44" t="inlineStr">
        <is>
          <t>Foundation</t>
        </is>
      </c>
      <c r="E44" s="9" t="n">
        <v>100</v>
      </c>
      <c r="F44" s="10">
        <f>E44/SUM($E$3:$E$80)</f>
        <v/>
      </c>
      <c r="G44" t="n">
        <v>12.1</v>
      </c>
      <c r="H44" t="n">
        <v>365.41</v>
      </c>
      <c r="I44" t="n">
        <v>1528.87544</v>
      </c>
      <c r="J44" t="n">
        <v>1.15</v>
      </c>
      <c r="K44" t="n">
        <v>7.19</v>
      </c>
      <c r="L44" t="n">
        <v>3.85</v>
      </c>
      <c r="M44" t="n">
        <v>3.85</v>
      </c>
      <c r="N44" t="n">
        <v>1.4</v>
      </c>
      <c r="O44" t="n">
        <v>75.5</v>
      </c>
      <c r="AF44" t="n">
        <v>10</v>
      </c>
      <c r="AG44" t="n">
        <v>1.5</v>
      </c>
      <c r="AH44" t="n">
        <v>124</v>
      </c>
      <c r="AI44" t="n">
        <v>319</v>
      </c>
      <c r="AJ44" t="n">
        <v>265</v>
      </c>
      <c r="AK44" t="n">
        <v>1</v>
      </c>
      <c r="AL44" t="n">
        <v>1.91</v>
      </c>
      <c r="AM44" t="n">
        <v>0.286</v>
      </c>
      <c r="AN44" t="n">
        <v>2.84</v>
      </c>
      <c r="AP44" t="n">
        <v>9.68</v>
      </c>
      <c r="AQ44" t="n">
        <v>56.2</v>
      </c>
      <c r="AT44" t="n">
        <v>0.322</v>
      </c>
      <c r="AU44" t="n">
        <v>0.008</v>
      </c>
      <c r="AV44" t="n">
        <v>5.99</v>
      </c>
      <c r="AW44" t="n">
        <v>0.132</v>
      </c>
    </row>
    <row r="45">
      <c r="A45" t="n">
        <v>1105898</v>
      </c>
      <c r="B45" t="inlineStr">
        <is>
          <t>Discrepancy between the Atwater factor predicted and empirically measured energy values of almonds in human diets</t>
        </is>
      </c>
      <c r="C45" t="inlineStr"/>
      <c r="D45" t="inlineStr">
        <is>
          <t>Experimental</t>
        </is>
      </c>
      <c r="E45" s="9" t="n">
        <v>100</v>
      </c>
      <c r="F45" s="10">
        <f>E45/SUM($E$3:$E$80)</f>
        <v/>
      </c>
    </row>
    <row r="46">
      <c r="A46" t="n">
        <v>1105904</v>
      </c>
      <c r="B46" t="inlineStr">
        <is>
          <t>WESSON Vegetable Oil 1 GAL</t>
        </is>
      </c>
      <c r="C46" t="inlineStr">
        <is>
          <t>Richardson Oilseed Products (US) Limited</t>
        </is>
      </c>
      <c r="D46" t="inlineStr">
        <is>
          <t>Branded</t>
        </is>
      </c>
      <c r="E46" s="9" t="n">
        <v>100</v>
      </c>
      <c r="F46" s="10">
        <f>E46/SUM($E$3:$E$80)</f>
        <v/>
      </c>
      <c r="G46" t="n">
        <v>6.670000000000002</v>
      </c>
      <c r="H46" t="n">
        <v>839.97</v>
      </c>
      <c r="I46" t="n">
        <v>3514.43448</v>
      </c>
      <c r="J46" t="n">
        <v>0</v>
      </c>
      <c r="K46" t="n">
        <v>0</v>
      </c>
      <c r="L46" t="n">
        <v>93.33</v>
      </c>
      <c r="M46" t="n">
        <v>93.33</v>
      </c>
      <c r="O46" t="n">
        <v>0</v>
      </c>
      <c r="P46" t="n">
        <v>0</v>
      </c>
      <c r="V46" t="n">
        <v>0</v>
      </c>
      <c r="AF46" t="n">
        <v>0</v>
      </c>
      <c r="AG46" t="n">
        <v>0</v>
      </c>
      <c r="AJ46" t="n">
        <v>0</v>
      </c>
      <c r="AK46" t="n">
        <v>0</v>
      </c>
      <c r="BS46" t="n">
        <v>0</v>
      </c>
      <c r="CC46" t="n">
        <v>0</v>
      </c>
      <c r="CT46" t="n">
        <v>0</v>
      </c>
      <c r="CY46" t="n">
        <v>13.33</v>
      </c>
      <c r="DT46" t="n">
        <v>20</v>
      </c>
      <c r="EL46" t="n">
        <v>53.33</v>
      </c>
      <c r="FO46" t="n">
        <v>0</v>
      </c>
      <c r="GB46" t="n">
        <v>0</v>
      </c>
    </row>
    <row r="47">
      <c r="A47" t="n">
        <v>1105905</v>
      </c>
      <c r="B47" t="inlineStr">
        <is>
          <t>SWANSON BROTH BEEF</t>
        </is>
      </c>
      <c r="C47" t="inlineStr">
        <is>
          <t>CAMPBELL SOUP COMPANY</t>
        </is>
      </c>
      <c r="D47" t="inlineStr">
        <is>
          <t>Branded</t>
        </is>
      </c>
      <c r="E47" s="9" t="n">
        <v>100</v>
      </c>
      <c r="F47" s="10">
        <f>E47/SUM($E$3:$E$80)</f>
        <v/>
      </c>
      <c r="G47" t="n">
        <v>98.75</v>
      </c>
      <c r="H47" t="n">
        <v>5</v>
      </c>
      <c r="I47" t="n">
        <v>20.92</v>
      </c>
      <c r="J47" t="n">
        <v>0.1328</v>
      </c>
      <c r="K47" t="n">
        <v>0.83</v>
      </c>
      <c r="L47" t="n">
        <v>0</v>
      </c>
      <c r="M47" t="n">
        <v>0</v>
      </c>
      <c r="O47" t="n">
        <v>0.42</v>
      </c>
      <c r="P47" t="n">
        <v>0</v>
      </c>
      <c r="V47" t="n">
        <v>0.42</v>
      </c>
      <c r="AF47" t="n">
        <v>0</v>
      </c>
      <c r="AG47" t="n">
        <v>0</v>
      </c>
      <c r="AJ47" t="n">
        <v>0</v>
      </c>
      <c r="AK47" t="n">
        <v>346</v>
      </c>
      <c r="CC47" t="n">
        <v>0</v>
      </c>
      <c r="CY47" t="n">
        <v>0</v>
      </c>
      <c r="FO47" t="n">
        <v>0</v>
      </c>
      <c r="GB47" t="n">
        <v>0</v>
      </c>
    </row>
    <row r="48">
      <c r="A48" t="n">
        <v>1105906</v>
      </c>
      <c r="B48" t="inlineStr">
        <is>
          <t>CAMPBELL'S SLOW KETTLE SOUP CLAM CHOWDER</t>
        </is>
      </c>
      <c r="C48" t="inlineStr">
        <is>
          <t>CAMPBELL SOUP COMPANY</t>
        </is>
      </c>
      <c r="D48" t="inlineStr">
        <is>
          <t>Branded</t>
        </is>
      </c>
      <c r="E48" s="9" t="n">
        <v>100</v>
      </c>
      <c r="F48" s="10">
        <f>E48/SUM($E$3:$E$80)</f>
        <v/>
      </c>
      <c r="G48" t="n">
        <v>85.72</v>
      </c>
      <c r="H48" t="n">
        <v>82.06999999999999</v>
      </c>
      <c r="I48" t="n">
        <v>343.38088</v>
      </c>
      <c r="J48" t="n">
        <v>0.392</v>
      </c>
      <c r="K48" t="n">
        <v>2.45</v>
      </c>
      <c r="L48" t="n">
        <v>5.31</v>
      </c>
      <c r="M48" t="n">
        <v>5.31</v>
      </c>
      <c r="O48" t="n">
        <v>6.12</v>
      </c>
      <c r="P48" t="n">
        <v>0.4</v>
      </c>
      <c r="V48" t="n">
        <v>0.41</v>
      </c>
      <c r="AF48" t="n">
        <v>16</v>
      </c>
      <c r="AG48" t="n">
        <v>0.24</v>
      </c>
      <c r="AJ48" t="n">
        <v>65</v>
      </c>
      <c r="AK48" t="n">
        <v>363</v>
      </c>
      <c r="CC48" t="n">
        <v>0</v>
      </c>
      <c r="CY48" t="n">
        <v>1.02</v>
      </c>
      <c r="FO48" t="n">
        <v>0</v>
      </c>
      <c r="GB48" t="n">
        <v>6</v>
      </c>
    </row>
    <row r="49">
      <c r="A49" t="n">
        <v>1105907</v>
      </c>
      <c r="B49" t="inlineStr">
        <is>
          <t>CAMPBELL'S SLOW KETTLE SOUP CHEESE BROCCOLI</t>
        </is>
      </c>
      <c r="C49" t="inlineStr">
        <is>
          <t>CAMPBELL SOUP COMPANY</t>
        </is>
      </c>
      <c r="D49" t="inlineStr">
        <is>
          <t>Branded</t>
        </is>
      </c>
      <c r="E49" s="9" t="n">
        <v>100</v>
      </c>
      <c r="F49" s="10">
        <f>E49/SUM($E$3:$E$80)</f>
        <v/>
      </c>
      <c r="G49" t="n">
        <v>86.95</v>
      </c>
      <c r="H49" t="n">
        <v>81.19999999999999</v>
      </c>
      <c r="I49" t="n">
        <v>339.7408</v>
      </c>
      <c r="J49" t="n">
        <v>0.1952</v>
      </c>
      <c r="K49" t="n">
        <v>1.22</v>
      </c>
      <c r="L49" t="n">
        <v>6.12</v>
      </c>
      <c r="M49" t="n">
        <v>6.12</v>
      </c>
      <c r="O49" t="n">
        <v>5.31</v>
      </c>
      <c r="P49" t="n">
        <v>0.4</v>
      </c>
      <c r="V49" t="n">
        <v>0.82</v>
      </c>
      <c r="AF49" t="n">
        <v>33</v>
      </c>
      <c r="AG49" t="n">
        <v>0.16</v>
      </c>
      <c r="AJ49" t="n">
        <v>65</v>
      </c>
      <c r="AK49" t="n">
        <v>322</v>
      </c>
      <c r="CC49" t="n">
        <v>0</v>
      </c>
      <c r="CY49" t="n">
        <v>2.45</v>
      </c>
      <c r="FO49" t="n">
        <v>0</v>
      </c>
      <c r="GB49" t="n">
        <v>10</v>
      </c>
    </row>
    <row r="50">
      <c r="A50" t="n">
        <v>1163549</v>
      </c>
      <c r="B50" t="inlineStr">
        <is>
          <t>HUNTS No Salt Added Tomato Sauce, #10 Can, 6/105 oz., 105 OZ</t>
        </is>
      </c>
      <c r="C50" t="inlineStr">
        <is>
          <t>Conagra Brands Inc</t>
        </is>
      </c>
      <c r="D50" t="inlineStr">
        <is>
          <t>Branded</t>
        </is>
      </c>
      <c r="E50" s="9" t="n">
        <v>100</v>
      </c>
      <c r="F50" s="10">
        <f>E50/SUM($E$3:$E$80)</f>
        <v/>
      </c>
      <c r="G50" t="n">
        <v>88.73</v>
      </c>
      <c r="H50" t="n">
        <v>38.68</v>
      </c>
      <c r="I50" t="n">
        <v>161.83712</v>
      </c>
      <c r="J50" t="n">
        <v>0.2576</v>
      </c>
      <c r="K50" t="n">
        <v>1.61</v>
      </c>
      <c r="L50" t="n">
        <v>0</v>
      </c>
      <c r="M50" t="n">
        <v>0</v>
      </c>
      <c r="O50" t="n">
        <v>8.06</v>
      </c>
      <c r="P50" t="n">
        <v>1.6</v>
      </c>
      <c r="V50" t="n">
        <v>4.84</v>
      </c>
      <c r="AF50" t="n">
        <v>0</v>
      </c>
      <c r="AG50" t="n">
        <v>0</v>
      </c>
      <c r="AK50" t="n">
        <v>24</v>
      </c>
      <c r="BS50" t="n">
        <v>645</v>
      </c>
      <c r="CT50" t="n">
        <v>1.9</v>
      </c>
      <c r="CY50" t="n">
        <v>0</v>
      </c>
      <c r="FO50" t="n">
        <v>0</v>
      </c>
      <c r="GB50" t="n">
        <v>0</v>
      </c>
    </row>
    <row r="51">
      <c r="A51" t="n">
        <v>1163550</v>
      </c>
      <c r="B51" t="inlineStr">
        <is>
          <t>DAVID Chili Lime Sunflower Seeds, 5.25 OZ</t>
        </is>
      </c>
      <c r="C51" t="inlineStr">
        <is>
          <t>Conagra Brands Inc</t>
        </is>
      </c>
      <c r="D51" t="inlineStr">
        <is>
          <t>Branded</t>
        </is>
      </c>
      <c r="E51" s="9" t="n">
        <v>100</v>
      </c>
      <c r="F51" s="10">
        <f>E51/SUM($E$3:$E$80)</f>
        <v/>
      </c>
      <c r="G51" t="n">
        <v>0</v>
      </c>
      <c r="H51" t="n">
        <v>639.97</v>
      </c>
      <c r="I51" t="n">
        <v>2677.63448</v>
      </c>
      <c r="J51" t="n">
        <v>4.2672</v>
      </c>
      <c r="K51" t="n">
        <v>26.67</v>
      </c>
      <c r="L51" t="n">
        <v>53.33</v>
      </c>
      <c r="M51" t="n">
        <v>53.33</v>
      </c>
      <c r="O51" t="n">
        <v>13.33</v>
      </c>
      <c r="P51" t="n">
        <v>6.7</v>
      </c>
      <c r="V51" t="n">
        <v>0</v>
      </c>
      <c r="AF51" t="n">
        <v>67</v>
      </c>
      <c r="AG51" t="n">
        <v>3.6</v>
      </c>
      <c r="AJ51" t="n">
        <v>733</v>
      </c>
      <c r="AK51" t="n">
        <v>1233</v>
      </c>
      <c r="BS51" t="n">
        <v>0</v>
      </c>
      <c r="CT51" t="n">
        <v>0</v>
      </c>
      <c r="CY51" t="n">
        <v>5</v>
      </c>
      <c r="DT51" t="n">
        <v>20</v>
      </c>
      <c r="EL51" t="n">
        <v>23.33</v>
      </c>
      <c r="FO51" t="n">
        <v>0</v>
      </c>
      <c r="GB51" t="n">
        <v>0</v>
      </c>
    </row>
    <row r="52">
      <c r="A52" t="n">
        <v>1163551</v>
      </c>
      <c r="B52" t="inlineStr">
        <is>
          <t>HUNTS Natural Tomato Ketchup, 13.5 OZ</t>
        </is>
      </c>
      <c r="C52" t="inlineStr">
        <is>
          <t>Conagra Brands Inc</t>
        </is>
      </c>
      <c r="D52" t="inlineStr">
        <is>
          <t>Branded</t>
        </is>
      </c>
      <c r="E52" s="9" t="n">
        <v>100</v>
      </c>
      <c r="F52" s="10">
        <f>E52/SUM($E$3:$E$80)</f>
        <v/>
      </c>
      <c r="G52" t="n">
        <v>64.71000000000001</v>
      </c>
      <c r="H52" t="n">
        <v>141.16</v>
      </c>
      <c r="I52" t="n">
        <v>590.61344</v>
      </c>
      <c r="J52" t="n">
        <v>0</v>
      </c>
      <c r="K52" t="n">
        <v>0</v>
      </c>
      <c r="L52" t="n">
        <v>0</v>
      </c>
      <c r="M52" t="n">
        <v>0</v>
      </c>
      <c r="O52" t="n">
        <v>35.29</v>
      </c>
      <c r="P52" t="n">
        <v>0</v>
      </c>
      <c r="V52" t="n">
        <v>23.53</v>
      </c>
      <c r="AF52" t="n">
        <v>0</v>
      </c>
      <c r="AG52" t="n">
        <v>0</v>
      </c>
      <c r="AJ52" t="n">
        <v>265</v>
      </c>
      <c r="AK52" t="n">
        <v>0</v>
      </c>
      <c r="BS52" t="n">
        <v>0</v>
      </c>
      <c r="CT52" t="n">
        <v>0</v>
      </c>
      <c r="CY52" t="n">
        <v>0</v>
      </c>
      <c r="DT52" t="n">
        <v>0</v>
      </c>
      <c r="EL52" t="n">
        <v>0</v>
      </c>
      <c r="FO52" t="n">
        <v>0</v>
      </c>
      <c r="GB52" t="n">
        <v>0</v>
      </c>
    </row>
    <row r="53">
      <c r="A53" t="n">
        <v>1163552</v>
      </c>
      <c r="B53" t="inlineStr">
        <is>
          <t>HUNTS Tomato Ketchup, 24 OZ</t>
        </is>
      </c>
      <c r="C53" t="inlineStr">
        <is>
          <t>Conagra Brands Inc</t>
        </is>
      </c>
      <c r="D53" t="inlineStr">
        <is>
          <t>Branded</t>
        </is>
      </c>
      <c r="E53" s="9" t="n">
        <v>100</v>
      </c>
      <c r="F53" s="10">
        <f>E53/SUM($E$3:$E$80)</f>
        <v/>
      </c>
      <c r="G53" t="n">
        <v>70.59</v>
      </c>
      <c r="H53" t="n">
        <v>117.64</v>
      </c>
      <c r="I53" t="n">
        <v>492.20576</v>
      </c>
      <c r="J53" t="n">
        <v>0</v>
      </c>
      <c r="K53" t="n">
        <v>0</v>
      </c>
      <c r="L53" t="n">
        <v>0</v>
      </c>
      <c r="M53" t="n">
        <v>0</v>
      </c>
      <c r="O53" t="n">
        <v>29.41</v>
      </c>
      <c r="P53" t="n">
        <v>0</v>
      </c>
      <c r="V53" t="n">
        <v>23.53</v>
      </c>
      <c r="AF53" t="n">
        <v>0</v>
      </c>
      <c r="AG53" t="n">
        <v>0</v>
      </c>
      <c r="AJ53" t="n">
        <v>324</v>
      </c>
      <c r="AK53" t="n">
        <v>941</v>
      </c>
      <c r="BS53" t="n">
        <v>0</v>
      </c>
      <c r="CT53" t="n">
        <v>0</v>
      </c>
      <c r="CY53" t="n">
        <v>0</v>
      </c>
      <c r="DT53" t="n">
        <v>0</v>
      </c>
      <c r="EL53" t="n">
        <v>0</v>
      </c>
      <c r="FO53" t="n">
        <v>0</v>
      </c>
      <c r="GB53" t="n">
        <v>0</v>
      </c>
    </row>
    <row r="54">
      <c r="A54" t="n">
        <v>1999630</v>
      </c>
      <c r="B54" t="inlineStr">
        <is>
          <t>Soy milk, unsweetened, plain, shelf stable</t>
        </is>
      </c>
      <c r="C54" t="inlineStr"/>
      <c r="D54" t="inlineStr">
        <is>
          <t>Foundation</t>
        </is>
      </c>
      <c r="E54" s="9" t="n">
        <v>100</v>
      </c>
      <c r="F54" s="10">
        <f>E54/SUM($E$3:$E$80)</f>
        <v/>
      </c>
      <c r="G54" t="n">
        <v>92.40000000000001</v>
      </c>
      <c r="H54" t="n">
        <v>38.44</v>
      </c>
      <c r="I54" t="n">
        <v>160.83296</v>
      </c>
      <c r="J54" t="n">
        <v>0.5679999999999999</v>
      </c>
      <c r="K54" t="n">
        <v>3.55</v>
      </c>
      <c r="L54" t="n">
        <v>1.88</v>
      </c>
      <c r="M54" t="n">
        <v>2.12</v>
      </c>
      <c r="N54" t="n">
        <v>0.635</v>
      </c>
      <c r="O54" t="n">
        <v>1.29</v>
      </c>
      <c r="P54" t="n">
        <v>0</v>
      </c>
      <c r="V54" t="n">
        <v>0.5570000000000001</v>
      </c>
      <c r="W54" t="n">
        <v>0.5570000000000001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F54" t="n">
        <v>101</v>
      </c>
      <c r="AG54" t="n">
        <v>0.542</v>
      </c>
      <c r="AH54" t="n">
        <v>21.5</v>
      </c>
      <c r="AI54" t="n">
        <v>68.59999999999999</v>
      </c>
      <c r="AJ54" t="n">
        <v>158</v>
      </c>
      <c r="AK54" t="n">
        <v>34.3</v>
      </c>
      <c r="AL54" t="n">
        <v>0.312</v>
      </c>
      <c r="AM54" t="n">
        <v>0.108</v>
      </c>
      <c r="AN54" t="n">
        <v>0.208</v>
      </c>
      <c r="AO54" t="n">
        <v>0</v>
      </c>
      <c r="AP54" t="n">
        <v>1.94</v>
      </c>
      <c r="AQ54" t="n">
        <v>58.4</v>
      </c>
      <c r="AT54" t="n">
        <v>0.06320000000000001</v>
      </c>
      <c r="AU54" t="n">
        <v>0.08400000000000001</v>
      </c>
      <c r="AV54" t="n">
        <v>0.236</v>
      </c>
      <c r="AW54" t="n">
        <v>0.0552</v>
      </c>
      <c r="AX54" t="n">
        <v>19.7</v>
      </c>
      <c r="BH54" t="n">
        <v>0.393</v>
      </c>
      <c r="BJ54" t="n">
        <v>58.2</v>
      </c>
      <c r="BK54" t="n">
        <v>58.2</v>
      </c>
      <c r="BL54" t="n">
        <v>0</v>
      </c>
      <c r="BM54" t="n">
        <v>0</v>
      </c>
      <c r="BN54" t="n">
        <v>0</v>
      </c>
      <c r="BO54" t="n">
        <v>0</v>
      </c>
      <c r="BP54" t="n">
        <v>0</v>
      </c>
      <c r="BQ54" t="n">
        <v>0</v>
      </c>
      <c r="BR54" t="n">
        <v>0</v>
      </c>
      <c r="BT54" t="n">
        <v>0</v>
      </c>
      <c r="BU54" t="n">
        <v>0</v>
      </c>
      <c r="BV54" t="n">
        <v>0</v>
      </c>
      <c r="BW54" t="n">
        <v>8.220000000000001</v>
      </c>
      <c r="BX54" t="n">
        <v>0.966</v>
      </c>
      <c r="BZ54" t="n">
        <v>7.26</v>
      </c>
      <c r="CC54" t="n">
        <v>27.2</v>
      </c>
      <c r="CD54" t="n">
        <v>0.681</v>
      </c>
      <c r="CE54" t="n">
        <v>0.681</v>
      </c>
      <c r="CF54" t="n">
        <v>0</v>
      </c>
      <c r="CK54" t="n">
        <v>0.156</v>
      </c>
      <c r="CM54" t="n">
        <v>0</v>
      </c>
      <c r="CN54" t="n">
        <v>1.42</v>
      </c>
      <c r="CO54" t="n">
        <v>0.874</v>
      </c>
      <c r="CP54" t="n">
        <v>0</v>
      </c>
      <c r="CQ54" t="n">
        <v>0</v>
      </c>
      <c r="CR54" t="n">
        <v>0</v>
      </c>
      <c r="CS54" t="n">
        <v>0</v>
      </c>
      <c r="CV54" t="n">
        <v>3.34</v>
      </c>
      <c r="CY54" t="n">
        <v>0.314</v>
      </c>
      <c r="CZ54" t="n">
        <v>0</v>
      </c>
      <c r="DA54" t="n">
        <v>0</v>
      </c>
      <c r="DB54" t="n">
        <v>0</v>
      </c>
      <c r="DC54" t="n">
        <v>0</v>
      </c>
      <c r="DD54" t="n">
        <v>0</v>
      </c>
      <c r="DE54" t="n">
        <v>0</v>
      </c>
      <c r="DF54" t="n">
        <v>0</v>
      </c>
      <c r="DG54" t="n">
        <v>0</v>
      </c>
      <c r="DH54" t="n">
        <v>0</v>
      </c>
      <c r="DJ54" t="n">
        <v>0.00381</v>
      </c>
      <c r="DK54" t="n">
        <v>0.00169</v>
      </c>
      <c r="DL54" t="n">
        <v>0.218</v>
      </c>
      <c r="DM54" t="n">
        <v>0.002</v>
      </c>
      <c r="DN54" t="n">
        <v>0.0728</v>
      </c>
      <c r="DO54" t="n">
        <v>0.00562</v>
      </c>
      <c r="DP54" t="n">
        <v>0</v>
      </c>
      <c r="DQ54" t="n">
        <v>0.00675</v>
      </c>
      <c r="DR54" t="n">
        <v>0</v>
      </c>
      <c r="DS54" t="n">
        <v>0.00231</v>
      </c>
      <c r="DT54" t="n">
        <v>0.416</v>
      </c>
      <c r="DU54" t="n">
        <v>0</v>
      </c>
      <c r="DW54" t="n">
        <v>0</v>
      </c>
      <c r="DX54" t="n">
        <v>0</v>
      </c>
      <c r="DZ54" t="n">
        <v>0.00194</v>
      </c>
      <c r="EA54" t="n">
        <v>0.001</v>
      </c>
      <c r="EB54" t="n">
        <v>0.001</v>
      </c>
      <c r="ED54" t="n">
        <v>0.409</v>
      </c>
      <c r="EF54" t="n">
        <v>0.00481</v>
      </c>
      <c r="EH54" t="n">
        <v>0</v>
      </c>
      <c r="EI54" t="n">
        <v>0</v>
      </c>
      <c r="EJ54" t="n">
        <v>0</v>
      </c>
      <c r="EK54" t="n">
        <v>0</v>
      </c>
      <c r="EL54" t="n">
        <v>1.15</v>
      </c>
      <c r="EN54" t="n">
        <v>0.988</v>
      </c>
      <c r="EO54" t="n">
        <v>0.988</v>
      </c>
      <c r="EP54" t="n">
        <v>0</v>
      </c>
      <c r="ES54" t="n">
        <v>0.166</v>
      </c>
      <c r="ET54" t="n">
        <v>0.166</v>
      </c>
      <c r="EU54" t="n">
        <v>0</v>
      </c>
      <c r="EV54" t="n">
        <v>0</v>
      </c>
      <c r="EW54" t="n">
        <v>0.000562</v>
      </c>
      <c r="EX54" t="n">
        <v>0.000562</v>
      </c>
      <c r="EZ54" t="n">
        <v>0</v>
      </c>
      <c r="FA54" t="n">
        <v>0</v>
      </c>
      <c r="FB54" t="n">
        <v>0</v>
      </c>
      <c r="FC54" t="n">
        <v>0</v>
      </c>
      <c r="FD54" t="n">
        <v>0</v>
      </c>
      <c r="FE54" t="n">
        <v>0</v>
      </c>
      <c r="FF54" t="n">
        <v>0</v>
      </c>
      <c r="FG54" t="n">
        <v>0</v>
      </c>
      <c r="FH54" t="n">
        <v>0</v>
      </c>
      <c r="FI54" t="n">
        <v>0</v>
      </c>
      <c r="FJ54" t="n">
        <v>0</v>
      </c>
      <c r="FK54" t="n">
        <v>0</v>
      </c>
      <c r="FL54" t="n">
        <v>0</v>
      </c>
      <c r="FM54" t="n">
        <v>0</v>
      </c>
      <c r="FN54" t="n">
        <v>0</v>
      </c>
      <c r="FO54" t="n">
        <v>0</v>
      </c>
      <c r="FP54" t="n">
        <v>0.000812</v>
      </c>
      <c r="FR54" t="n">
        <v>0</v>
      </c>
      <c r="FS54" t="n">
        <v>0</v>
      </c>
      <c r="FT54" t="n">
        <v>0</v>
      </c>
      <c r="FU54" t="n">
        <v>0.000812</v>
      </c>
      <c r="FV54" t="n">
        <v>0.00112</v>
      </c>
      <c r="FX54" t="n">
        <v>0.00112</v>
      </c>
      <c r="FY54" t="n">
        <v>0</v>
      </c>
      <c r="FZ54" t="n">
        <v>0</v>
      </c>
      <c r="GA54" t="n">
        <v>0</v>
      </c>
      <c r="GC54" t="n">
        <v>0.0462</v>
      </c>
      <c r="GD54" t="n">
        <v>0.128</v>
      </c>
      <c r="GE54" t="n">
        <v>0.145</v>
      </c>
      <c r="GF54" t="n">
        <v>0.249</v>
      </c>
      <c r="GG54" t="n">
        <v>0.221</v>
      </c>
      <c r="GH54" t="n">
        <v>0.0462</v>
      </c>
      <c r="GI54" t="n">
        <v>0.175</v>
      </c>
      <c r="GJ54" t="n">
        <v>0.124</v>
      </c>
      <c r="GK54" t="n">
        <v>0.142</v>
      </c>
      <c r="GL54" t="n">
        <v>0.269</v>
      </c>
      <c r="GM54" t="n">
        <v>0.0975</v>
      </c>
      <c r="GN54" t="n">
        <v>0.139</v>
      </c>
      <c r="GO54" t="n">
        <v>0.396</v>
      </c>
      <c r="GP54" t="n">
        <v>0.619</v>
      </c>
      <c r="GQ54" t="n">
        <v>0.141</v>
      </c>
      <c r="GR54" t="n">
        <v>0.137</v>
      </c>
      <c r="GS54" t="n">
        <v>0.168</v>
      </c>
      <c r="GT54" t="n">
        <v>0</v>
      </c>
      <c r="GU54" t="n">
        <v>0.0575</v>
      </c>
      <c r="HI54" t="n">
        <v>0.0262</v>
      </c>
      <c r="HJ54" t="n">
        <v>0.0665</v>
      </c>
      <c r="HK54" t="n">
        <v>0.434</v>
      </c>
      <c r="HL54" t="n">
        <v>12.9</v>
      </c>
      <c r="HM54" t="n">
        <v>18.8</v>
      </c>
      <c r="HN54" t="n">
        <v>1.36</v>
      </c>
      <c r="HO54" t="n">
        <v>0.457</v>
      </c>
      <c r="HP54" t="n">
        <v>0.38</v>
      </c>
    </row>
    <row r="55">
      <c r="A55" t="n">
        <v>1999631</v>
      </c>
      <c r="B55" t="inlineStr">
        <is>
          <t>Almond milk, unsweetened, plain, shelf stable</t>
        </is>
      </c>
      <c r="C55" t="inlineStr"/>
      <c r="D55" t="inlineStr">
        <is>
          <t>Foundation</t>
        </is>
      </c>
      <c r="E55" s="9" t="n">
        <v>100</v>
      </c>
      <c r="F55" s="10">
        <f>E55/SUM($E$3:$E$80)</f>
        <v/>
      </c>
      <c r="G55" t="n">
        <v>97.40000000000001</v>
      </c>
      <c r="H55" t="n">
        <v>14.548</v>
      </c>
      <c r="I55" t="n">
        <v>60.86883200000001</v>
      </c>
      <c r="J55" t="n">
        <v>0.0888</v>
      </c>
      <c r="K55" t="n">
        <v>0.555</v>
      </c>
      <c r="L55" t="n">
        <v>1.11</v>
      </c>
      <c r="M55" t="n">
        <v>1.22</v>
      </c>
      <c r="N55" t="n">
        <v>0.487</v>
      </c>
      <c r="O55" t="n">
        <v>0.337</v>
      </c>
      <c r="P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F55" t="n">
        <v>173</v>
      </c>
      <c r="AG55" t="n">
        <v>0.29</v>
      </c>
      <c r="AH55" t="n">
        <v>6.78</v>
      </c>
      <c r="AI55" t="n">
        <v>29.8</v>
      </c>
      <c r="AJ55" t="n">
        <v>30.8</v>
      </c>
      <c r="AK55" t="n">
        <v>59.6</v>
      </c>
      <c r="AL55" t="n">
        <v>0.172</v>
      </c>
      <c r="AM55" t="n">
        <v>0.0213</v>
      </c>
      <c r="AN55" t="n">
        <v>0.045</v>
      </c>
      <c r="AO55" t="n">
        <v>0</v>
      </c>
      <c r="AP55" t="n">
        <v>0</v>
      </c>
      <c r="AQ55" t="n">
        <v>0</v>
      </c>
      <c r="AT55" t="n">
        <v>0</v>
      </c>
      <c r="AU55" t="n">
        <v>0.0334</v>
      </c>
      <c r="AV55" t="n">
        <v>0.07439999999999999</v>
      </c>
      <c r="AW55" t="n">
        <v>0</v>
      </c>
      <c r="AX55" t="n">
        <v>0</v>
      </c>
      <c r="BH55" t="n">
        <v>0.338</v>
      </c>
      <c r="BJ55" t="n">
        <v>41.4</v>
      </c>
      <c r="BK55" t="n">
        <v>41.4</v>
      </c>
      <c r="CC55" t="n">
        <v>37.1</v>
      </c>
      <c r="CD55" t="n">
        <v>0.927</v>
      </c>
      <c r="CE55" t="n">
        <v>0.927</v>
      </c>
      <c r="CF55" t="n">
        <v>0</v>
      </c>
      <c r="CK55" t="n">
        <v>3.32</v>
      </c>
      <c r="CM55" t="n">
        <v>0</v>
      </c>
      <c r="CN55" t="n">
        <v>0.0275</v>
      </c>
      <c r="CO55" t="n">
        <v>0</v>
      </c>
      <c r="CP55" t="n">
        <v>0</v>
      </c>
      <c r="CQ55" t="n">
        <v>0</v>
      </c>
      <c r="CR55" t="n">
        <v>0</v>
      </c>
      <c r="CS55" t="n">
        <v>0</v>
      </c>
      <c r="CV55" t="n">
        <v>1.02</v>
      </c>
      <c r="CY55" t="n">
        <v>0.104</v>
      </c>
      <c r="CZ55" t="n">
        <v>0.00369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J55" t="n">
        <v>0.00238</v>
      </c>
      <c r="DK55" t="n">
        <v>0.00125</v>
      </c>
      <c r="DL55" t="n">
        <v>0.07779999999999999</v>
      </c>
      <c r="DM55" t="n">
        <v>0.000875</v>
      </c>
      <c r="DN55" t="n">
        <v>0.0195</v>
      </c>
      <c r="DO55" t="n">
        <v>0</v>
      </c>
      <c r="DP55" t="n">
        <v>0</v>
      </c>
      <c r="DQ55" t="n">
        <v>0</v>
      </c>
      <c r="DR55" t="n">
        <v>0</v>
      </c>
      <c r="DS55" t="n">
        <v>0</v>
      </c>
      <c r="DT55" t="n">
        <v>0.729</v>
      </c>
      <c r="DU55" t="n">
        <v>0</v>
      </c>
      <c r="DW55" t="n">
        <v>0</v>
      </c>
      <c r="DX55" t="n">
        <v>0</v>
      </c>
      <c r="DZ55" t="n">
        <v>0.00581</v>
      </c>
      <c r="EA55" t="n">
        <v>0.00125</v>
      </c>
      <c r="EB55" t="n">
        <v>0.00125</v>
      </c>
      <c r="ED55" t="n">
        <v>0.721</v>
      </c>
      <c r="EF55" t="n">
        <v>0.000875</v>
      </c>
      <c r="EH55" t="n">
        <v>0</v>
      </c>
      <c r="EI55" t="n">
        <v>0</v>
      </c>
      <c r="EJ55" t="n">
        <v>0</v>
      </c>
      <c r="EK55" t="n">
        <v>0</v>
      </c>
      <c r="EL55" t="n">
        <v>0.276</v>
      </c>
      <c r="EN55" t="n">
        <v>0.276</v>
      </c>
      <c r="EO55" t="n">
        <v>0.276</v>
      </c>
      <c r="EP55" t="n">
        <v>0</v>
      </c>
      <c r="ES55" t="n">
        <v>0.000625</v>
      </c>
      <c r="ET55" t="n">
        <v>0.000625</v>
      </c>
      <c r="EU55" t="n">
        <v>0</v>
      </c>
      <c r="EV55" t="n">
        <v>0</v>
      </c>
      <c r="EW55" t="n">
        <v>0</v>
      </c>
      <c r="EX55" t="n">
        <v>0</v>
      </c>
      <c r="EZ55" t="n">
        <v>0</v>
      </c>
      <c r="FA55" t="n">
        <v>0</v>
      </c>
      <c r="FB55" t="n">
        <v>0</v>
      </c>
      <c r="FC55" t="n">
        <v>0</v>
      </c>
      <c r="FD55" t="n">
        <v>0</v>
      </c>
      <c r="FE55" t="n">
        <v>0</v>
      </c>
      <c r="FF55" t="n">
        <v>0</v>
      </c>
      <c r="FG55" t="n">
        <v>0</v>
      </c>
      <c r="FH55" t="n">
        <v>0</v>
      </c>
      <c r="FI55" t="n">
        <v>0</v>
      </c>
      <c r="FJ55" t="n">
        <v>0</v>
      </c>
      <c r="FK55" t="n">
        <v>0</v>
      </c>
      <c r="FL55" t="n">
        <v>0</v>
      </c>
      <c r="FM55" t="n">
        <v>0</v>
      </c>
      <c r="FN55" t="n">
        <v>0</v>
      </c>
      <c r="FO55" t="n">
        <v>0</v>
      </c>
      <c r="FP55" t="n">
        <v>0</v>
      </c>
      <c r="FR55" t="n">
        <v>0</v>
      </c>
      <c r="FS55" t="n">
        <v>0</v>
      </c>
      <c r="FT55" t="n">
        <v>0</v>
      </c>
      <c r="FU55" t="n">
        <v>0</v>
      </c>
      <c r="FV55" t="n">
        <v>0.000125</v>
      </c>
      <c r="FX55" t="n">
        <v>0.000125</v>
      </c>
      <c r="FY55" t="n">
        <v>0</v>
      </c>
      <c r="FZ55" t="n">
        <v>0</v>
      </c>
      <c r="GA55" t="n">
        <v>0</v>
      </c>
      <c r="HI55" t="n">
        <v>0</v>
      </c>
      <c r="HJ55" t="n">
        <v>0.00788</v>
      </c>
      <c r="HK55" t="n">
        <v>0.0075</v>
      </c>
    </row>
    <row r="56">
      <c r="A56" t="n">
        <v>2003591</v>
      </c>
      <c r="B56" t="inlineStr">
        <is>
          <t>Orange juice, no pulp, not fortified, from concentrate, refrigerated</t>
        </is>
      </c>
      <c r="C56" t="inlineStr"/>
      <c r="D56" t="inlineStr">
        <is>
          <t>Foundation</t>
        </is>
      </c>
      <c r="E56" s="9" t="n">
        <v>100</v>
      </c>
      <c r="F56" s="10">
        <f>E56/SUM($E$3:$E$80)</f>
        <v/>
      </c>
      <c r="G56" t="n">
        <v>88.2</v>
      </c>
      <c r="H56" t="n">
        <v>47.061</v>
      </c>
      <c r="I56" t="n">
        <v>196.903224</v>
      </c>
      <c r="J56" t="n">
        <v>0.118</v>
      </c>
      <c r="K56" t="n">
        <v>0.734</v>
      </c>
      <c r="L56" t="n">
        <v>0.325</v>
      </c>
      <c r="M56" t="n">
        <v>0.325</v>
      </c>
      <c r="N56" t="n">
        <v>0.35</v>
      </c>
      <c r="O56" t="n">
        <v>10.3</v>
      </c>
      <c r="V56" t="n">
        <v>8.279999999999999</v>
      </c>
      <c r="W56" t="n">
        <v>4.39</v>
      </c>
      <c r="X56" t="n">
        <v>1.79</v>
      </c>
      <c r="Y56" t="n">
        <v>2.1</v>
      </c>
      <c r="Z56" t="n">
        <v>0</v>
      </c>
      <c r="AA56" t="n">
        <v>0</v>
      </c>
      <c r="AB56" t="n">
        <v>0</v>
      </c>
      <c r="AF56" t="n">
        <v>12.8</v>
      </c>
      <c r="AG56" t="n">
        <v>0.0646</v>
      </c>
      <c r="AH56" t="n">
        <v>10.6</v>
      </c>
      <c r="AI56" t="n">
        <v>18.2</v>
      </c>
      <c r="AJ56" t="n">
        <v>180</v>
      </c>
      <c r="AK56" t="n">
        <v>5.23</v>
      </c>
      <c r="AL56" t="n">
        <v>0.0319</v>
      </c>
      <c r="AM56" t="n">
        <v>0.0322</v>
      </c>
      <c r="AN56" t="n">
        <v>0.0299</v>
      </c>
      <c r="AT56" t="n">
        <v>0.0701</v>
      </c>
      <c r="AV56" t="n">
        <v>0.0403</v>
      </c>
      <c r="AW56" t="n">
        <v>0.0429</v>
      </c>
      <c r="AX56" t="n">
        <v>29.8</v>
      </c>
      <c r="CT56" t="n">
        <v>26.9</v>
      </c>
      <c r="HE56" t="n">
        <v>706</v>
      </c>
      <c r="HF56" t="n">
        <v>161</v>
      </c>
      <c r="HG56" t="n">
        <v>0</v>
      </c>
      <c r="HH56" t="n">
        <v>12.3</v>
      </c>
    </row>
    <row r="57">
      <c r="A57" t="n">
        <v>2003597</v>
      </c>
      <c r="B57" t="inlineStr">
        <is>
          <t>Orange juice, no pulp, not fortified, not from concentrate, refrigerated</t>
        </is>
      </c>
      <c r="C57" t="inlineStr"/>
      <c r="D57" t="inlineStr">
        <is>
          <t>Foundation</t>
        </is>
      </c>
      <c r="E57" s="9" t="n">
        <v>100</v>
      </c>
      <c r="F57" s="10">
        <f>E57/SUM($E$3:$E$80)</f>
        <v/>
      </c>
      <c r="G57" t="n">
        <v>88.5</v>
      </c>
      <c r="H57" t="n">
        <v>46.452</v>
      </c>
      <c r="I57" t="n">
        <v>194.355168</v>
      </c>
      <c r="J57" t="n">
        <v>0.13</v>
      </c>
      <c r="K57" t="n">
        <v>0.8120000000000001</v>
      </c>
      <c r="L57" t="n">
        <v>0.356</v>
      </c>
      <c r="M57" t="n">
        <v>0.356</v>
      </c>
      <c r="N57" t="n">
        <v>0.339</v>
      </c>
      <c r="O57" t="n">
        <v>10</v>
      </c>
      <c r="V57" t="n">
        <v>8.08</v>
      </c>
      <c r="W57" t="n">
        <v>4.14</v>
      </c>
      <c r="X57" t="n">
        <v>1.81</v>
      </c>
      <c r="Y57" t="n">
        <v>2.12</v>
      </c>
      <c r="Z57" t="n">
        <v>0</v>
      </c>
      <c r="AA57" t="n">
        <v>0</v>
      </c>
      <c r="AB57" t="n">
        <v>0</v>
      </c>
      <c r="AF57" t="n">
        <v>9.289999999999999</v>
      </c>
      <c r="AG57" t="n">
        <v>0.0706</v>
      </c>
      <c r="AH57" t="n">
        <v>10.3</v>
      </c>
      <c r="AI57" t="n">
        <v>19</v>
      </c>
      <c r="AJ57" t="n">
        <v>183</v>
      </c>
      <c r="AK57" t="n">
        <v>0.075</v>
      </c>
      <c r="AL57" t="n">
        <v>0.0321</v>
      </c>
      <c r="AM57" t="n">
        <v>0.0353</v>
      </c>
      <c r="AN57" t="n">
        <v>0.0277</v>
      </c>
      <c r="AT57" t="n">
        <v>0.0746</v>
      </c>
      <c r="AV57" t="n">
        <v>0.0291</v>
      </c>
      <c r="AW57" t="n">
        <v>0.0411</v>
      </c>
      <c r="AX57" t="n">
        <v>29</v>
      </c>
      <c r="CT57" t="n">
        <v>30.5</v>
      </c>
      <c r="HE57" t="n">
        <v>757</v>
      </c>
      <c r="HF57" t="n">
        <v>160</v>
      </c>
      <c r="HG57" t="n">
        <v>0</v>
      </c>
      <c r="HH57" t="n">
        <v>0</v>
      </c>
    </row>
    <row r="58">
      <c r="A58" t="n">
        <v>2035482</v>
      </c>
      <c r="B58" t="inlineStr">
        <is>
          <t>GREEK YOGURT</t>
        </is>
      </c>
      <c r="C58" t="inlineStr">
        <is>
          <t>Ocean Spray Cranberries, Inc.</t>
        </is>
      </c>
      <c r="D58" t="inlineStr">
        <is>
          <t>Branded</t>
        </is>
      </c>
      <c r="E58" s="9" t="n">
        <v>100</v>
      </c>
      <c r="F58" s="10">
        <f>E58/SUM($E$3:$E$80)</f>
        <v/>
      </c>
      <c r="G58" t="n">
        <v>3.370000000000005</v>
      </c>
      <c r="H58" t="n">
        <v>473.32</v>
      </c>
      <c r="I58" t="n">
        <v>1980.37088</v>
      </c>
      <c r="J58" t="n">
        <v>0.5328000000000001</v>
      </c>
      <c r="K58" t="n">
        <v>3.33</v>
      </c>
      <c r="L58" t="n">
        <v>20</v>
      </c>
      <c r="M58" t="n">
        <v>20</v>
      </c>
      <c r="O58" t="n">
        <v>70</v>
      </c>
      <c r="P58" t="n">
        <v>3.3</v>
      </c>
      <c r="V58" t="n">
        <v>70</v>
      </c>
      <c r="AF58" t="n">
        <v>133</v>
      </c>
      <c r="AG58" t="n">
        <v>0</v>
      </c>
      <c r="AK58" t="n">
        <v>33</v>
      </c>
      <c r="BS58" t="n">
        <v>0</v>
      </c>
      <c r="CT58" t="n">
        <v>0</v>
      </c>
      <c r="CY58" t="n">
        <v>16.7</v>
      </c>
      <c r="FO58" t="n">
        <v>0</v>
      </c>
      <c r="GB58" t="n">
        <v>0</v>
      </c>
    </row>
    <row r="59">
      <c r="A59" t="n">
        <v>2257044</v>
      </c>
      <c r="B59" t="inlineStr">
        <is>
          <t>Soy milk, sweetened, plain, refrigerated</t>
        </is>
      </c>
      <c r="C59" t="inlineStr"/>
      <c r="D59" t="inlineStr">
        <is>
          <t>Foundation</t>
        </is>
      </c>
      <c r="E59" s="9" t="n">
        <v>100</v>
      </c>
      <c r="F59" s="10">
        <f>E59/SUM($E$3:$E$80)</f>
        <v/>
      </c>
      <c r="G59" t="n">
        <v>91.5</v>
      </c>
      <c r="H59" t="n">
        <v>40.76</v>
      </c>
      <c r="I59" t="n">
        <v>170.53984</v>
      </c>
      <c r="J59" t="n">
        <v>0.444</v>
      </c>
      <c r="K59" t="n">
        <v>2.78</v>
      </c>
      <c r="L59" t="n">
        <v>1.96</v>
      </c>
      <c r="M59" t="n">
        <v>1.96</v>
      </c>
      <c r="N59" t="n">
        <v>0.75</v>
      </c>
      <c r="O59" t="n">
        <v>3</v>
      </c>
      <c r="P59" t="n">
        <v>0</v>
      </c>
      <c r="W59" t="n">
        <v>2.58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F59" t="n">
        <v>155</v>
      </c>
      <c r="AG59" t="n">
        <v>0.367</v>
      </c>
      <c r="AH59" t="n">
        <v>17.5</v>
      </c>
      <c r="AI59" t="n">
        <v>46</v>
      </c>
      <c r="AJ59" t="n">
        <v>118</v>
      </c>
      <c r="AK59" t="n">
        <v>39.4</v>
      </c>
      <c r="AL59" t="n">
        <v>0.264</v>
      </c>
      <c r="AM59" t="n">
        <v>0.0956</v>
      </c>
      <c r="AN59" t="n">
        <v>0.16</v>
      </c>
      <c r="AP59" t="n">
        <v>0</v>
      </c>
      <c r="AQ59" t="n">
        <v>32.3</v>
      </c>
      <c r="AT59" t="n">
        <v>0.0436</v>
      </c>
      <c r="AU59" t="n">
        <v>0.331</v>
      </c>
      <c r="AV59" t="n">
        <v>0.133</v>
      </c>
      <c r="AW59" t="n">
        <v>0.0364</v>
      </c>
      <c r="AX59" t="n">
        <v>15.8</v>
      </c>
      <c r="BH59" t="n">
        <v>1.33</v>
      </c>
      <c r="BK59" t="n">
        <v>89.40000000000001</v>
      </c>
      <c r="CC59" t="n">
        <v>185</v>
      </c>
      <c r="CD59" t="n">
        <v>4.63</v>
      </c>
      <c r="CE59" t="n">
        <v>4.61</v>
      </c>
      <c r="CF59" t="n">
        <v>0.0201</v>
      </c>
      <c r="CH59" t="n">
        <v>2.8</v>
      </c>
      <c r="CI59" t="n">
        <v>0</v>
      </c>
      <c r="CJ59" t="n">
        <v>0</v>
      </c>
      <c r="CV59" t="n">
        <v>2.16</v>
      </c>
      <c r="GC59" t="n">
        <v>0.0343</v>
      </c>
      <c r="GD59" t="n">
        <v>0.1</v>
      </c>
      <c r="GE59" t="n">
        <v>0.1</v>
      </c>
      <c r="GF59" t="n">
        <v>0.2</v>
      </c>
      <c r="GG59" t="n">
        <v>0.2</v>
      </c>
      <c r="GH59" t="n">
        <v>0.0329</v>
      </c>
      <c r="GI59" t="n">
        <v>0.157</v>
      </c>
      <c r="GJ59" t="n">
        <v>0.1</v>
      </c>
      <c r="GK59" t="n">
        <v>0.101</v>
      </c>
      <c r="GL59" t="n">
        <v>0.2</v>
      </c>
      <c r="GM59" t="n">
        <v>0.1</v>
      </c>
      <c r="GN59" t="n">
        <v>0.1</v>
      </c>
      <c r="GO59" t="n">
        <v>0.329</v>
      </c>
      <c r="GP59" t="n">
        <v>0.486</v>
      </c>
      <c r="GQ59" t="n">
        <v>0.1</v>
      </c>
      <c r="GR59" t="n">
        <v>0.114</v>
      </c>
      <c r="GS59" t="n">
        <v>0.171</v>
      </c>
      <c r="GT59" t="n">
        <v>0</v>
      </c>
      <c r="GU59" t="n">
        <v>0.0486</v>
      </c>
      <c r="HL59" t="n">
        <v>7.96</v>
      </c>
      <c r="HM59" t="n">
        <v>14.7</v>
      </c>
      <c r="HN59" t="n">
        <v>0.364</v>
      </c>
      <c r="HO59" t="n">
        <v>0.139</v>
      </c>
      <c r="HP59" t="n">
        <v>0.236</v>
      </c>
    </row>
    <row r="60">
      <c r="A60" t="n">
        <v>2257045</v>
      </c>
      <c r="B60" t="inlineStr">
        <is>
          <t>Almond milk, unsweetened, plain, refrigerated</t>
        </is>
      </c>
      <c r="C60" t="inlineStr"/>
      <c r="D60" t="inlineStr">
        <is>
          <t>Foundation</t>
        </is>
      </c>
      <c r="E60" s="9" t="n">
        <v>100</v>
      </c>
      <c r="F60" s="10">
        <f>E60/SUM($E$3:$E$80)</f>
        <v/>
      </c>
      <c r="G60" t="n">
        <v>96.5</v>
      </c>
      <c r="H60" t="n">
        <v>19.348</v>
      </c>
      <c r="I60" t="n">
        <v>80.952032</v>
      </c>
      <c r="J60" t="n">
        <v>0.105</v>
      </c>
      <c r="K60" t="n">
        <v>0.656</v>
      </c>
      <c r="L60" t="n">
        <v>1.56</v>
      </c>
      <c r="M60" t="n">
        <v>1.56</v>
      </c>
      <c r="N60" t="n">
        <v>0.595</v>
      </c>
      <c r="O60" t="n">
        <v>0.671</v>
      </c>
      <c r="P60" t="n">
        <v>0</v>
      </c>
      <c r="W60" t="n">
        <v>0.0386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F60" t="n">
        <v>158</v>
      </c>
      <c r="AG60" t="n">
        <v>0.125</v>
      </c>
      <c r="AH60" t="n">
        <v>8.25</v>
      </c>
      <c r="AI60" t="n">
        <v>19.1</v>
      </c>
      <c r="AJ60" t="n">
        <v>49.3</v>
      </c>
      <c r="AK60" t="n">
        <v>59.2</v>
      </c>
      <c r="AL60" t="n">
        <v>0.0766</v>
      </c>
      <c r="AM60" t="n">
        <v>0.0269</v>
      </c>
      <c r="AN60" t="n">
        <v>0.0564</v>
      </c>
      <c r="AT60" t="n">
        <v>0.005</v>
      </c>
      <c r="AU60" t="n">
        <v>0.0833</v>
      </c>
      <c r="AV60" t="n">
        <v>0.0888</v>
      </c>
      <c r="AW60" t="n">
        <v>0</v>
      </c>
      <c r="AX60" t="n">
        <v>0</v>
      </c>
      <c r="BH60" t="n">
        <v>0.449</v>
      </c>
      <c r="BK60" t="n">
        <v>60.9</v>
      </c>
      <c r="CC60" t="n">
        <v>63.6</v>
      </c>
      <c r="CD60" t="n">
        <v>1.59</v>
      </c>
      <c r="CE60" t="n">
        <v>1.58</v>
      </c>
      <c r="CF60" t="n">
        <v>0.0102</v>
      </c>
      <c r="CH60" t="n">
        <v>0</v>
      </c>
      <c r="CI60" t="n">
        <v>0</v>
      </c>
      <c r="CJ60" t="n">
        <v>0</v>
      </c>
      <c r="CV60" t="n">
        <v>1.42</v>
      </c>
      <c r="GC60" t="n">
        <v>0.00125</v>
      </c>
      <c r="GD60" t="n">
        <v>0.01</v>
      </c>
      <c r="GE60" t="n">
        <v>0.0262</v>
      </c>
      <c r="GF60" t="n">
        <v>0.0462</v>
      </c>
      <c r="GG60" t="n">
        <v>0.0312</v>
      </c>
      <c r="GH60" t="n">
        <v>0.00125</v>
      </c>
      <c r="GI60" t="n">
        <v>0.0425</v>
      </c>
      <c r="GJ60" t="n">
        <v>0.0188</v>
      </c>
      <c r="GK60" t="n">
        <v>0.0175</v>
      </c>
      <c r="GL60" t="n">
        <v>0.0925</v>
      </c>
      <c r="GM60" t="n">
        <v>0.0138</v>
      </c>
      <c r="GN60" t="n">
        <v>0.0288</v>
      </c>
      <c r="GO60" t="n">
        <v>0.0775</v>
      </c>
      <c r="GP60" t="n">
        <v>0.138</v>
      </c>
      <c r="GQ60" t="n">
        <v>0.045</v>
      </c>
      <c r="GR60" t="n">
        <v>0.0312</v>
      </c>
      <c r="GS60" t="n">
        <v>0.02</v>
      </c>
      <c r="GT60" t="n">
        <v>0</v>
      </c>
      <c r="GU60" t="n">
        <v>0.00125</v>
      </c>
    </row>
    <row r="61">
      <c r="A61" t="n">
        <v>2257046</v>
      </c>
      <c r="B61" t="inlineStr">
        <is>
          <t>Oat milk, unsweetened, plain, refrigerated</t>
        </is>
      </c>
      <c r="C61" t="inlineStr"/>
      <c r="D61" t="inlineStr">
        <is>
          <t>Foundation</t>
        </is>
      </c>
      <c r="E61" s="9" t="n">
        <v>100</v>
      </c>
      <c r="F61" s="10">
        <f>E61/SUM($E$3:$E$80)</f>
        <v/>
      </c>
      <c r="G61" t="n">
        <v>90.59999999999999</v>
      </c>
      <c r="H61" t="n">
        <v>48.33799999999999</v>
      </c>
      <c r="I61" t="n">
        <v>202.246192</v>
      </c>
      <c r="J61" t="n">
        <v>0.128</v>
      </c>
      <c r="K61" t="n">
        <v>0.797</v>
      </c>
      <c r="L61" t="n">
        <v>2.75</v>
      </c>
      <c r="M61" t="n">
        <v>2.75</v>
      </c>
      <c r="N61" t="n">
        <v>0.794</v>
      </c>
      <c r="O61" t="n">
        <v>5.1</v>
      </c>
      <c r="P61" t="n">
        <v>0</v>
      </c>
      <c r="V61" t="n">
        <v>2.32</v>
      </c>
      <c r="W61" t="n">
        <v>0</v>
      </c>
      <c r="X61" t="n">
        <v>0.771</v>
      </c>
      <c r="Y61" t="n">
        <v>0</v>
      </c>
      <c r="Z61" t="n">
        <v>0</v>
      </c>
      <c r="AA61" t="n">
        <v>1.55</v>
      </c>
      <c r="AB61" t="n">
        <v>0</v>
      </c>
      <c r="AF61" t="n">
        <v>148</v>
      </c>
      <c r="AG61" t="n">
        <v>0.261</v>
      </c>
      <c r="AH61" t="n">
        <v>5.91</v>
      </c>
      <c r="AI61" t="n">
        <v>89.2</v>
      </c>
      <c r="AJ61" t="n">
        <v>148</v>
      </c>
      <c r="AK61" t="n">
        <v>42</v>
      </c>
      <c r="AL61" t="n">
        <v>0.0906</v>
      </c>
      <c r="AM61" t="n">
        <v>0.0271</v>
      </c>
      <c r="AN61" t="n">
        <v>0.126</v>
      </c>
      <c r="AP61" t="n">
        <v>0</v>
      </c>
      <c r="AQ61" t="n">
        <v>10.1</v>
      </c>
      <c r="AT61" t="n">
        <v>0.04</v>
      </c>
      <c r="AU61" t="n">
        <v>0.281</v>
      </c>
      <c r="AV61" t="n">
        <v>0.09619999999999999</v>
      </c>
      <c r="AW61" t="n">
        <v>0.0065</v>
      </c>
      <c r="AX61" t="n">
        <v>0</v>
      </c>
      <c r="BH61" t="n">
        <v>0.506</v>
      </c>
      <c r="BK61" t="n">
        <v>84.7</v>
      </c>
      <c r="CC61" t="n">
        <v>68</v>
      </c>
      <c r="CD61" t="n">
        <v>1.7</v>
      </c>
      <c r="CE61" t="n">
        <v>1.69</v>
      </c>
      <c r="CF61" t="n">
        <v>0.00769</v>
      </c>
      <c r="CH61" t="n">
        <v>0.4</v>
      </c>
      <c r="CI61" t="n">
        <v>0</v>
      </c>
      <c r="CJ61" t="n">
        <v>0</v>
      </c>
      <c r="CV61" t="n">
        <v>1.41</v>
      </c>
      <c r="GC61" t="n">
        <v>0.008750000000000001</v>
      </c>
      <c r="GD61" t="n">
        <v>0.0225</v>
      </c>
      <c r="GE61" t="n">
        <v>0.025</v>
      </c>
      <c r="GF61" t="n">
        <v>0.08119999999999999</v>
      </c>
      <c r="GG61" t="n">
        <v>0.0612</v>
      </c>
      <c r="GH61" t="n">
        <v>0.01</v>
      </c>
      <c r="GI61" t="n">
        <v>0.0725</v>
      </c>
      <c r="GJ61" t="n">
        <v>0.0412</v>
      </c>
      <c r="GK61" t="n">
        <v>0.0325</v>
      </c>
      <c r="GL61" t="n">
        <v>0.0825</v>
      </c>
      <c r="GM61" t="n">
        <v>0.0175</v>
      </c>
      <c r="GN61" t="n">
        <v>0.0375</v>
      </c>
      <c r="GO61" t="n">
        <v>0.0825</v>
      </c>
      <c r="GP61" t="n">
        <v>0.15</v>
      </c>
      <c r="GQ61" t="n">
        <v>0.0562</v>
      </c>
      <c r="GR61" t="n">
        <v>0.0725</v>
      </c>
      <c r="GS61" t="n">
        <v>0.0562</v>
      </c>
      <c r="GT61" t="n">
        <v>0</v>
      </c>
      <c r="GU61" t="n">
        <v>0.025</v>
      </c>
    </row>
    <row r="62">
      <c r="A62" t="n">
        <v>2259796</v>
      </c>
      <c r="B62" t="inlineStr">
        <is>
          <t>Cheese, feta, whole milk, crumbled</t>
        </is>
      </c>
      <c r="C62" t="inlineStr"/>
      <c r="D62" t="inlineStr">
        <is>
          <t>Foundation</t>
        </is>
      </c>
      <c r="E62" s="9" t="n">
        <v>100</v>
      </c>
      <c r="F62" s="10">
        <f>E62/SUM($E$3:$E$80)</f>
        <v/>
      </c>
      <c r="G62" t="n">
        <v>51.9</v>
      </c>
      <c r="H62" t="n">
        <v>273.02</v>
      </c>
      <c r="I62" t="n">
        <v>1142.31568</v>
      </c>
      <c r="J62" t="n">
        <v>3.09</v>
      </c>
      <c r="K62" t="n">
        <v>19.7</v>
      </c>
      <c r="L62" t="n">
        <v>19.1</v>
      </c>
      <c r="M62" t="n">
        <v>19.1</v>
      </c>
      <c r="N62" t="n">
        <v>3.74</v>
      </c>
      <c r="O62" t="n">
        <v>5.58</v>
      </c>
      <c r="V62" t="n">
        <v>1.63</v>
      </c>
      <c r="W62" t="n">
        <v>0</v>
      </c>
      <c r="X62" t="n">
        <v>0.586</v>
      </c>
      <c r="Y62" t="n">
        <v>0</v>
      </c>
      <c r="Z62" t="n">
        <v>0.61</v>
      </c>
      <c r="AA62" t="n">
        <v>0</v>
      </c>
      <c r="AB62" t="n">
        <v>0.429</v>
      </c>
      <c r="AF62" t="n">
        <v>371</v>
      </c>
      <c r="AG62" t="n">
        <v>0.0675</v>
      </c>
      <c r="AH62" t="n">
        <v>17.7</v>
      </c>
      <c r="AI62" t="n">
        <v>328</v>
      </c>
      <c r="AJ62" t="n">
        <v>105</v>
      </c>
      <c r="AK62" t="n">
        <v>1030</v>
      </c>
      <c r="AL62" t="n">
        <v>2.35</v>
      </c>
      <c r="AM62" t="n">
        <v>0.0316</v>
      </c>
      <c r="AN62" t="n">
        <v>0.02</v>
      </c>
      <c r="AO62" t="n">
        <v>48.4</v>
      </c>
      <c r="AT62" t="n">
        <v>0.0564</v>
      </c>
      <c r="AU62" t="n">
        <v>0.444</v>
      </c>
      <c r="AV62" t="n">
        <v>0.264</v>
      </c>
      <c r="AW62" t="n">
        <v>0.0383</v>
      </c>
      <c r="BK62" t="n">
        <v>147</v>
      </c>
      <c r="CC62" t="n">
        <v>0</v>
      </c>
      <c r="CD62" t="n">
        <v>0</v>
      </c>
      <c r="CE62" t="n">
        <v>0</v>
      </c>
      <c r="CF62" t="n">
        <v>0</v>
      </c>
      <c r="CH62" t="n">
        <v>1.2</v>
      </c>
      <c r="CI62" t="n">
        <v>0</v>
      </c>
      <c r="CJ62" t="n">
        <v>4.8</v>
      </c>
      <c r="CV62" t="n">
        <v>0.464</v>
      </c>
      <c r="CY62" t="n">
        <v>11.2</v>
      </c>
      <c r="CZ62" t="n">
        <v>0.404</v>
      </c>
      <c r="DB62" t="n">
        <v>0.334</v>
      </c>
      <c r="DF62" t="n">
        <v>0.481</v>
      </c>
      <c r="DH62" t="n">
        <v>0.545</v>
      </c>
      <c r="DJ62" t="n">
        <v>1.8</v>
      </c>
      <c r="DL62" t="n">
        <v>5.31</v>
      </c>
      <c r="DN62" t="n">
        <v>1.74</v>
      </c>
      <c r="DT62" t="n">
        <v>4.18</v>
      </c>
      <c r="DZ62" t="n">
        <v>0.285</v>
      </c>
      <c r="ED62" t="n">
        <v>3.66</v>
      </c>
      <c r="EO62" t="n">
        <v>0.424</v>
      </c>
      <c r="GB62" t="n">
        <v>57.5</v>
      </c>
    </row>
    <row r="63">
      <c r="A63" t="n">
        <v>2340810</v>
      </c>
      <c r="B63" t="inlineStr">
        <is>
          <t>Yogurt, Greek, NS as to type of milk, fruit</t>
        </is>
      </c>
      <c r="C63" t="inlineStr"/>
      <c r="D63" t="inlineStr">
        <is>
          <t>Survey (FNDDS)</t>
        </is>
      </c>
      <c r="E63" s="9" t="n">
        <v>100</v>
      </c>
      <c r="F63" s="10">
        <f>E63/SUM($E$3:$E$80)</f>
        <v/>
      </c>
      <c r="G63" t="n">
        <v>76.41</v>
      </c>
      <c r="H63" t="n">
        <v>104.97</v>
      </c>
      <c r="I63" t="n">
        <v>439.19448</v>
      </c>
      <c r="J63" t="n">
        <v>1.3072</v>
      </c>
      <c r="K63" t="n">
        <v>8.17</v>
      </c>
      <c r="L63" t="n">
        <v>2.57</v>
      </c>
      <c r="M63" t="n">
        <v>2.57</v>
      </c>
      <c r="O63" t="n">
        <v>12.29</v>
      </c>
      <c r="P63" t="n">
        <v>1</v>
      </c>
      <c r="V63" t="n">
        <v>11.23</v>
      </c>
      <c r="AF63" t="n">
        <v>88</v>
      </c>
      <c r="AG63" t="n">
        <v>0.07000000000000001</v>
      </c>
      <c r="AH63" t="n">
        <v>10</v>
      </c>
      <c r="AI63" t="n">
        <v>109</v>
      </c>
      <c r="AJ63" t="n">
        <v>129</v>
      </c>
      <c r="AK63" t="n">
        <v>33</v>
      </c>
      <c r="AL63" t="n">
        <v>0.41</v>
      </c>
      <c r="AM63" t="n">
        <v>0.019</v>
      </c>
      <c r="AP63" t="n">
        <v>9.6</v>
      </c>
      <c r="AS63" t="n">
        <v>9</v>
      </c>
      <c r="AT63" t="n">
        <v>0.037</v>
      </c>
      <c r="AU63" t="n">
        <v>0.235</v>
      </c>
      <c r="AV63" t="n">
        <v>0.205</v>
      </c>
      <c r="AW63" t="n">
        <v>0.049</v>
      </c>
      <c r="AX63" t="n">
        <v>9</v>
      </c>
      <c r="AY63" t="n">
        <v>0</v>
      </c>
      <c r="AZ63" t="n">
        <v>9</v>
      </c>
      <c r="BA63" t="n">
        <v>14</v>
      </c>
      <c r="BH63" t="n">
        <v>0.5</v>
      </c>
      <c r="BI63" t="n">
        <v>0</v>
      </c>
      <c r="BJ63" t="n">
        <v>31</v>
      </c>
      <c r="BK63" t="n">
        <v>30</v>
      </c>
      <c r="BL63" t="n">
        <v>7</v>
      </c>
      <c r="BO63" t="n">
        <v>0</v>
      </c>
      <c r="BQ63" t="n">
        <v>0</v>
      </c>
      <c r="BT63" t="n">
        <v>0</v>
      </c>
      <c r="BW63" t="n">
        <v>7</v>
      </c>
      <c r="CD63" t="n">
        <v>0.9</v>
      </c>
      <c r="CH63" t="n">
        <v>0</v>
      </c>
      <c r="CK63" t="n">
        <v>0.02</v>
      </c>
      <c r="CL63" t="n">
        <v>0</v>
      </c>
      <c r="CT63" t="n">
        <v>0.7</v>
      </c>
      <c r="CW63" t="n">
        <v>0</v>
      </c>
      <c r="CX63" t="n">
        <v>0</v>
      </c>
      <c r="CY63" t="n">
        <v>1.599</v>
      </c>
      <c r="CZ63" t="n">
        <v>0.06</v>
      </c>
      <c r="DB63" t="n">
        <v>0.046</v>
      </c>
      <c r="DD63" t="n">
        <v>0.031</v>
      </c>
      <c r="DF63" t="n">
        <v>0.08400000000000001</v>
      </c>
      <c r="DH63" t="n">
        <v>0.081</v>
      </c>
      <c r="DJ63" t="n">
        <v>0.254</v>
      </c>
      <c r="DL63" t="n">
        <v>0.746</v>
      </c>
      <c r="DN63" t="n">
        <v>0.25</v>
      </c>
      <c r="DT63" t="n">
        <v>0.65</v>
      </c>
      <c r="DY63" t="n">
        <v>0.042</v>
      </c>
      <c r="EC63" t="n">
        <v>0.573</v>
      </c>
      <c r="EE63" t="n">
        <v>0.005</v>
      </c>
      <c r="EG63" t="n">
        <v>0</v>
      </c>
      <c r="EL63" t="n">
        <v>0.113</v>
      </c>
      <c r="EM63" t="n">
        <v>0.092</v>
      </c>
      <c r="ER63" t="n">
        <v>0.011</v>
      </c>
      <c r="EV63" t="n">
        <v>0</v>
      </c>
      <c r="FD63" t="n">
        <v>0.004</v>
      </c>
      <c r="FG63" t="n">
        <v>0</v>
      </c>
      <c r="FL63" t="n">
        <v>0.002</v>
      </c>
      <c r="FN63" t="n">
        <v>0</v>
      </c>
      <c r="GB63" t="n">
        <v>12</v>
      </c>
      <c r="HQ63" t="n">
        <v>0</v>
      </c>
    </row>
    <row r="64">
      <c r="A64" t="n">
        <v>2345173</v>
      </c>
      <c r="B64" t="inlineStr">
        <is>
          <t>Carrots, raw</t>
        </is>
      </c>
      <c r="C64" t="inlineStr"/>
      <c r="D64" t="inlineStr">
        <is>
          <t>Survey (FNDDS)</t>
        </is>
      </c>
      <c r="E64" s="9" t="n">
        <v>100</v>
      </c>
      <c r="F64" s="10">
        <f>E64/SUM($E$3:$E$80)</f>
        <v/>
      </c>
      <c r="G64" t="n">
        <v>88.29000000000001</v>
      </c>
      <c r="H64" t="n">
        <v>44.2</v>
      </c>
      <c r="I64" t="n">
        <v>184.9328</v>
      </c>
      <c r="J64" t="n">
        <v>0.1488</v>
      </c>
      <c r="K64" t="n">
        <v>0.93</v>
      </c>
      <c r="L64" t="n">
        <v>0.24</v>
      </c>
      <c r="M64" t="n">
        <v>0.24</v>
      </c>
      <c r="O64" t="n">
        <v>9.58</v>
      </c>
      <c r="P64" t="n">
        <v>2.8</v>
      </c>
      <c r="V64" t="n">
        <v>4.74</v>
      </c>
      <c r="AF64" t="n">
        <v>33</v>
      </c>
      <c r="AG64" t="n">
        <v>0.3</v>
      </c>
      <c r="AH64" t="n">
        <v>12</v>
      </c>
      <c r="AI64" t="n">
        <v>35</v>
      </c>
      <c r="AJ64" t="n">
        <v>320</v>
      </c>
      <c r="AK64" t="n">
        <v>69</v>
      </c>
      <c r="AL64" t="n">
        <v>0.24</v>
      </c>
      <c r="AM64" t="n">
        <v>0.045</v>
      </c>
      <c r="AP64" t="n">
        <v>0.1</v>
      </c>
      <c r="AS64" t="n">
        <v>19</v>
      </c>
      <c r="AT64" t="n">
        <v>0.066</v>
      </c>
      <c r="AU64" t="n">
        <v>0.058</v>
      </c>
      <c r="AV64" t="n">
        <v>0.983</v>
      </c>
      <c r="AW64" t="n">
        <v>0.138</v>
      </c>
      <c r="AX64" t="n">
        <v>19</v>
      </c>
      <c r="AY64" t="n">
        <v>0</v>
      </c>
      <c r="AZ64" t="n">
        <v>19</v>
      </c>
      <c r="BA64" t="n">
        <v>8.800000000000001</v>
      </c>
      <c r="BH64" t="n">
        <v>0</v>
      </c>
      <c r="BI64" t="n">
        <v>0</v>
      </c>
      <c r="BJ64" t="n">
        <v>835</v>
      </c>
      <c r="BK64" t="n">
        <v>0</v>
      </c>
      <c r="BL64" t="n">
        <v>8285</v>
      </c>
      <c r="BO64" t="n">
        <v>3477</v>
      </c>
      <c r="BQ64" t="n">
        <v>0</v>
      </c>
      <c r="BT64" t="n">
        <v>1</v>
      </c>
      <c r="BW64" t="n">
        <v>256</v>
      </c>
      <c r="CD64" t="n">
        <v>0</v>
      </c>
      <c r="CH64" t="n">
        <v>13.2</v>
      </c>
      <c r="CK64" t="n">
        <v>0.66</v>
      </c>
      <c r="CL64" t="n">
        <v>0</v>
      </c>
      <c r="CT64" t="n">
        <v>5.9</v>
      </c>
      <c r="CW64" t="n">
        <v>0</v>
      </c>
      <c r="CX64" t="n">
        <v>0</v>
      </c>
      <c r="CY64" t="n">
        <v>0.032</v>
      </c>
      <c r="CZ64" t="n">
        <v>0</v>
      </c>
      <c r="DB64" t="n">
        <v>0</v>
      </c>
      <c r="DD64" t="n">
        <v>0</v>
      </c>
      <c r="DF64" t="n">
        <v>0</v>
      </c>
      <c r="DH64" t="n">
        <v>0</v>
      </c>
      <c r="DJ64" t="n">
        <v>0</v>
      </c>
      <c r="DL64" t="n">
        <v>0.03</v>
      </c>
      <c r="DN64" t="n">
        <v>0.002</v>
      </c>
      <c r="DT64" t="n">
        <v>0.012</v>
      </c>
      <c r="DY64" t="n">
        <v>0.002</v>
      </c>
      <c r="EC64" t="n">
        <v>0.011</v>
      </c>
      <c r="EE64" t="n">
        <v>0</v>
      </c>
      <c r="EG64" t="n">
        <v>0</v>
      </c>
      <c r="EL64" t="n">
        <v>0.102</v>
      </c>
      <c r="EM64" t="n">
        <v>0.1</v>
      </c>
      <c r="ER64" t="n">
        <v>0.002</v>
      </c>
      <c r="EV64" t="n">
        <v>0</v>
      </c>
      <c r="FD64" t="n">
        <v>0</v>
      </c>
      <c r="FG64" t="n">
        <v>0</v>
      </c>
      <c r="FL64" t="n">
        <v>0</v>
      </c>
      <c r="FN64" t="n">
        <v>0</v>
      </c>
      <c r="GB64" t="n">
        <v>0</v>
      </c>
      <c r="HQ64" t="n">
        <v>0</v>
      </c>
    </row>
    <row r="65">
      <c r="A65" t="n">
        <v>2345174</v>
      </c>
      <c r="B65" t="inlineStr">
        <is>
          <t>Carrots, raw, salad</t>
        </is>
      </c>
      <c r="C65" t="inlineStr"/>
      <c r="D65" t="inlineStr">
        <is>
          <t>Survey (FNDDS)</t>
        </is>
      </c>
      <c r="E65" s="9" t="n">
        <v>100</v>
      </c>
      <c r="F65" s="10">
        <f>E65/SUM($E$3:$E$80)</f>
        <v/>
      </c>
      <c r="G65" t="n">
        <v>64.65000000000001</v>
      </c>
      <c r="H65" t="n">
        <v>214.79</v>
      </c>
      <c r="I65" t="n">
        <v>898.6813600000002</v>
      </c>
      <c r="J65" t="n">
        <v>0.2</v>
      </c>
      <c r="K65" t="n">
        <v>1.25</v>
      </c>
      <c r="L65" t="n">
        <v>15.67</v>
      </c>
      <c r="M65" t="n">
        <v>15.67</v>
      </c>
      <c r="O65" t="n">
        <v>17.19</v>
      </c>
      <c r="P65" t="n">
        <v>2.4</v>
      </c>
      <c r="V65" t="n">
        <v>12.04</v>
      </c>
      <c r="AF65" t="n">
        <v>32</v>
      </c>
      <c r="AG65" t="n">
        <v>0.48</v>
      </c>
      <c r="AH65" t="n">
        <v>13</v>
      </c>
      <c r="AI65" t="n">
        <v>40</v>
      </c>
      <c r="AJ65" t="n">
        <v>308</v>
      </c>
      <c r="AK65" t="n">
        <v>178</v>
      </c>
      <c r="AL65" t="n">
        <v>0.23</v>
      </c>
      <c r="AM65" t="n">
        <v>0.07000000000000001</v>
      </c>
      <c r="AP65" t="n">
        <v>0.6</v>
      </c>
      <c r="AS65" t="n">
        <v>14</v>
      </c>
      <c r="AT65" t="n">
        <v>0.059</v>
      </c>
      <c r="AU65" t="n">
        <v>0.058</v>
      </c>
      <c r="AV65" t="n">
        <v>0.72</v>
      </c>
      <c r="AW65" t="n">
        <v>0.114</v>
      </c>
      <c r="AX65" t="n">
        <v>14</v>
      </c>
      <c r="AY65" t="n">
        <v>0</v>
      </c>
      <c r="AZ65" t="n">
        <v>14</v>
      </c>
      <c r="BA65" t="n">
        <v>14.3</v>
      </c>
      <c r="BH65" t="n">
        <v>0.02</v>
      </c>
      <c r="BI65" t="n">
        <v>0</v>
      </c>
      <c r="BJ65" t="n">
        <v>521</v>
      </c>
      <c r="BK65" t="n">
        <v>3</v>
      </c>
      <c r="BL65" t="n">
        <v>5141</v>
      </c>
      <c r="BO65" t="n">
        <v>2157</v>
      </c>
      <c r="BQ65" t="n">
        <v>1</v>
      </c>
      <c r="BT65" t="n">
        <v>1</v>
      </c>
      <c r="BW65" t="n">
        <v>162</v>
      </c>
      <c r="CD65" t="n">
        <v>0</v>
      </c>
      <c r="CH65" t="n">
        <v>42.4</v>
      </c>
      <c r="CK65" t="n">
        <v>1.11</v>
      </c>
      <c r="CL65" t="n">
        <v>0</v>
      </c>
      <c r="CT65" t="n">
        <v>6.1</v>
      </c>
      <c r="CW65" t="n">
        <v>0</v>
      </c>
      <c r="CX65" t="n">
        <v>0</v>
      </c>
      <c r="CY65" t="n">
        <v>2.454</v>
      </c>
      <c r="CZ65" t="n">
        <v>0.001</v>
      </c>
      <c r="DB65" t="n">
        <v>0</v>
      </c>
      <c r="DD65" t="n">
        <v>0</v>
      </c>
      <c r="DF65" t="n">
        <v>0.001</v>
      </c>
      <c r="DH65" t="n">
        <v>0</v>
      </c>
      <c r="DJ65" t="n">
        <v>0.012</v>
      </c>
      <c r="DL65" t="n">
        <v>1.662</v>
      </c>
      <c r="DN65" t="n">
        <v>0.644</v>
      </c>
      <c r="DT65" t="n">
        <v>3.494</v>
      </c>
      <c r="DY65" t="n">
        <v>0.02</v>
      </c>
      <c r="EC65" t="n">
        <v>3.412</v>
      </c>
      <c r="EE65" t="n">
        <v>0.049</v>
      </c>
      <c r="EG65" t="n">
        <v>0.005</v>
      </c>
      <c r="EL65" t="n">
        <v>9.311999999999999</v>
      </c>
      <c r="EM65" t="n">
        <v>8.162000000000001</v>
      </c>
      <c r="ER65" t="n">
        <v>1.132</v>
      </c>
      <c r="EV65" t="n">
        <v>0</v>
      </c>
      <c r="FD65" t="n">
        <v>0.01</v>
      </c>
      <c r="FG65" t="n">
        <v>0</v>
      </c>
      <c r="FL65" t="n">
        <v>0</v>
      </c>
      <c r="FN65" t="n">
        <v>0.001</v>
      </c>
      <c r="GB65" t="n">
        <v>9</v>
      </c>
      <c r="HQ65" t="n">
        <v>0</v>
      </c>
    </row>
    <row r="66">
      <c r="A66" t="n">
        <v>2345175</v>
      </c>
      <c r="B66" t="inlineStr">
        <is>
          <t>Carrots, raw, salad with apples</t>
        </is>
      </c>
      <c r="C66" t="inlineStr"/>
      <c r="D66" t="inlineStr">
        <is>
          <t>Survey (FNDDS)</t>
        </is>
      </c>
      <c r="E66" s="9" t="n">
        <v>100</v>
      </c>
      <c r="F66" s="10">
        <f>E66/SUM($E$3:$E$80)</f>
        <v/>
      </c>
      <c r="G66" t="n">
        <v>73.98999999999999</v>
      </c>
      <c r="H66" t="n">
        <v>179.55</v>
      </c>
      <c r="I66" t="n">
        <v>751.2371999999999</v>
      </c>
      <c r="J66" t="n">
        <v>0.1344</v>
      </c>
      <c r="K66" t="n">
        <v>0.84</v>
      </c>
      <c r="L66" t="n">
        <v>15.95</v>
      </c>
      <c r="M66" t="n">
        <v>15.95</v>
      </c>
      <c r="O66" t="n">
        <v>8.16</v>
      </c>
      <c r="P66" t="n">
        <v>2.1</v>
      </c>
      <c r="V66" t="n">
        <v>4.47</v>
      </c>
      <c r="AF66" t="n">
        <v>24</v>
      </c>
      <c r="AG66" t="n">
        <v>0.26</v>
      </c>
      <c r="AH66" t="n">
        <v>9</v>
      </c>
      <c r="AI66" t="n">
        <v>28</v>
      </c>
      <c r="AJ66" t="n">
        <v>224</v>
      </c>
      <c r="AK66" t="n">
        <v>178</v>
      </c>
      <c r="AL66" t="n">
        <v>0.19</v>
      </c>
      <c r="AM66" t="n">
        <v>0.037</v>
      </c>
      <c r="AP66" t="n">
        <v>0.6</v>
      </c>
      <c r="AS66" t="n">
        <v>14</v>
      </c>
      <c r="AT66" t="n">
        <v>0.047</v>
      </c>
      <c r="AU66" t="n">
        <v>0.045</v>
      </c>
      <c r="AV66" t="n">
        <v>0.638</v>
      </c>
      <c r="AW66" t="n">
        <v>0.097</v>
      </c>
      <c r="AX66" t="n">
        <v>14</v>
      </c>
      <c r="AY66" t="n">
        <v>0</v>
      </c>
      <c r="AZ66" t="n">
        <v>14</v>
      </c>
      <c r="BA66" t="n">
        <v>13.4</v>
      </c>
      <c r="BH66" t="n">
        <v>0.02</v>
      </c>
      <c r="BI66" t="n">
        <v>0</v>
      </c>
      <c r="BJ66" t="n">
        <v>532</v>
      </c>
      <c r="BK66" t="n">
        <v>3</v>
      </c>
      <c r="BL66" t="n">
        <v>5242</v>
      </c>
      <c r="BO66" t="n">
        <v>2198</v>
      </c>
      <c r="BQ66" t="n">
        <v>3</v>
      </c>
      <c r="BT66" t="n">
        <v>1</v>
      </c>
      <c r="BW66" t="n">
        <v>168</v>
      </c>
      <c r="CD66" t="n">
        <v>0</v>
      </c>
      <c r="CH66" t="n">
        <v>43</v>
      </c>
      <c r="CK66" t="n">
        <v>1.14</v>
      </c>
      <c r="CL66" t="n">
        <v>0</v>
      </c>
      <c r="CT66" t="n">
        <v>6.4</v>
      </c>
      <c r="CW66" t="n">
        <v>0</v>
      </c>
      <c r="CX66" t="n">
        <v>0</v>
      </c>
      <c r="CY66" t="n">
        <v>2.491</v>
      </c>
      <c r="CZ66" t="n">
        <v>0</v>
      </c>
      <c r="DB66" t="n">
        <v>0</v>
      </c>
      <c r="DD66" t="n">
        <v>0</v>
      </c>
      <c r="DF66" t="n">
        <v>0.001</v>
      </c>
      <c r="DH66" t="n">
        <v>0</v>
      </c>
      <c r="DJ66" t="n">
        <v>0.012</v>
      </c>
      <c r="DL66" t="n">
        <v>1.689</v>
      </c>
      <c r="DN66" t="n">
        <v>0.655</v>
      </c>
      <c r="DT66" t="n">
        <v>3.558</v>
      </c>
      <c r="DY66" t="n">
        <v>0.02</v>
      </c>
      <c r="EC66" t="n">
        <v>3.476</v>
      </c>
      <c r="EE66" t="n">
        <v>0.05</v>
      </c>
      <c r="EG66" t="n">
        <v>0.005</v>
      </c>
      <c r="EL66" t="n">
        <v>9.489000000000001</v>
      </c>
      <c r="EM66" t="n">
        <v>8.318</v>
      </c>
      <c r="ER66" t="n">
        <v>1.153</v>
      </c>
      <c r="EV66" t="n">
        <v>0</v>
      </c>
      <c r="FD66" t="n">
        <v>0.011</v>
      </c>
      <c r="FG66" t="n">
        <v>0</v>
      </c>
      <c r="FL66" t="n">
        <v>0</v>
      </c>
      <c r="FN66" t="n">
        <v>0.001</v>
      </c>
      <c r="GB66" t="n">
        <v>9</v>
      </c>
      <c r="HQ66" t="n">
        <v>0</v>
      </c>
    </row>
    <row r="67">
      <c r="A67" t="n">
        <v>2345176</v>
      </c>
      <c r="B67" t="inlineStr">
        <is>
          <t>Carrots, cooked, from restaurant</t>
        </is>
      </c>
      <c r="C67" t="inlineStr"/>
      <c r="D67" t="inlineStr">
        <is>
          <t>Survey (FNDDS)</t>
        </is>
      </c>
      <c r="E67" s="9" t="n">
        <v>100</v>
      </c>
      <c r="F67" s="10">
        <f>E67/SUM($E$3:$E$80)</f>
        <v/>
      </c>
      <c r="G67" t="n">
        <v>83.56</v>
      </c>
      <c r="H67" t="n">
        <v>82.73</v>
      </c>
      <c r="I67" t="n">
        <v>346.14232</v>
      </c>
      <c r="J67" t="n">
        <v>0.1488</v>
      </c>
      <c r="K67" t="n">
        <v>0.93</v>
      </c>
      <c r="L67" t="n">
        <v>4.57</v>
      </c>
      <c r="M67" t="n">
        <v>4.57</v>
      </c>
      <c r="O67" t="n">
        <v>9.470000000000001</v>
      </c>
      <c r="P67" t="n">
        <v>2.8</v>
      </c>
      <c r="V67" t="n">
        <v>4.69</v>
      </c>
      <c r="AF67" t="n">
        <v>33</v>
      </c>
      <c r="AG67" t="n">
        <v>0.3</v>
      </c>
      <c r="AH67" t="n">
        <v>12</v>
      </c>
      <c r="AI67" t="n">
        <v>35</v>
      </c>
      <c r="AJ67" t="n">
        <v>317</v>
      </c>
      <c r="AK67" t="n">
        <v>274</v>
      </c>
      <c r="AL67" t="n">
        <v>0.24</v>
      </c>
      <c r="AM67" t="n">
        <v>0.045</v>
      </c>
      <c r="AP67" t="n">
        <v>0.1</v>
      </c>
      <c r="AS67" t="n">
        <v>16</v>
      </c>
      <c r="AT67" t="n">
        <v>0.059</v>
      </c>
      <c r="AU67" t="n">
        <v>0.055</v>
      </c>
      <c r="AV67" t="n">
        <v>0.922</v>
      </c>
      <c r="AW67" t="n">
        <v>0.15</v>
      </c>
      <c r="AX67" t="n">
        <v>16</v>
      </c>
      <c r="AY67" t="n">
        <v>0</v>
      </c>
      <c r="AZ67" t="n">
        <v>16</v>
      </c>
      <c r="BA67" t="n">
        <v>9.1</v>
      </c>
      <c r="BH67" t="n">
        <v>0</v>
      </c>
      <c r="BI67" t="n">
        <v>0</v>
      </c>
      <c r="BJ67" t="n">
        <v>803</v>
      </c>
      <c r="BK67" t="n">
        <v>19</v>
      </c>
      <c r="BL67" t="n">
        <v>7780</v>
      </c>
      <c r="BO67" t="n">
        <v>3261</v>
      </c>
      <c r="BQ67" t="n">
        <v>0</v>
      </c>
      <c r="BT67" t="n">
        <v>1</v>
      </c>
      <c r="BW67" t="n">
        <v>240</v>
      </c>
      <c r="CD67" t="n">
        <v>0</v>
      </c>
      <c r="CH67" t="n">
        <v>16.8</v>
      </c>
      <c r="CK67" t="n">
        <v>1.23</v>
      </c>
      <c r="CL67" t="n">
        <v>0</v>
      </c>
      <c r="CT67" t="n">
        <v>5</v>
      </c>
      <c r="CW67" t="n">
        <v>0</v>
      </c>
      <c r="CX67" t="n">
        <v>0</v>
      </c>
      <c r="CY67" t="n">
        <v>1.171</v>
      </c>
      <c r="CZ67" t="n">
        <v>0.03</v>
      </c>
      <c r="DB67" t="n">
        <v>0.021</v>
      </c>
      <c r="DD67" t="n">
        <v>0.013</v>
      </c>
      <c r="DF67" t="n">
        <v>0.029</v>
      </c>
      <c r="DH67" t="n">
        <v>0.034</v>
      </c>
      <c r="DJ67" t="n">
        <v>0.109</v>
      </c>
      <c r="DL67" t="n">
        <v>0.656</v>
      </c>
      <c r="DN67" t="n">
        <v>0.234</v>
      </c>
      <c r="DT67" t="n">
        <v>1.496</v>
      </c>
      <c r="DY67" t="n">
        <v>0.026</v>
      </c>
      <c r="EC67" t="n">
        <v>1.438</v>
      </c>
      <c r="EE67" t="n">
        <v>0.021</v>
      </c>
      <c r="EG67" t="n">
        <v>0</v>
      </c>
      <c r="EL67" t="n">
        <v>1.388</v>
      </c>
      <c r="EM67" t="n">
        <v>1.239</v>
      </c>
      <c r="ER67" t="n">
        <v>0.148</v>
      </c>
      <c r="EV67" t="n">
        <v>0</v>
      </c>
      <c r="FD67" t="n">
        <v>0.002</v>
      </c>
      <c r="FG67" t="n">
        <v>0</v>
      </c>
      <c r="FL67" t="n">
        <v>0.001</v>
      </c>
      <c r="FN67" t="n">
        <v>0</v>
      </c>
      <c r="GB67" t="n">
        <v>3</v>
      </c>
      <c r="HQ67" t="n">
        <v>0</v>
      </c>
    </row>
    <row r="68">
      <c r="A68" t="n">
        <v>2345182</v>
      </c>
      <c r="B68" t="inlineStr">
        <is>
          <t>Carrots, NS as to form, cooked</t>
        </is>
      </c>
      <c r="C68" t="inlineStr"/>
      <c r="D68" t="inlineStr">
        <is>
          <t>Survey (FNDDS)</t>
        </is>
      </c>
      <c r="E68" s="9" t="n">
        <v>100</v>
      </c>
      <c r="F68" s="10">
        <f>E68/SUM($E$3:$E$80)</f>
        <v/>
      </c>
      <c r="G68" t="n">
        <v>85.2</v>
      </c>
      <c r="H68" t="n">
        <v>68.48999999999999</v>
      </c>
      <c r="I68" t="n">
        <v>286.56216</v>
      </c>
      <c r="J68" t="n">
        <v>0.152</v>
      </c>
      <c r="K68" t="n">
        <v>0.95</v>
      </c>
      <c r="L68" t="n">
        <v>2.89</v>
      </c>
      <c r="M68" t="n">
        <v>2.89</v>
      </c>
      <c r="O68" t="n">
        <v>9.67</v>
      </c>
      <c r="P68" t="n">
        <v>2.8</v>
      </c>
      <c r="V68" t="n">
        <v>4.78</v>
      </c>
      <c r="AF68" t="n">
        <v>34</v>
      </c>
      <c r="AG68" t="n">
        <v>0.31</v>
      </c>
      <c r="AH68" t="n">
        <v>12</v>
      </c>
      <c r="AI68" t="n">
        <v>36</v>
      </c>
      <c r="AJ68" t="n">
        <v>323</v>
      </c>
      <c r="AK68" t="n">
        <v>196</v>
      </c>
      <c r="AL68" t="n">
        <v>0.24</v>
      </c>
      <c r="AM68" t="n">
        <v>0.045</v>
      </c>
      <c r="AP68" t="n">
        <v>0.1</v>
      </c>
      <c r="AS68" t="n">
        <v>16</v>
      </c>
      <c r="AT68" t="n">
        <v>0.06</v>
      </c>
      <c r="AU68" t="n">
        <v>0.056</v>
      </c>
      <c r="AV68" t="n">
        <v>0.9419999999999999</v>
      </c>
      <c r="AW68" t="n">
        <v>0.142</v>
      </c>
      <c r="AX68" t="n">
        <v>16</v>
      </c>
      <c r="AY68" t="n">
        <v>0</v>
      </c>
      <c r="AZ68" t="n">
        <v>16</v>
      </c>
      <c r="BA68" t="n">
        <v>9.1</v>
      </c>
      <c r="BH68" t="n">
        <v>0</v>
      </c>
      <c r="BI68" t="n">
        <v>0</v>
      </c>
      <c r="BJ68" t="n">
        <v>812</v>
      </c>
      <c r="BK68" t="n">
        <v>11</v>
      </c>
      <c r="BL68" t="n">
        <v>7942</v>
      </c>
      <c r="BO68" t="n">
        <v>3331</v>
      </c>
      <c r="BQ68" t="n">
        <v>0</v>
      </c>
      <c r="BT68" t="n">
        <v>1</v>
      </c>
      <c r="BW68" t="n">
        <v>245</v>
      </c>
      <c r="CD68" t="n">
        <v>0</v>
      </c>
      <c r="CH68" t="n">
        <v>15.6</v>
      </c>
      <c r="CK68" t="n">
        <v>1.02</v>
      </c>
      <c r="CL68" t="n">
        <v>0</v>
      </c>
      <c r="CT68" t="n">
        <v>5.1</v>
      </c>
      <c r="CW68" t="n">
        <v>0</v>
      </c>
      <c r="CX68" t="n">
        <v>0</v>
      </c>
      <c r="CY68" t="n">
        <v>0.731</v>
      </c>
      <c r="CZ68" t="n">
        <v>0.019</v>
      </c>
      <c r="DB68" t="n">
        <v>0.013</v>
      </c>
      <c r="DD68" t="n">
        <v>0.008</v>
      </c>
      <c r="DF68" t="n">
        <v>0.018</v>
      </c>
      <c r="DH68" t="n">
        <v>0.021</v>
      </c>
      <c r="DJ68" t="n">
        <v>0.066</v>
      </c>
      <c r="DL68" t="n">
        <v>0.414</v>
      </c>
      <c r="DN68" t="n">
        <v>0.144</v>
      </c>
      <c r="DT68" t="n">
        <v>0.922</v>
      </c>
      <c r="DY68" t="n">
        <v>0.017</v>
      </c>
      <c r="EC68" t="n">
        <v>0.885</v>
      </c>
      <c r="EE68" t="n">
        <v>0.013</v>
      </c>
      <c r="EG68" t="n">
        <v>0</v>
      </c>
      <c r="EL68" t="n">
        <v>0.891</v>
      </c>
      <c r="EM68" t="n">
        <v>0.8</v>
      </c>
      <c r="ER68" t="n">
        <v>0.091</v>
      </c>
      <c r="EV68" t="n">
        <v>0</v>
      </c>
      <c r="FD68" t="n">
        <v>0.001</v>
      </c>
      <c r="FG68" t="n">
        <v>0</v>
      </c>
      <c r="FL68" t="n">
        <v>0</v>
      </c>
      <c r="FN68" t="n">
        <v>0</v>
      </c>
      <c r="GB68" t="n">
        <v>2</v>
      </c>
      <c r="HQ68" t="n">
        <v>0</v>
      </c>
    </row>
    <row r="69">
      <c r="A69" t="n">
        <v>2345186</v>
      </c>
      <c r="B69" t="inlineStr">
        <is>
          <t>Carrots, frozen, cooked with oil</t>
        </is>
      </c>
      <c r="C69" t="inlineStr"/>
      <c r="D69" t="inlineStr">
        <is>
          <t>Survey (FNDDS)</t>
        </is>
      </c>
      <c r="E69" s="9" t="n">
        <v>100</v>
      </c>
      <c r="F69" s="10">
        <f>E69/SUM($E$3:$E$80)</f>
        <v/>
      </c>
      <c r="G69" t="n">
        <v>87.22</v>
      </c>
      <c r="H69" t="n">
        <v>64.03999999999999</v>
      </c>
      <c r="I69" t="n">
        <v>267.94336</v>
      </c>
      <c r="J69" t="n">
        <v>0.1248</v>
      </c>
      <c r="K69" t="n">
        <v>0.78</v>
      </c>
      <c r="L69" t="n">
        <v>3.36</v>
      </c>
      <c r="M69" t="n">
        <v>3.36</v>
      </c>
      <c r="O69" t="n">
        <v>7.67</v>
      </c>
      <c r="P69" t="n">
        <v>3.1</v>
      </c>
      <c r="V69" t="n">
        <v>4.07</v>
      </c>
      <c r="AF69" t="n">
        <v>32</v>
      </c>
      <c r="AG69" t="n">
        <v>0.42</v>
      </c>
      <c r="AH69" t="n">
        <v>11</v>
      </c>
      <c r="AI69" t="n">
        <v>30</v>
      </c>
      <c r="AJ69" t="n">
        <v>203</v>
      </c>
      <c r="AK69" t="n">
        <v>176</v>
      </c>
      <c r="AL69" t="n">
        <v>0.27</v>
      </c>
      <c r="AM69" t="n">
        <v>0.077</v>
      </c>
      <c r="AP69" t="n">
        <v>0.6</v>
      </c>
      <c r="AS69" t="n">
        <v>7</v>
      </c>
      <c r="AT69" t="n">
        <v>0.038</v>
      </c>
      <c r="AU69" t="n">
        <v>0.045</v>
      </c>
      <c r="AV69" t="n">
        <v>0.45</v>
      </c>
      <c r="AW69" t="n">
        <v>0.08500000000000001</v>
      </c>
      <c r="AX69" t="n">
        <v>7</v>
      </c>
      <c r="AY69" t="n">
        <v>0</v>
      </c>
      <c r="AZ69" t="n">
        <v>7</v>
      </c>
      <c r="BA69" t="n">
        <v>8.300000000000001</v>
      </c>
      <c r="BH69" t="n">
        <v>0</v>
      </c>
      <c r="BI69" t="n">
        <v>0</v>
      </c>
      <c r="BJ69" t="n">
        <v>819</v>
      </c>
      <c r="BK69" t="n">
        <v>0</v>
      </c>
      <c r="BL69" t="n">
        <v>7937</v>
      </c>
      <c r="BO69" t="n">
        <v>3597</v>
      </c>
      <c r="BQ69" t="n">
        <v>0</v>
      </c>
      <c r="BT69" t="n">
        <v>0</v>
      </c>
      <c r="BW69" t="n">
        <v>654</v>
      </c>
      <c r="CD69" t="n">
        <v>0</v>
      </c>
      <c r="CH69" t="n">
        <v>17.7</v>
      </c>
      <c r="CK69" t="n">
        <v>1.14</v>
      </c>
      <c r="CL69" t="n">
        <v>0</v>
      </c>
      <c r="CT69" t="n">
        <v>2.1</v>
      </c>
      <c r="CW69" t="n">
        <v>0</v>
      </c>
      <c r="CX69" t="n">
        <v>0</v>
      </c>
      <c r="CY69" t="n">
        <v>0.397</v>
      </c>
      <c r="CZ69" t="n">
        <v>0</v>
      </c>
      <c r="DB69" t="n">
        <v>0</v>
      </c>
      <c r="DD69" t="n">
        <v>0</v>
      </c>
      <c r="DF69" t="n">
        <v>0</v>
      </c>
      <c r="DH69" t="n">
        <v>0</v>
      </c>
      <c r="DJ69" t="n">
        <v>0.001</v>
      </c>
      <c r="DL69" t="n">
        <v>0.287</v>
      </c>
      <c r="DN69" t="n">
        <v>0.08500000000000001</v>
      </c>
      <c r="DT69" t="n">
        <v>1.171</v>
      </c>
      <c r="DY69" t="n">
        <v>0.01</v>
      </c>
      <c r="EC69" t="n">
        <v>1.139</v>
      </c>
      <c r="EE69" t="n">
        <v>0.02</v>
      </c>
      <c r="EG69" t="n">
        <v>0</v>
      </c>
      <c r="EL69" t="n">
        <v>1.327</v>
      </c>
      <c r="EM69" t="n">
        <v>1.189</v>
      </c>
      <c r="ER69" t="n">
        <v>0.136</v>
      </c>
      <c r="EV69" t="n">
        <v>0</v>
      </c>
      <c r="FD69" t="n">
        <v>0</v>
      </c>
      <c r="FG69" t="n">
        <v>0</v>
      </c>
      <c r="FL69" t="n">
        <v>0</v>
      </c>
      <c r="FN69" t="n">
        <v>0</v>
      </c>
      <c r="GB69" t="n">
        <v>0</v>
      </c>
      <c r="HQ69" t="n">
        <v>0</v>
      </c>
    </row>
    <row r="70">
      <c r="A70" t="n">
        <v>2345190</v>
      </c>
      <c r="B70" t="inlineStr">
        <is>
          <t>Carrots, glazed, cooked</t>
        </is>
      </c>
      <c r="C70" t="inlineStr"/>
      <c r="D70" t="inlineStr">
        <is>
          <t>Survey (FNDDS)</t>
        </is>
      </c>
      <c r="E70" s="9" t="n">
        <v>100</v>
      </c>
      <c r="F70" s="10">
        <f>E70/SUM($E$3:$E$80)</f>
        <v/>
      </c>
      <c r="G70" t="n">
        <v>78.48999999999999</v>
      </c>
      <c r="H70" t="n">
        <v>94.44</v>
      </c>
      <c r="I70" t="n">
        <v>395.13696</v>
      </c>
      <c r="J70" t="n">
        <v>0.144</v>
      </c>
      <c r="K70" t="n">
        <v>0.9</v>
      </c>
      <c r="L70" t="n">
        <v>2.68</v>
      </c>
      <c r="M70" t="n">
        <v>2.68</v>
      </c>
      <c r="O70" t="n">
        <v>16.68</v>
      </c>
      <c r="P70" t="n">
        <v>2.6</v>
      </c>
      <c r="V70" t="n">
        <v>12.14</v>
      </c>
      <c r="AF70" t="n">
        <v>38</v>
      </c>
      <c r="AG70" t="n">
        <v>0.34</v>
      </c>
      <c r="AH70" t="n">
        <v>12</v>
      </c>
      <c r="AI70" t="n">
        <v>33</v>
      </c>
      <c r="AJ70" t="n">
        <v>307</v>
      </c>
      <c r="AK70" t="n">
        <v>197</v>
      </c>
      <c r="AL70" t="n">
        <v>0.23</v>
      </c>
      <c r="AM70" t="n">
        <v>0.046</v>
      </c>
      <c r="AP70" t="n">
        <v>0.2</v>
      </c>
      <c r="AS70" t="n">
        <v>15</v>
      </c>
      <c r="AT70" t="n">
        <v>0.055</v>
      </c>
      <c r="AU70" t="n">
        <v>0.051</v>
      </c>
      <c r="AV70" t="n">
        <v>0.872</v>
      </c>
      <c r="AW70" t="n">
        <v>0.118</v>
      </c>
      <c r="AX70" t="n">
        <v>15</v>
      </c>
      <c r="AY70" t="n">
        <v>0</v>
      </c>
      <c r="AZ70" t="n">
        <v>15</v>
      </c>
      <c r="BA70" t="n">
        <v>8.9</v>
      </c>
      <c r="BH70" t="n">
        <v>0</v>
      </c>
      <c r="BI70" t="n">
        <v>0</v>
      </c>
      <c r="BJ70" t="n">
        <v>756</v>
      </c>
      <c r="BK70" t="n">
        <v>22</v>
      </c>
      <c r="BL70" t="n">
        <v>7280</v>
      </c>
      <c r="BO70" t="n">
        <v>3053</v>
      </c>
      <c r="BQ70" t="n">
        <v>0</v>
      </c>
      <c r="BT70" t="n">
        <v>1</v>
      </c>
      <c r="BW70" t="n">
        <v>225</v>
      </c>
      <c r="CD70" t="n">
        <v>0</v>
      </c>
      <c r="CH70" t="n">
        <v>12.4</v>
      </c>
      <c r="CK70" t="n">
        <v>0.61</v>
      </c>
      <c r="CL70" t="n">
        <v>0</v>
      </c>
      <c r="CT70" t="n">
        <v>4.6</v>
      </c>
      <c r="CW70" t="n">
        <v>0</v>
      </c>
      <c r="CX70" t="n">
        <v>0</v>
      </c>
      <c r="CY70" t="n">
        <v>1.393</v>
      </c>
      <c r="CZ70" t="n">
        <v>0.061</v>
      </c>
      <c r="DB70" t="n">
        <v>0.043</v>
      </c>
      <c r="DD70" t="n">
        <v>0.025</v>
      </c>
      <c r="DF70" t="n">
        <v>0.057</v>
      </c>
      <c r="DH70" t="n">
        <v>0.066</v>
      </c>
      <c r="DJ70" t="n">
        <v>0.214</v>
      </c>
      <c r="DL70" t="n">
        <v>0.662</v>
      </c>
      <c r="DN70" t="n">
        <v>0.224</v>
      </c>
      <c r="DT70" t="n">
        <v>0.516</v>
      </c>
      <c r="DY70" t="n">
        <v>0.032</v>
      </c>
      <c r="EC70" t="n">
        <v>0.458</v>
      </c>
      <c r="EE70" t="n">
        <v>0.003</v>
      </c>
      <c r="EG70" t="n">
        <v>0</v>
      </c>
      <c r="EL70" t="n">
        <v>0.169</v>
      </c>
      <c r="EM70" t="n">
        <v>0.16</v>
      </c>
      <c r="ER70" t="n">
        <v>0.012</v>
      </c>
      <c r="EV70" t="n">
        <v>0</v>
      </c>
      <c r="FD70" t="n">
        <v>0.003</v>
      </c>
      <c r="FG70" t="n">
        <v>0.001</v>
      </c>
      <c r="FL70" t="n">
        <v>0.001</v>
      </c>
      <c r="FN70" t="n">
        <v>0</v>
      </c>
      <c r="GB70" t="n">
        <v>7</v>
      </c>
      <c r="HQ70" t="n">
        <v>0</v>
      </c>
    </row>
    <row r="71">
      <c r="A71" t="n">
        <v>2345196</v>
      </c>
      <c r="B71" t="inlineStr">
        <is>
          <t>Carrot juice, 100%</t>
        </is>
      </c>
      <c r="C71" t="inlineStr"/>
      <c r="D71" t="inlineStr">
        <is>
          <t>Survey (FNDDS)</t>
        </is>
      </c>
      <c r="E71" s="9" t="n">
        <v>100</v>
      </c>
      <c r="F71" s="10">
        <f>E71/SUM($E$3:$E$80)</f>
        <v/>
      </c>
      <c r="G71" t="n">
        <v>88.87</v>
      </c>
      <c r="H71" t="n">
        <v>42.27</v>
      </c>
      <c r="I71" t="n">
        <v>176.85768</v>
      </c>
      <c r="J71" t="n">
        <v>0.152</v>
      </c>
      <c r="K71" t="n">
        <v>0.95</v>
      </c>
      <c r="L71" t="n">
        <v>0.15</v>
      </c>
      <c r="M71" t="n">
        <v>0.15</v>
      </c>
      <c r="O71" t="n">
        <v>9.279999999999999</v>
      </c>
      <c r="P71" t="n">
        <v>0.8</v>
      </c>
      <c r="V71" t="n">
        <v>3.91</v>
      </c>
      <c r="AF71" t="n">
        <v>24</v>
      </c>
      <c r="AG71" t="n">
        <v>0.46</v>
      </c>
      <c r="AH71" t="n">
        <v>14</v>
      </c>
      <c r="AI71" t="n">
        <v>42</v>
      </c>
      <c r="AJ71" t="n">
        <v>292</v>
      </c>
      <c r="AK71" t="n">
        <v>66</v>
      </c>
      <c r="AL71" t="n">
        <v>0.18</v>
      </c>
      <c r="AM71" t="n">
        <v>0.046</v>
      </c>
      <c r="AP71" t="n">
        <v>0.6</v>
      </c>
      <c r="AS71" t="n">
        <v>4</v>
      </c>
      <c r="AT71" t="n">
        <v>0.092</v>
      </c>
      <c r="AU71" t="n">
        <v>0.055</v>
      </c>
      <c r="AV71" t="n">
        <v>0.386</v>
      </c>
      <c r="AW71" t="n">
        <v>0.217</v>
      </c>
      <c r="AX71" t="n">
        <v>4</v>
      </c>
      <c r="AY71" t="n">
        <v>0</v>
      </c>
      <c r="AZ71" t="n">
        <v>4</v>
      </c>
      <c r="BA71" t="n">
        <v>9.9</v>
      </c>
      <c r="BH71" t="n">
        <v>0</v>
      </c>
      <c r="BI71" t="n">
        <v>0</v>
      </c>
      <c r="BJ71" t="n">
        <v>956</v>
      </c>
      <c r="BK71" t="n">
        <v>0</v>
      </c>
      <c r="BL71" t="n">
        <v>9303</v>
      </c>
      <c r="BO71" t="n">
        <v>4342</v>
      </c>
      <c r="BQ71" t="n">
        <v>0</v>
      </c>
      <c r="BT71" t="n">
        <v>2</v>
      </c>
      <c r="BW71" t="n">
        <v>333</v>
      </c>
      <c r="CD71" t="n">
        <v>0</v>
      </c>
      <c r="CH71" t="n">
        <v>15.5</v>
      </c>
      <c r="CK71" t="n">
        <v>1.16</v>
      </c>
      <c r="CL71" t="n">
        <v>0</v>
      </c>
      <c r="CT71" t="n">
        <v>8.5</v>
      </c>
      <c r="CW71" t="n">
        <v>0</v>
      </c>
      <c r="CX71" t="n">
        <v>0</v>
      </c>
      <c r="CY71" t="n">
        <v>0.027</v>
      </c>
      <c r="CZ71" t="n">
        <v>0</v>
      </c>
      <c r="DB71" t="n">
        <v>0</v>
      </c>
      <c r="DD71" t="n">
        <v>0</v>
      </c>
      <c r="DF71" t="n">
        <v>0</v>
      </c>
      <c r="DH71" t="n">
        <v>0.002</v>
      </c>
      <c r="DJ71" t="n">
        <v>0.001</v>
      </c>
      <c r="DL71" t="n">
        <v>0.021</v>
      </c>
      <c r="DN71" t="n">
        <v>0.001</v>
      </c>
      <c r="DT71" t="n">
        <v>0.007</v>
      </c>
      <c r="DY71" t="n">
        <v>0.002</v>
      </c>
      <c r="EC71" t="n">
        <v>0.005</v>
      </c>
      <c r="EE71" t="n">
        <v>0</v>
      </c>
      <c r="EG71" t="n">
        <v>0</v>
      </c>
      <c r="EL71" t="n">
        <v>0.07099999999999999</v>
      </c>
      <c r="EM71" t="n">
        <v>0.061</v>
      </c>
      <c r="ER71" t="n">
        <v>0.008999999999999999</v>
      </c>
      <c r="EV71" t="n">
        <v>0</v>
      </c>
      <c r="FD71" t="n">
        <v>0</v>
      </c>
      <c r="FG71" t="n">
        <v>0</v>
      </c>
      <c r="FL71" t="n">
        <v>0</v>
      </c>
      <c r="FN71" t="n">
        <v>0</v>
      </c>
      <c r="GB71" t="n">
        <v>0</v>
      </c>
      <c r="HQ71" t="n">
        <v>0</v>
      </c>
    </row>
    <row r="72">
      <c r="A72" t="n">
        <v>2346367</v>
      </c>
      <c r="B72" t="inlineStr">
        <is>
          <t>Carrots, cooked, as ingredient</t>
        </is>
      </c>
      <c r="C72" t="inlineStr"/>
      <c r="D72" t="inlineStr">
        <is>
          <t>Survey (FNDDS)</t>
        </is>
      </c>
      <c r="E72" s="9" t="n">
        <v>100</v>
      </c>
      <c r="F72" s="10">
        <f>E72/SUM($E$3:$E$80)</f>
        <v/>
      </c>
      <c r="G72" t="n">
        <v>87.8</v>
      </c>
      <c r="H72" t="n">
        <v>46.05</v>
      </c>
      <c r="I72" t="n">
        <v>192.6732</v>
      </c>
      <c r="J72" t="n">
        <v>0.1552</v>
      </c>
      <c r="K72" t="n">
        <v>0.97</v>
      </c>
      <c r="L72" t="n">
        <v>0.25</v>
      </c>
      <c r="M72" t="n">
        <v>0.25</v>
      </c>
      <c r="O72" t="n">
        <v>9.98</v>
      </c>
      <c r="P72" t="n">
        <v>2.9</v>
      </c>
      <c r="V72" t="n">
        <v>4.94</v>
      </c>
      <c r="AF72" t="n">
        <v>34</v>
      </c>
      <c r="AG72" t="n">
        <v>0.31</v>
      </c>
      <c r="AH72" t="n">
        <v>12</v>
      </c>
      <c r="AI72" t="n">
        <v>36</v>
      </c>
      <c r="AJ72" t="n">
        <v>333</v>
      </c>
      <c r="AK72" t="n">
        <v>72</v>
      </c>
      <c r="AL72" t="n">
        <v>0.25</v>
      </c>
      <c r="AM72" t="n">
        <v>0.047</v>
      </c>
      <c r="AP72" t="n">
        <v>0.1</v>
      </c>
      <c r="AS72" t="n">
        <v>17</v>
      </c>
      <c r="AT72" t="n">
        <v>0.062</v>
      </c>
      <c r="AU72" t="n">
        <v>0.057</v>
      </c>
      <c r="AV72" t="n">
        <v>0.973</v>
      </c>
      <c r="AW72" t="n">
        <v>0.129</v>
      </c>
      <c r="AX72" t="n">
        <v>17</v>
      </c>
      <c r="AY72" t="n">
        <v>0</v>
      </c>
      <c r="AZ72" t="n">
        <v>17</v>
      </c>
      <c r="BA72" t="n">
        <v>9.199999999999999</v>
      </c>
      <c r="BH72" t="n">
        <v>0</v>
      </c>
      <c r="BI72" t="n">
        <v>0</v>
      </c>
      <c r="BJ72" t="n">
        <v>826</v>
      </c>
      <c r="BK72" t="n">
        <v>0</v>
      </c>
      <c r="BL72" t="n">
        <v>8199</v>
      </c>
      <c r="BO72" t="n">
        <v>3441</v>
      </c>
      <c r="BQ72" t="n">
        <v>0</v>
      </c>
      <c r="BT72" t="n">
        <v>1</v>
      </c>
      <c r="BW72" t="n">
        <v>253</v>
      </c>
      <c r="CD72" t="n">
        <v>0</v>
      </c>
      <c r="CH72" t="n">
        <v>13.8</v>
      </c>
      <c r="CK72" t="n">
        <v>0.6899999999999999</v>
      </c>
      <c r="CL72" t="n">
        <v>0</v>
      </c>
      <c r="CT72" t="n">
        <v>5.2</v>
      </c>
      <c r="CW72" t="n">
        <v>0</v>
      </c>
      <c r="CX72" t="n">
        <v>0</v>
      </c>
      <c r="CY72" t="n">
        <v>0.033</v>
      </c>
      <c r="CZ72" t="n">
        <v>0</v>
      </c>
      <c r="DB72" t="n">
        <v>0</v>
      </c>
      <c r="DD72" t="n">
        <v>0</v>
      </c>
      <c r="DF72" t="n">
        <v>0</v>
      </c>
      <c r="DH72" t="n">
        <v>0</v>
      </c>
      <c r="DJ72" t="n">
        <v>0</v>
      </c>
      <c r="DL72" t="n">
        <v>0.031</v>
      </c>
      <c r="DN72" t="n">
        <v>0.002</v>
      </c>
      <c r="DT72" t="n">
        <v>0.012</v>
      </c>
      <c r="DY72" t="n">
        <v>0.002</v>
      </c>
      <c r="EC72" t="n">
        <v>0.011</v>
      </c>
      <c r="EE72" t="n">
        <v>0</v>
      </c>
      <c r="EG72" t="n">
        <v>0</v>
      </c>
      <c r="EL72" t="n">
        <v>0.106</v>
      </c>
      <c r="EM72" t="n">
        <v>0.104</v>
      </c>
      <c r="ER72" t="n">
        <v>0.002</v>
      </c>
      <c r="EV72" t="n">
        <v>0</v>
      </c>
      <c r="FD72" t="n">
        <v>0</v>
      </c>
      <c r="FG72" t="n">
        <v>0</v>
      </c>
      <c r="FL72" t="n">
        <v>0</v>
      </c>
      <c r="FN72" t="n">
        <v>0</v>
      </c>
      <c r="GB72" t="n">
        <v>0</v>
      </c>
      <c r="HQ72" t="n">
        <v>0</v>
      </c>
    </row>
    <row r="73">
      <c r="A73" t="n">
        <v>2346393</v>
      </c>
      <c r="B73" t="inlineStr">
        <is>
          <t>Nuts, almonds, whole, raw</t>
        </is>
      </c>
      <c r="C73" t="inlineStr"/>
      <c r="D73" t="inlineStr">
        <is>
          <t>Foundation</t>
        </is>
      </c>
      <c r="E73" s="9" t="n">
        <v>100</v>
      </c>
      <c r="F73" s="10">
        <f>E73/SUM($E$3:$E$80)</f>
        <v/>
      </c>
      <c r="G73" t="n">
        <v>4.26</v>
      </c>
      <c r="H73" t="n">
        <v>625.9000000000001</v>
      </c>
      <c r="I73" t="n">
        <v>2618.765600000001</v>
      </c>
      <c r="J73" t="n">
        <v>4.14</v>
      </c>
      <c r="K73" t="n">
        <v>21.5</v>
      </c>
      <c r="L73" t="n">
        <v>51.1</v>
      </c>
      <c r="M73" t="n">
        <v>51.1</v>
      </c>
      <c r="N73" t="n">
        <v>3.16</v>
      </c>
      <c r="O73" t="n">
        <v>20</v>
      </c>
      <c r="P73" t="n">
        <v>10.8</v>
      </c>
      <c r="AF73" t="n">
        <v>254</v>
      </c>
      <c r="AG73" t="n">
        <v>3.74</v>
      </c>
      <c r="AH73" t="n">
        <v>258</v>
      </c>
      <c r="AI73" t="n">
        <v>503</v>
      </c>
      <c r="AJ73" t="n">
        <v>733</v>
      </c>
      <c r="AK73" t="n">
        <v>0</v>
      </c>
      <c r="AL73" t="n">
        <v>2.86</v>
      </c>
      <c r="AM73" t="n">
        <v>0.91</v>
      </c>
      <c r="AN73" t="n">
        <v>2.15</v>
      </c>
      <c r="AQ73" t="n">
        <v>45.3</v>
      </c>
      <c r="AT73" t="n">
        <v>0.16</v>
      </c>
      <c r="AV73" t="n">
        <v>3.77</v>
      </c>
      <c r="AW73" t="n">
        <v>0.101</v>
      </c>
      <c r="CH73" t="n">
        <v>0</v>
      </c>
      <c r="CI73" t="n">
        <v>0</v>
      </c>
      <c r="CJ73" t="n">
        <v>0</v>
      </c>
      <c r="CV73" t="n">
        <v>57</v>
      </c>
      <c r="CY73" t="n">
        <v>3.78</v>
      </c>
      <c r="DT73" t="n">
        <v>31.3</v>
      </c>
      <c r="EL73" t="n">
        <v>11.2</v>
      </c>
      <c r="GC73" t="n">
        <v>0.208</v>
      </c>
      <c r="GD73" t="n">
        <v>0.608</v>
      </c>
      <c r="GE73" t="n">
        <v>0.774</v>
      </c>
      <c r="GF73" t="n">
        <v>1.49</v>
      </c>
      <c r="GG73" t="n">
        <v>0.618</v>
      </c>
      <c r="GH73" t="n">
        <v>0.154</v>
      </c>
      <c r="GI73" t="n">
        <v>1.2</v>
      </c>
      <c r="GJ73" t="n">
        <v>0.63</v>
      </c>
      <c r="GK73" t="n">
        <v>0.916</v>
      </c>
      <c r="GL73" t="n">
        <v>2.46</v>
      </c>
      <c r="GM73" t="n">
        <v>0.548</v>
      </c>
      <c r="GN73" t="n">
        <v>0.98</v>
      </c>
      <c r="GO73" t="n">
        <v>2.4</v>
      </c>
      <c r="GP73" t="n">
        <v>4.25</v>
      </c>
      <c r="GQ73" t="n">
        <v>1.43</v>
      </c>
      <c r="GR73" t="n">
        <v>1.31</v>
      </c>
      <c r="GS73" t="n">
        <v>0.99</v>
      </c>
      <c r="GT73" t="n">
        <v>0</v>
      </c>
      <c r="GU73" t="n">
        <v>0.5</v>
      </c>
    </row>
    <row r="74">
      <c r="A74" t="n">
        <v>2512381</v>
      </c>
      <c r="B74" t="inlineStr">
        <is>
          <t>Rice, white, long grain, unenriched, raw</t>
        </is>
      </c>
      <c r="C74" t="inlineStr"/>
      <c r="D74" t="inlineStr">
        <is>
          <t>Foundation</t>
        </is>
      </c>
      <c r="E74" s="9" t="n">
        <v>100</v>
      </c>
      <c r="F74" s="10">
        <f>E74/SUM($E$3:$E$80)</f>
        <v/>
      </c>
      <c r="G74" t="n">
        <v>11.2</v>
      </c>
      <c r="H74" t="n">
        <v>358.63</v>
      </c>
      <c r="I74" t="n">
        <v>1500.50792</v>
      </c>
      <c r="J74" t="n">
        <v>1.18</v>
      </c>
      <c r="K74" t="n">
        <v>7.04</v>
      </c>
      <c r="L74" t="n">
        <v>1.03</v>
      </c>
      <c r="M74" t="n">
        <v>1.03</v>
      </c>
      <c r="N74" t="n">
        <v>0.425</v>
      </c>
      <c r="O74" t="n">
        <v>80.3</v>
      </c>
      <c r="P74" t="n">
        <v>0.149</v>
      </c>
      <c r="S74" t="n">
        <v>2.77</v>
      </c>
      <c r="T74" t="n">
        <v>1.93</v>
      </c>
      <c r="U74" t="n">
        <v>0.296</v>
      </c>
      <c r="AC74" t="n">
        <v>74.40000000000001</v>
      </c>
      <c r="AF74" t="n">
        <v>4.46</v>
      </c>
      <c r="AG74" t="n">
        <v>0.14</v>
      </c>
      <c r="AH74" t="n">
        <v>26.5</v>
      </c>
      <c r="AI74" t="n">
        <v>108</v>
      </c>
      <c r="AJ74" t="n">
        <v>82.3</v>
      </c>
      <c r="AK74" t="n">
        <v>0.462</v>
      </c>
      <c r="AL74" t="n">
        <v>1.35</v>
      </c>
      <c r="AM74" t="n">
        <v>0.214</v>
      </c>
      <c r="AN74" t="n">
        <v>0.981</v>
      </c>
      <c r="AP74" t="n">
        <v>6.6</v>
      </c>
      <c r="AQ74" t="n">
        <v>64.2</v>
      </c>
      <c r="AT74" t="n">
        <v>0.065</v>
      </c>
      <c r="AU74" t="n">
        <v>0.08</v>
      </c>
      <c r="AV74" t="n">
        <v>1.43</v>
      </c>
      <c r="AW74" t="n">
        <v>0.0579</v>
      </c>
      <c r="CV74" t="n">
        <v>0</v>
      </c>
    </row>
    <row r="75">
      <c r="A75" t="n">
        <v>2549992</v>
      </c>
      <c r="B75" t="inlineStr">
        <is>
          <t>BROCCOLI</t>
        </is>
      </c>
      <c r="C75" t="inlineStr">
        <is>
          <t>Wal-Mart Stores, Inc.</t>
        </is>
      </c>
      <c r="D75" t="inlineStr">
        <is>
          <t>Branded</t>
        </is>
      </c>
      <c r="E75" s="9" t="n">
        <v>100</v>
      </c>
      <c r="F75" s="10">
        <f>E75/SUM($E$3:$E$80)</f>
        <v/>
      </c>
      <c r="G75" t="n">
        <v>89.44</v>
      </c>
      <c r="H75" t="n">
        <v>28.24</v>
      </c>
      <c r="I75" t="n">
        <v>118.15616</v>
      </c>
      <c r="J75" t="n">
        <v>0.376</v>
      </c>
      <c r="K75" t="n">
        <v>2.35</v>
      </c>
      <c r="L75" t="n">
        <v>0</v>
      </c>
      <c r="M75" t="n">
        <v>0</v>
      </c>
      <c r="O75" t="n">
        <v>4.71</v>
      </c>
      <c r="P75" t="n">
        <v>3.5</v>
      </c>
      <c r="V75" t="n">
        <v>1.18</v>
      </c>
      <c r="AF75" t="n">
        <v>59</v>
      </c>
      <c r="AG75" t="n">
        <v>0.82</v>
      </c>
      <c r="AJ75" t="n">
        <v>212</v>
      </c>
      <c r="AK75" t="n">
        <v>24</v>
      </c>
      <c r="CC75" t="n">
        <v>0</v>
      </c>
      <c r="CY75" t="n">
        <v>0</v>
      </c>
      <c r="FO75" t="n">
        <v>0</v>
      </c>
      <c r="GB75" t="n">
        <v>0</v>
      </c>
    </row>
    <row r="76">
      <c r="A76" t="n">
        <v>2644283</v>
      </c>
      <c r="B76" t="inlineStr">
        <is>
          <t>Lentils, dry</t>
        </is>
      </c>
      <c r="C76" t="inlineStr"/>
      <c r="D76" t="inlineStr">
        <is>
          <t>Foundation</t>
        </is>
      </c>
      <c r="E76" s="9" t="n">
        <v>32.80000000000001</v>
      </c>
      <c r="F76" s="10">
        <f>E76/SUM($E$3:$E$80)</f>
        <v/>
      </c>
      <c r="G76" t="n">
        <v>9.449999999999999</v>
      </c>
      <c r="H76" t="n">
        <v>360.48</v>
      </c>
      <c r="I76" t="n">
        <v>1508.24832</v>
      </c>
      <c r="J76" t="n">
        <v>3.77</v>
      </c>
      <c r="K76" t="n">
        <v>23.6</v>
      </c>
      <c r="L76" t="n">
        <v>1.92</v>
      </c>
      <c r="M76" t="n">
        <v>1.92</v>
      </c>
      <c r="N76" t="n">
        <v>2.88</v>
      </c>
      <c r="O76" t="n">
        <v>62.2</v>
      </c>
      <c r="AC76" t="n">
        <v>37.1</v>
      </c>
      <c r="AD76" t="n">
        <v>16</v>
      </c>
      <c r="AF76" t="n">
        <v>61.8</v>
      </c>
      <c r="AG76" t="n">
        <v>7.16</v>
      </c>
      <c r="AH76" t="n">
        <v>107</v>
      </c>
      <c r="AI76" t="n">
        <v>374</v>
      </c>
      <c r="AJ76" t="n">
        <v>949</v>
      </c>
      <c r="AK76" t="n">
        <v>0</v>
      </c>
      <c r="AL76" t="n">
        <v>3.86</v>
      </c>
      <c r="AM76" t="n">
        <v>0.838</v>
      </c>
      <c r="AN76" t="n">
        <v>1.57</v>
      </c>
    </row>
    <row r="77">
      <c r="A77" t="n">
        <v>2707920</v>
      </c>
      <c r="B77" t="inlineStr">
        <is>
          <t>Cookie, chocolate sandwich</t>
        </is>
      </c>
      <c r="C77" t="inlineStr"/>
      <c r="D77" t="inlineStr">
        <is>
          <t>Survey (FNDDS)</t>
        </is>
      </c>
      <c r="E77" s="9" t="n">
        <v>100</v>
      </c>
      <c r="F77" s="10">
        <f>E77/SUM($E$3:$E$80)</f>
        <v/>
      </c>
      <c r="G77" t="n">
        <v>3.11</v>
      </c>
      <c r="H77" t="n">
        <v>476.74</v>
      </c>
      <c r="I77" t="n">
        <v>1994.68016</v>
      </c>
      <c r="J77" t="n">
        <v>0.8336</v>
      </c>
      <c r="K77" t="n">
        <v>5.21</v>
      </c>
      <c r="L77" t="n">
        <v>19.1</v>
      </c>
      <c r="M77" t="n">
        <v>19.1</v>
      </c>
      <c r="O77" t="n">
        <v>71</v>
      </c>
      <c r="P77" t="n">
        <v>2.9</v>
      </c>
      <c r="V77" t="n">
        <v>40.7</v>
      </c>
      <c r="AF77" t="n">
        <v>21</v>
      </c>
      <c r="AG77" t="n">
        <v>12.1</v>
      </c>
      <c r="AH77" t="n">
        <v>47</v>
      </c>
      <c r="AI77" t="n">
        <v>93</v>
      </c>
      <c r="AJ77" t="n">
        <v>234</v>
      </c>
      <c r="AK77" t="n">
        <v>388</v>
      </c>
      <c r="AL77" t="n">
        <v>0.74</v>
      </c>
      <c r="AM77" t="n">
        <v>0.334</v>
      </c>
      <c r="AP77" t="n">
        <v>5.2</v>
      </c>
      <c r="AS77" t="n">
        <v>3</v>
      </c>
      <c r="AT77" t="n">
        <v>0.197</v>
      </c>
      <c r="AU77" t="n">
        <v>0.238</v>
      </c>
      <c r="AV77" t="n">
        <v>2.6</v>
      </c>
      <c r="AW77" t="n">
        <v>0.023</v>
      </c>
      <c r="AX77" t="n">
        <v>61</v>
      </c>
      <c r="AY77" t="n">
        <v>58</v>
      </c>
      <c r="AZ77" t="n">
        <v>102</v>
      </c>
      <c r="BA77" t="n">
        <v>19.2</v>
      </c>
      <c r="BH77" t="n">
        <v>0</v>
      </c>
      <c r="BI77" t="n">
        <v>0</v>
      </c>
      <c r="BJ77" t="n">
        <v>1</v>
      </c>
      <c r="BK77" t="n">
        <v>0</v>
      </c>
      <c r="BL77" t="n">
        <v>0</v>
      </c>
      <c r="BO77" t="n">
        <v>0</v>
      </c>
      <c r="BQ77" t="n">
        <v>0</v>
      </c>
      <c r="BT77" t="n">
        <v>0</v>
      </c>
      <c r="BW77" t="n">
        <v>4</v>
      </c>
      <c r="CD77" t="n">
        <v>0</v>
      </c>
      <c r="CH77" t="n">
        <v>27.4</v>
      </c>
      <c r="CK77" t="n">
        <v>2.47</v>
      </c>
      <c r="CL77" t="n">
        <v>0</v>
      </c>
      <c r="CT77" t="n">
        <v>0</v>
      </c>
      <c r="CW77" t="n">
        <v>5</v>
      </c>
      <c r="CX77" t="n">
        <v>184</v>
      </c>
      <c r="CY77" t="n">
        <v>5.65</v>
      </c>
      <c r="CZ77" t="n">
        <v>0</v>
      </c>
      <c r="DB77" t="n">
        <v>0</v>
      </c>
      <c r="DD77" t="n">
        <v>0.003</v>
      </c>
      <c r="DF77" t="n">
        <v>0.011</v>
      </c>
      <c r="DH77" t="n">
        <v>0.045</v>
      </c>
      <c r="DJ77" t="n">
        <v>0.111</v>
      </c>
      <c r="DL77" t="n">
        <v>4.45</v>
      </c>
      <c r="DN77" t="n">
        <v>0.857</v>
      </c>
      <c r="DT77" t="n">
        <v>9.279999999999999</v>
      </c>
      <c r="DY77" t="n">
        <v>0.036</v>
      </c>
      <c r="EC77" t="n">
        <v>9.109999999999999</v>
      </c>
      <c r="EE77" t="n">
        <v>0.12</v>
      </c>
      <c r="EG77" t="n">
        <v>0.003</v>
      </c>
      <c r="EL77" t="n">
        <v>3.56</v>
      </c>
      <c r="EM77" t="n">
        <v>3.25</v>
      </c>
      <c r="ER77" t="n">
        <v>0.298</v>
      </c>
      <c r="EV77" t="n">
        <v>0</v>
      </c>
      <c r="FD77" t="n">
        <v>0.004</v>
      </c>
      <c r="FG77" t="n">
        <v>0</v>
      </c>
      <c r="FL77" t="n">
        <v>0</v>
      </c>
      <c r="FN77" t="n">
        <v>0</v>
      </c>
      <c r="GB77" t="n">
        <v>0</v>
      </c>
      <c r="HQ77" t="n">
        <v>0</v>
      </c>
    </row>
    <row r="78">
      <c r="A78" t="n">
        <v>2709645</v>
      </c>
      <c r="B78" t="inlineStr">
        <is>
          <t>Broccoli, fresh, cooked, no added fat</t>
        </is>
      </c>
      <c r="C78" t="inlineStr"/>
      <c r="D78" t="inlineStr">
        <is>
          <t>Survey (FNDDS)</t>
        </is>
      </c>
      <c r="E78" s="9" t="n">
        <v>100</v>
      </c>
      <c r="F78" s="10">
        <f>E78/SUM($E$3:$E$80)</f>
        <v/>
      </c>
      <c r="G78" t="n">
        <v>89.3</v>
      </c>
      <c r="H78" t="n">
        <v>39.87</v>
      </c>
      <c r="I78" t="n">
        <v>166.81608</v>
      </c>
      <c r="J78" t="n">
        <v>0.4272</v>
      </c>
      <c r="K78" t="n">
        <v>2.67</v>
      </c>
      <c r="L78" t="n">
        <v>0.35</v>
      </c>
      <c r="M78" t="n">
        <v>0.35</v>
      </c>
      <c r="O78" t="n">
        <v>6.51</v>
      </c>
      <c r="P78" t="n">
        <v>2.5</v>
      </c>
      <c r="V78" t="n">
        <v>1.45</v>
      </c>
      <c r="AF78" t="n">
        <v>48</v>
      </c>
      <c r="AG78" t="n">
        <v>0.72</v>
      </c>
      <c r="AH78" t="n">
        <v>22</v>
      </c>
      <c r="AI78" t="n">
        <v>70</v>
      </c>
      <c r="AJ78" t="n">
        <v>315</v>
      </c>
      <c r="AK78" t="n">
        <v>158</v>
      </c>
      <c r="AL78" t="n">
        <v>0.44</v>
      </c>
      <c r="AM78" t="n">
        <v>0.061</v>
      </c>
      <c r="AP78" t="n">
        <v>1.7</v>
      </c>
      <c r="AS78" t="n">
        <v>57</v>
      </c>
      <c r="AT78" t="n">
        <v>0.07199999999999999</v>
      </c>
      <c r="AU78" t="n">
        <v>0.112</v>
      </c>
      <c r="AV78" t="n">
        <v>0.63</v>
      </c>
      <c r="AW78" t="n">
        <v>0.179</v>
      </c>
      <c r="AX78" t="n">
        <v>57</v>
      </c>
      <c r="AY78" t="n">
        <v>0</v>
      </c>
      <c r="AZ78" t="n">
        <v>57</v>
      </c>
      <c r="BA78" t="n">
        <v>19.4</v>
      </c>
      <c r="BH78" t="n">
        <v>0</v>
      </c>
      <c r="BI78" t="n">
        <v>0</v>
      </c>
      <c r="BJ78" t="n">
        <v>8</v>
      </c>
      <c r="BK78" t="n">
        <v>0</v>
      </c>
      <c r="BL78" t="n">
        <v>92</v>
      </c>
      <c r="BO78" t="n">
        <v>0</v>
      </c>
      <c r="BQ78" t="n">
        <v>0</v>
      </c>
      <c r="BT78" t="n">
        <v>0</v>
      </c>
      <c r="BW78" t="n">
        <v>735</v>
      </c>
      <c r="CD78" t="n">
        <v>0</v>
      </c>
      <c r="CH78" t="n">
        <v>106</v>
      </c>
      <c r="CK78" t="n">
        <v>0.16</v>
      </c>
      <c r="CL78" t="n">
        <v>0</v>
      </c>
      <c r="CT78" t="n">
        <v>80.59999999999999</v>
      </c>
      <c r="CW78" t="n">
        <v>0</v>
      </c>
      <c r="CX78" t="n">
        <v>0</v>
      </c>
      <c r="CY78" t="n">
        <v>0.041</v>
      </c>
      <c r="CZ78" t="n">
        <v>0</v>
      </c>
      <c r="DB78" t="n">
        <v>0</v>
      </c>
      <c r="DD78" t="n">
        <v>0</v>
      </c>
      <c r="DF78" t="n">
        <v>0</v>
      </c>
      <c r="DH78" t="n">
        <v>0</v>
      </c>
      <c r="DJ78" t="n">
        <v>0.001</v>
      </c>
      <c r="DL78" t="n">
        <v>0.03</v>
      </c>
      <c r="DN78" t="n">
        <v>0.006</v>
      </c>
      <c r="DT78" t="n">
        <v>0.011</v>
      </c>
      <c r="DY78" t="n">
        <v>0</v>
      </c>
      <c r="EC78" t="n">
        <v>0.01</v>
      </c>
      <c r="EE78" t="n">
        <v>0</v>
      </c>
      <c r="EG78" t="n">
        <v>0</v>
      </c>
      <c r="EL78" t="n">
        <v>0.018</v>
      </c>
      <c r="EM78" t="n">
        <v>0.018</v>
      </c>
      <c r="ER78" t="n">
        <v>0.022</v>
      </c>
      <c r="EV78" t="n">
        <v>0</v>
      </c>
      <c r="FD78" t="n">
        <v>0</v>
      </c>
      <c r="FG78" t="n">
        <v>0</v>
      </c>
      <c r="FL78" t="n">
        <v>0</v>
      </c>
      <c r="FN78" t="n">
        <v>0</v>
      </c>
      <c r="GB78" t="n">
        <v>0</v>
      </c>
      <c r="HQ78" t="n">
        <v>0</v>
      </c>
    </row>
    <row r="79">
      <c r="A79" t="n">
        <v>2709646</v>
      </c>
      <c r="B79" t="inlineStr">
        <is>
          <t>Broccoli, frozen, cooked, no added fat</t>
        </is>
      </c>
      <c r="C79" t="inlineStr"/>
      <c r="D79" t="inlineStr">
        <is>
          <t>Survey (FNDDS)</t>
        </is>
      </c>
      <c r="E79" s="9" t="n">
        <v>100</v>
      </c>
      <c r="F79" s="10">
        <f>E79/SUM($E$3:$E$80)</f>
        <v/>
      </c>
      <c r="G79" t="n">
        <v>90.40000000000001</v>
      </c>
      <c r="H79" t="n">
        <v>34.76</v>
      </c>
      <c r="I79" t="n">
        <v>145.43584</v>
      </c>
      <c r="J79" t="n">
        <v>0.4944</v>
      </c>
      <c r="K79" t="n">
        <v>3.09</v>
      </c>
      <c r="L79" t="n">
        <v>0.12</v>
      </c>
      <c r="M79" t="n">
        <v>0.12</v>
      </c>
      <c r="O79" t="n">
        <v>5.33</v>
      </c>
      <c r="P79" t="n">
        <v>3</v>
      </c>
      <c r="V79" t="n">
        <v>1.47</v>
      </c>
      <c r="AF79" t="n">
        <v>33</v>
      </c>
      <c r="AG79" t="n">
        <v>0.61</v>
      </c>
      <c r="AH79" t="n">
        <v>13</v>
      </c>
      <c r="AI79" t="n">
        <v>49</v>
      </c>
      <c r="AJ79" t="n">
        <v>142</v>
      </c>
      <c r="AK79" t="n">
        <v>127</v>
      </c>
      <c r="AL79" t="n">
        <v>0.28</v>
      </c>
      <c r="AM79" t="n">
        <v>0.034</v>
      </c>
      <c r="AP79" t="n">
        <v>0.7</v>
      </c>
      <c r="AS79" t="n">
        <v>56</v>
      </c>
      <c r="AT79" t="n">
        <v>0.055</v>
      </c>
      <c r="AU79" t="n">
        <v>0.081</v>
      </c>
      <c r="AV79" t="n">
        <v>0.457</v>
      </c>
      <c r="AW79" t="n">
        <v>0.13</v>
      </c>
      <c r="AX79" t="n">
        <v>56</v>
      </c>
      <c r="AY79" t="n">
        <v>0</v>
      </c>
      <c r="AZ79" t="n">
        <v>56</v>
      </c>
      <c r="BA79" t="n">
        <v>16.2</v>
      </c>
      <c r="BH79" t="n">
        <v>0</v>
      </c>
      <c r="BI79" t="n">
        <v>0</v>
      </c>
      <c r="BJ79" t="n">
        <v>51</v>
      </c>
      <c r="BK79" t="n">
        <v>0</v>
      </c>
      <c r="BL79" t="n">
        <v>595</v>
      </c>
      <c r="BO79" t="n">
        <v>19</v>
      </c>
      <c r="BQ79" t="n">
        <v>1</v>
      </c>
      <c r="BT79" t="n">
        <v>0</v>
      </c>
      <c r="BW79" t="n">
        <v>1090</v>
      </c>
      <c r="CD79" t="n">
        <v>0</v>
      </c>
      <c r="CH79" t="n">
        <v>87.8</v>
      </c>
      <c r="CK79" t="n">
        <v>1.32</v>
      </c>
      <c r="CL79" t="n">
        <v>0</v>
      </c>
      <c r="CT79" t="n">
        <v>40</v>
      </c>
      <c r="CW79" t="n">
        <v>0</v>
      </c>
      <c r="CX79" t="n">
        <v>0</v>
      </c>
      <c r="CY79" t="n">
        <v>0.018</v>
      </c>
      <c r="CZ79" t="n">
        <v>0</v>
      </c>
      <c r="DB79" t="n">
        <v>0</v>
      </c>
      <c r="DD79" t="n">
        <v>0</v>
      </c>
      <c r="DF79" t="n">
        <v>0</v>
      </c>
      <c r="DH79" t="n">
        <v>0</v>
      </c>
      <c r="DJ79" t="n">
        <v>0</v>
      </c>
      <c r="DL79" t="n">
        <v>0.016</v>
      </c>
      <c r="DN79" t="n">
        <v>0.002</v>
      </c>
      <c r="DT79" t="n">
        <v>0.008</v>
      </c>
      <c r="DY79" t="n">
        <v>0</v>
      </c>
      <c r="EC79" t="n">
        <v>0.008</v>
      </c>
      <c r="EE79" t="n">
        <v>0</v>
      </c>
      <c r="EG79" t="n">
        <v>0</v>
      </c>
      <c r="EL79" t="n">
        <v>0.055</v>
      </c>
      <c r="EM79" t="n">
        <v>0.013</v>
      </c>
      <c r="ER79" t="n">
        <v>0.042</v>
      </c>
      <c r="EV79" t="n">
        <v>0</v>
      </c>
      <c r="FD79" t="n">
        <v>0</v>
      </c>
      <c r="FG79" t="n">
        <v>0</v>
      </c>
      <c r="FL79" t="n">
        <v>0</v>
      </c>
      <c r="FN79" t="n">
        <v>0</v>
      </c>
      <c r="GB79" t="n">
        <v>0</v>
      </c>
      <c r="HQ79" t="n">
        <v>0</v>
      </c>
    </row>
    <row r="80">
      <c r="A80" t="n">
        <v>2720960</v>
      </c>
      <c r="B80" t="inlineStr">
        <is>
          <t>Pringles Crisps Bbq 16.9oz</t>
        </is>
      </c>
      <c r="C80" t="inlineStr">
        <is>
          <t>Kellogg Company US</t>
        </is>
      </c>
      <c r="D80" t="inlineStr">
        <is>
          <t>Branded</t>
        </is>
      </c>
      <c r="E80" s="9" t="n">
        <v>100</v>
      </c>
      <c r="F80" s="10">
        <f>E80/SUM($E$3:$E$80)</f>
        <v/>
      </c>
      <c r="G80" t="n">
        <v>4.299999999999983</v>
      </c>
      <c r="H80" t="n">
        <v>529.2</v>
      </c>
      <c r="I80" t="n">
        <v>2214.1728</v>
      </c>
      <c r="J80" t="n">
        <v>0.72</v>
      </c>
      <c r="K80" t="n">
        <v>4.5</v>
      </c>
      <c r="L80" t="n">
        <v>31.2</v>
      </c>
      <c r="M80" t="n">
        <v>31.2</v>
      </c>
      <c r="O80" t="n">
        <v>57.6</v>
      </c>
      <c r="P80" t="n">
        <v>2.4</v>
      </c>
      <c r="V80" t="n">
        <v>4.3</v>
      </c>
      <c r="AE80" t="n">
        <v>3.2</v>
      </c>
      <c r="AF80" t="n">
        <v>9.699999999999999</v>
      </c>
      <c r="AG80" t="n">
        <v>0.6</v>
      </c>
      <c r="AJ80" t="n">
        <v>412</v>
      </c>
      <c r="AK80" t="n">
        <v>482</v>
      </c>
      <c r="CD80" t="n">
        <v>0</v>
      </c>
      <c r="CY80" t="n">
        <v>8.6</v>
      </c>
      <c r="FO80" t="n">
        <v>0</v>
      </c>
      <c r="GB80" t="n">
        <v>0</v>
      </c>
    </row>
    <row r="81">
      <c r="A81" t="inlineStr">
        <is>
          <t>Total</t>
        </is>
      </c>
      <c r="B81" t="inlineStr">
        <is>
          <t>Formulado</t>
        </is>
      </c>
      <c r="C81" t="inlineStr">
        <is>
          <t>Formulado</t>
        </is>
      </c>
      <c r="D81" t="inlineStr">
        <is>
          <t>Formulado</t>
        </is>
      </c>
      <c r="E81" s="11">
        <f>SUBTOTAL(9,E3:E80)</f>
        <v/>
      </c>
      <c r="F81" s="12" t="inlineStr">
        <is>
          <t>100%</t>
        </is>
      </c>
      <c r="G81" s="13">
        <f>SUMPRODUCT($F$3:$F$80,$G$3:$G$80)</f>
        <v/>
      </c>
      <c r="H81" s="13">
        <f>SUMPRODUCT($F$3:$F$80,$H$3:$H$80)</f>
        <v/>
      </c>
      <c r="I81" s="13">
        <f>SUMPRODUCT($F$3:$F$80,$I$3:$I$80)</f>
        <v/>
      </c>
      <c r="J81" s="13">
        <f>SUMPRODUCT($F$3:$F$80,$J$3:$J$80)</f>
        <v/>
      </c>
      <c r="K81" s="13">
        <f>SUMPRODUCT($F$3:$F$80,$K$3:$K$80)</f>
        <v/>
      </c>
      <c r="L81" s="13">
        <f>SUMPRODUCT($F$3:$F$80,$L$3:$L$80)</f>
        <v/>
      </c>
      <c r="M81" s="13">
        <f>SUMPRODUCT($F$3:$F$80,$M$3:$M$80)</f>
        <v/>
      </c>
      <c r="N81" s="13">
        <f>SUMPRODUCT($F$3:$F$80,$N$3:$N$80)</f>
        <v/>
      </c>
      <c r="O81" s="13">
        <f>SUMPRODUCT($F$3:$F$80,$O$3:$O$80)</f>
        <v/>
      </c>
      <c r="P81" s="13">
        <f>SUMPRODUCT($F$3:$F$80,$P$3:$P$80)</f>
        <v/>
      </c>
      <c r="Q81" s="13">
        <f>SUMPRODUCT($F$3:$F$80,$Q$3:$Q$80)</f>
        <v/>
      </c>
      <c r="R81" s="13">
        <f>SUMPRODUCT($F$3:$F$80,$R$3:$R$80)</f>
        <v/>
      </c>
      <c r="S81" s="13">
        <f>SUMPRODUCT($F$3:$F$80,$S$3:$S$80)</f>
        <v/>
      </c>
      <c r="T81" s="13">
        <f>SUMPRODUCT($F$3:$F$80,$T$3:$T$80)</f>
        <v/>
      </c>
      <c r="U81" s="13">
        <f>SUMPRODUCT($F$3:$F$80,$U$3:$U$80)</f>
        <v/>
      </c>
      <c r="V81" s="13">
        <f>SUMPRODUCT($F$3:$F$80,$V$3:$V$80)</f>
        <v/>
      </c>
      <c r="W81" s="13">
        <f>SUMPRODUCT($F$3:$F$80,$W$3:$W$80)</f>
        <v/>
      </c>
      <c r="X81" s="13">
        <f>SUMPRODUCT($F$3:$F$80,$X$3:$X$80)</f>
        <v/>
      </c>
      <c r="Y81" s="13">
        <f>SUMPRODUCT($F$3:$F$80,$Y$3:$Y$80)</f>
        <v/>
      </c>
      <c r="Z81" s="13">
        <f>SUMPRODUCT($F$3:$F$80,$Z$3:$Z$80)</f>
        <v/>
      </c>
      <c r="AA81" s="13">
        <f>SUMPRODUCT($F$3:$F$80,$AA$3:$AA$80)</f>
        <v/>
      </c>
      <c r="AB81" s="13">
        <f>SUMPRODUCT($F$3:$F$80,$AB$3:$AB$80)</f>
        <v/>
      </c>
      <c r="AC81" s="13">
        <f>SUMPRODUCT($F$3:$F$80,$AC$3:$AC$80)</f>
        <v/>
      </c>
      <c r="AD81" s="13">
        <f>SUMPRODUCT($F$3:$F$80,$AD$3:$AD$80)</f>
        <v/>
      </c>
      <c r="AE81" s="13">
        <f>SUMPRODUCT($F$3:$F$80,$AE$3:$AE$80)</f>
        <v/>
      </c>
      <c r="AF81" s="13">
        <f>SUMPRODUCT($F$3:$F$80,$AF$3:$AF$80)</f>
        <v/>
      </c>
      <c r="AG81" s="13">
        <f>SUMPRODUCT($F$3:$F$80,$AG$3:$AG$80)</f>
        <v/>
      </c>
      <c r="AH81" s="13">
        <f>SUMPRODUCT($F$3:$F$80,$AH$3:$AH$80)</f>
        <v/>
      </c>
      <c r="AI81" s="13">
        <f>SUMPRODUCT($F$3:$F$80,$AI$3:$AI$80)</f>
        <v/>
      </c>
      <c r="AJ81" s="13">
        <f>SUMPRODUCT($F$3:$F$80,$AJ$3:$AJ$80)</f>
        <v/>
      </c>
      <c r="AK81" s="13">
        <f>SUMPRODUCT($F$3:$F$80,$AK$3:$AK$80)</f>
        <v/>
      </c>
      <c r="AL81" s="13">
        <f>SUMPRODUCT($F$3:$F$80,$AL$3:$AL$80)</f>
        <v/>
      </c>
      <c r="AM81" s="13">
        <f>SUMPRODUCT($F$3:$F$80,$AM$3:$AM$80)</f>
        <v/>
      </c>
      <c r="AN81" s="13">
        <f>SUMPRODUCT($F$3:$F$80,$AN$3:$AN$80)</f>
        <v/>
      </c>
      <c r="AO81" s="13">
        <f>SUMPRODUCT($F$3:$F$80,$AO$3:$AO$80)</f>
        <v/>
      </c>
      <c r="AP81" s="13">
        <f>SUMPRODUCT($F$3:$F$80,$AP$3:$AP$80)</f>
        <v/>
      </c>
      <c r="AQ81" s="13">
        <f>SUMPRODUCT($F$3:$F$80,$AQ$3:$AQ$80)</f>
        <v/>
      </c>
      <c r="AR81" s="13">
        <f>SUMPRODUCT($F$3:$F$80,$AR$3:$AR$80)</f>
        <v/>
      </c>
      <c r="AS81" s="13">
        <f>SUMPRODUCT($F$3:$F$80,$AS$3:$AS$80)</f>
        <v/>
      </c>
      <c r="AT81" s="13">
        <f>SUMPRODUCT($F$3:$F$80,$AT$3:$AT$80)</f>
        <v/>
      </c>
      <c r="AU81" s="13">
        <f>SUMPRODUCT($F$3:$F$80,$AU$3:$AU$80)</f>
        <v/>
      </c>
      <c r="AV81" s="13">
        <f>SUMPRODUCT($F$3:$F$80,$AV$3:$AV$80)</f>
        <v/>
      </c>
      <c r="AW81" s="13">
        <f>SUMPRODUCT($F$3:$F$80,$AW$3:$AW$80)</f>
        <v/>
      </c>
      <c r="AX81" s="13">
        <f>SUMPRODUCT($F$3:$F$80,$AX$3:$AX$80)</f>
        <v/>
      </c>
      <c r="AY81" s="13">
        <f>SUMPRODUCT($F$3:$F$80,$AY$3:$AY$80)</f>
        <v/>
      </c>
      <c r="AZ81" s="13">
        <f>SUMPRODUCT($F$3:$F$80,$AZ$3:$AZ$80)</f>
        <v/>
      </c>
      <c r="BA81" s="13">
        <f>SUMPRODUCT($F$3:$F$80,$BA$3:$BA$80)</f>
        <v/>
      </c>
      <c r="BB81" s="13">
        <f>SUMPRODUCT($F$3:$F$80,$BB$3:$BB$80)</f>
        <v/>
      </c>
      <c r="BC81" s="13">
        <f>SUMPRODUCT($F$3:$F$80,$BC$3:$BC$80)</f>
        <v/>
      </c>
      <c r="BD81" s="13">
        <f>SUMPRODUCT($F$3:$F$80,$BD$3:$BD$80)</f>
        <v/>
      </c>
      <c r="BE81" s="13">
        <f>SUMPRODUCT($F$3:$F$80,$BE$3:$BE$80)</f>
        <v/>
      </c>
      <c r="BF81" s="13">
        <f>SUMPRODUCT($F$3:$F$80,$BF$3:$BF$80)</f>
        <v/>
      </c>
      <c r="BG81" s="13">
        <f>SUMPRODUCT($F$3:$F$80,$BG$3:$BG$80)</f>
        <v/>
      </c>
      <c r="BH81" s="13">
        <f>SUMPRODUCT($F$3:$F$80,$BH$3:$BH$80)</f>
        <v/>
      </c>
      <c r="BI81" s="13">
        <f>SUMPRODUCT($F$3:$F$80,$BI$3:$BI$80)</f>
        <v/>
      </c>
      <c r="BJ81" s="13">
        <f>SUMPRODUCT($F$3:$F$80,$BJ$3:$BJ$80)</f>
        <v/>
      </c>
      <c r="BK81" s="13">
        <f>SUMPRODUCT($F$3:$F$80,$BK$3:$BK$80)</f>
        <v/>
      </c>
      <c r="BL81" s="13">
        <f>SUMPRODUCT($F$3:$F$80,$BL$3:$BL$80)</f>
        <v/>
      </c>
      <c r="BM81" s="13">
        <f>SUMPRODUCT($F$3:$F$80,$BM$3:$BM$80)</f>
        <v/>
      </c>
      <c r="BN81" s="13">
        <f>SUMPRODUCT($F$3:$F$80,$BN$3:$BN$80)</f>
        <v/>
      </c>
      <c r="BO81" s="13">
        <f>SUMPRODUCT($F$3:$F$80,$BO$3:$BO$80)</f>
        <v/>
      </c>
      <c r="BP81" s="13">
        <f>SUMPRODUCT($F$3:$F$80,$BP$3:$BP$80)</f>
        <v/>
      </c>
      <c r="BQ81" s="13">
        <f>SUMPRODUCT($F$3:$F$80,$BQ$3:$BQ$80)</f>
        <v/>
      </c>
      <c r="BR81" s="13">
        <f>SUMPRODUCT($F$3:$F$80,$BR$3:$BR$80)</f>
        <v/>
      </c>
      <c r="BS81" s="13">
        <f>SUMPRODUCT($F$3:$F$80,$BS$3:$BS$80)</f>
        <v/>
      </c>
      <c r="BT81" s="13">
        <f>SUMPRODUCT($F$3:$F$80,$BT$3:$BT$80)</f>
        <v/>
      </c>
      <c r="BU81" s="13">
        <f>SUMPRODUCT($F$3:$F$80,$BU$3:$BU$80)</f>
        <v/>
      </c>
      <c r="BV81" s="13">
        <f>SUMPRODUCT($F$3:$F$80,$BV$3:$BV$80)</f>
        <v/>
      </c>
      <c r="BW81" s="13">
        <f>SUMPRODUCT($F$3:$F$80,$BW$3:$BW$80)</f>
        <v/>
      </c>
      <c r="BX81" s="13">
        <f>SUMPRODUCT($F$3:$F$80,$BX$3:$BX$80)</f>
        <v/>
      </c>
      <c r="BY81" s="13">
        <f>SUMPRODUCT($F$3:$F$80,$BY$3:$BY$80)</f>
        <v/>
      </c>
      <c r="BZ81" s="13">
        <f>SUMPRODUCT($F$3:$F$80,$BZ$3:$BZ$80)</f>
        <v/>
      </c>
      <c r="CA81" s="13">
        <f>SUMPRODUCT($F$3:$F$80,$CA$3:$CA$80)</f>
        <v/>
      </c>
      <c r="CB81" s="13">
        <f>SUMPRODUCT($F$3:$F$80,$CB$3:$CB$80)</f>
        <v/>
      </c>
      <c r="CC81" s="13">
        <f>SUMPRODUCT($F$3:$F$80,$CC$3:$CC$80)</f>
        <v/>
      </c>
      <c r="CD81" s="13">
        <f>SUMPRODUCT($F$3:$F$80,$CD$3:$CD$80)</f>
        <v/>
      </c>
      <c r="CE81" s="13">
        <f>SUMPRODUCT($F$3:$F$80,$CE$3:$CE$80)</f>
        <v/>
      </c>
      <c r="CF81" s="13">
        <f>SUMPRODUCT($F$3:$F$80,$CF$3:$CF$80)</f>
        <v/>
      </c>
      <c r="CG81" s="13">
        <f>SUMPRODUCT($F$3:$F$80,$CG$3:$CG$80)</f>
        <v/>
      </c>
      <c r="CH81" s="13">
        <f>SUMPRODUCT($F$3:$F$80,$CH$3:$CH$80)</f>
        <v/>
      </c>
      <c r="CI81" s="13">
        <f>SUMPRODUCT($F$3:$F$80,$CI$3:$CI$80)</f>
        <v/>
      </c>
      <c r="CJ81" s="13">
        <f>SUMPRODUCT($F$3:$F$80,$CJ$3:$CJ$80)</f>
        <v/>
      </c>
      <c r="CK81" s="13">
        <f>SUMPRODUCT($F$3:$F$80,$CK$3:$CK$80)</f>
        <v/>
      </c>
      <c r="CL81" s="13">
        <f>SUMPRODUCT($F$3:$F$80,$CL$3:$CL$80)</f>
        <v/>
      </c>
      <c r="CM81" s="13">
        <f>SUMPRODUCT($F$3:$F$80,$CM$3:$CM$80)</f>
        <v/>
      </c>
      <c r="CN81" s="13">
        <f>SUMPRODUCT($F$3:$F$80,$CN$3:$CN$80)</f>
        <v/>
      </c>
      <c r="CO81" s="13">
        <f>SUMPRODUCT($F$3:$F$80,$CO$3:$CO$80)</f>
        <v/>
      </c>
      <c r="CP81" s="13">
        <f>SUMPRODUCT($F$3:$F$80,$CP$3:$CP$80)</f>
        <v/>
      </c>
      <c r="CQ81" s="13">
        <f>SUMPRODUCT($F$3:$F$80,$CQ$3:$CQ$80)</f>
        <v/>
      </c>
      <c r="CR81" s="13">
        <f>SUMPRODUCT($F$3:$F$80,$CR$3:$CR$80)</f>
        <v/>
      </c>
      <c r="CS81" s="13">
        <f>SUMPRODUCT($F$3:$F$80,$CS$3:$CS$80)</f>
        <v/>
      </c>
      <c r="CT81" s="13">
        <f>SUMPRODUCT($F$3:$F$80,$CT$3:$CT$80)</f>
        <v/>
      </c>
      <c r="CU81" s="13">
        <f>SUMPRODUCT($F$3:$F$80,$CU$3:$CU$80)</f>
        <v/>
      </c>
      <c r="CV81" s="13">
        <f>SUMPRODUCT($F$3:$F$80,$CV$3:$CV$80)</f>
        <v/>
      </c>
      <c r="CW81" s="13">
        <f>SUMPRODUCT($F$3:$F$80,$CW$3:$CW$80)</f>
        <v/>
      </c>
      <c r="CX81" s="13">
        <f>SUMPRODUCT($F$3:$F$80,$CX$3:$CX$80)</f>
        <v/>
      </c>
      <c r="CY81" s="13">
        <f>SUMPRODUCT($F$3:$F$80,$CY$3:$CY$80)</f>
        <v/>
      </c>
      <c r="CZ81" s="13">
        <f>SUMPRODUCT($F$3:$F$80,$CZ$3:$CZ$80)</f>
        <v/>
      </c>
      <c r="DA81" s="13">
        <f>SUMPRODUCT($F$3:$F$80,$DA$3:$DA$80)</f>
        <v/>
      </c>
      <c r="DB81" s="13">
        <f>SUMPRODUCT($F$3:$F$80,$DB$3:$DB$80)</f>
        <v/>
      </c>
      <c r="DC81" s="13">
        <f>SUMPRODUCT($F$3:$F$80,$DC$3:$DC$80)</f>
        <v/>
      </c>
      <c r="DD81" s="13">
        <f>SUMPRODUCT($F$3:$F$80,$DD$3:$DD$80)</f>
        <v/>
      </c>
      <c r="DE81" s="13">
        <f>SUMPRODUCT($F$3:$F$80,$DE$3:$DE$80)</f>
        <v/>
      </c>
      <c r="DF81" s="13">
        <f>SUMPRODUCT($F$3:$F$80,$DF$3:$DF$80)</f>
        <v/>
      </c>
      <c r="DG81" s="13">
        <f>SUMPRODUCT($F$3:$F$80,$DG$3:$DG$80)</f>
        <v/>
      </c>
      <c r="DH81" s="13">
        <f>SUMPRODUCT($F$3:$F$80,$DH$3:$DH$80)</f>
        <v/>
      </c>
      <c r="DI81" s="13">
        <f>SUMPRODUCT($F$3:$F$80,$DI$3:$DI$80)</f>
        <v/>
      </c>
      <c r="DJ81" s="13">
        <f>SUMPRODUCT($F$3:$F$80,$DJ$3:$DJ$80)</f>
        <v/>
      </c>
      <c r="DK81" s="13">
        <f>SUMPRODUCT($F$3:$F$80,$DK$3:$DK$80)</f>
        <v/>
      </c>
      <c r="DL81" s="13">
        <f>SUMPRODUCT($F$3:$F$80,$DL$3:$DL$80)</f>
        <v/>
      </c>
      <c r="DM81" s="13">
        <f>SUMPRODUCT($F$3:$F$80,$DM$3:$DM$80)</f>
        <v/>
      </c>
      <c r="DN81" s="13">
        <f>SUMPRODUCT($F$3:$F$80,$DN$3:$DN$80)</f>
        <v/>
      </c>
      <c r="DO81" s="13">
        <f>SUMPRODUCT($F$3:$F$80,$DO$3:$DO$80)</f>
        <v/>
      </c>
      <c r="DP81" s="13">
        <f>SUMPRODUCT($F$3:$F$80,$DP$3:$DP$80)</f>
        <v/>
      </c>
      <c r="DQ81" s="13">
        <f>SUMPRODUCT($F$3:$F$80,$DQ$3:$DQ$80)</f>
        <v/>
      </c>
      <c r="DR81" s="13">
        <f>SUMPRODUCT($F$3:$F$80,$DR$3:$DR$80)</f>
        <v/>
      </c>
      <c r="DS81" s="13">
        <f>SUMPRODUCT($F$3:$F$80,$DS$3:$DS$80)</f>
        <v/>
      </c>
      <c r="DT81" s="13">
        <f>SUMPRODUCT($F$3:$F$80,$DT$3:$DT$80)</f>
        <v/>
      </c>
      <c r="DU81" s="13">
        <f>SUMPRODUCT($F$3:$F$80,$DU$3:$DU$80)</f>
        <v/>
      </c>
      <c r="DV81" s="13">
        <f>SUMPRODUCT($F$3:$F$80,$DV$3:$DV$80)</f>
        <v/>
      </c>
      <c r="DW81" s="13">
        <f>SUMPRODUCT($F$3:$F$80,$DW$3:$DW$80)</f>
        <v/>
      </c>
      <c r="DX81" s="13">
        <f>SUMPRODUCT($F$3:$F$80,$DX$3:$DX$80)</f>
        <v/>
      </c>
      <c r="DY81" s="13">
        <f>SUMPRODUCT($F$3:$F$80,$DY$3:$DY$80)</f>
        <v/>
      </c>
      <c r="DZ81" s="13">
        <f>SUMPRODUCT($F$3:$F$80,$DZ$3:$DZ$80)</f>
        <v/>
      </c>
      <c r="EA81" s="13">
        <f>SUMPRODUCT($F$3:$F$80,$EA$3:$EA$80)</f>
        <v/>
      </c>
      <c r="EB81" s="13">
        <f>SUMPRODUCT($F$3:$F$80,$EB$3:$EB$80)</f>
        <v/>
      </c>
      <c r="EC81" s="13">
        <f>SUMPRODUCT($F$3:$F$80,$EC$3:$EC$80)</f>
        <v/>
      </c>
      <c r="ED81" s="13">
        <f>SUMPRODUCT($F$3:$F$80,$ED$3:$ED$80)</f>
        <v/>
      </c>
      <c r="EE81" s="13">
        <f>SUMPRODUCT($F$3:$F$80,$EE$3:$EE$80)</f>
        <v/>
      </c>
      <c r="EF81" s="13">
        <f>SUMPRODUCT($F$3:$F$80,$EF$3:$EF$80)</f>
        <v/>
      </c>
      <c r="EG81" s="13">
        <f>SUMPRODUCT($F$3:$F$80,$EG$3:$EG$80)</f>
        <v/>
      </c>
      <c r="EH81" s="13">
        <f>SUMPRODUCT($F$3:$F$80,$EH$3:$EH$80)</f>
        <v/>
      </c>
      <c r="EI81" s="13">
        <f>SUMPRODUCT($F$3:$F$80,$EI$3:$EI$80)</f>
        <v/>
      </c>
      <c r="EJ81" s="13">
        <f>SUMPRODUCT($F$3:$F$80,$EJ$3:$EJ$80)</f>
        <v/>
      </c>
      <c r="EK81" s="13">
        <f>SUMPRODUCT($F$3:$F$80,$EK$3:$EK$80)</f>
        <v/>
      </c>
      <c r="EL81" s="13">
        <f>SUMPRODUCT($F$3:$F$80,$EL$3:$EL$80)</f>
        <v/>
      </c>
      <c r="EM81" s="13">
        <f>SUMPRODUCT($F$3:$F$80,$EM$3:$EM$80)</f>
        <v/>
      </c>
      <c r="EN81" s="13">
        <f>SUMPRODUCT($F$3:$F$80,$EN$3:$EN$80)</f>
        <v/>
      </c>
      <c r="EO81" s="13">
        <f>SUMPRODUCT($F$3:$F$80,$EO$3:$EO$80)</f>
        <v/>
      </c>
      <c r="EP81" s="13">
        <f>SUMPRODUCT($F$3:$F$80,$EP$3:$EP$80)</f>
        <v/>
      </c>
      <c r="EQ81" s="13">
        <f>SUMPRODUCT($F$3:$F$80,$EQ$3:$EQ$80)</f>
        <v/>
      </c>
      <c r="ER81" s="13">
        <f>SUMPRODUCT($F$3:$F$80,$ER$3:$ER$80)</f>
        <v/>
      </c>
      <c r="ES81" s="13">
        <f>SUMPRODUCT($F$3:$F$80,$ES$3:$ES$80)</f>
        <v/>
      </c>
      <c r="ET81" s="13">
        <f>SUMPRODUCT($F$3:$F$80,$ET$3:$ET$80)</f>
        <v/>
      </c>
      <c r="EU81" s="13">
        <f>SUMPRODUCT($F$3:$F$80,$EU$3:$EU$80)</f>
        <v/>
      </c>
      <c r="EV81" s="13">
        <f>SUMPRODUCT($F$3:$F$80,$EV$3:$EV$80)</f>
        <v/>
      </c>
      <c r="EW81" s="13">
        <f>SUMPRODUCT($F$3:$F$80,$EW$3:$EW$80)</f>
        <v/>
      </c>
      <c r="EX81" s="13">
        <f>SUMPRODUCT($F$3:$F$80,$EX$3:$EX$80)</f>
        <v/>
      </c>
      <c r="EY81" s="13">
        <f>SUMPRODUCT($F$3:$F$80,$EY$3:$EY$80)</f>
        <v/>
      </c>
      <c r="EZ81" s="13">
        <f>SUMPRODUCT($F$3:$F$80,$EZ$3:$EZ$80)</f>
        <v/>
      </c>
      <c r="FA81" s="13">
        <f>SUMPRODUCT($F$3:$F$80,$FA$3:$FA$80)</f>
        <v/>
      </c>
      <c r="FB81" s="13">
        <f>SUMPRODUCT($F$3:$F$80,$FB$3:$FB$80)</f>
        <v/>
      </c>
      <c r="FC81" s="13">
        <f>SUMPRODUCT($F$3:$F$80,$FC$3:$FC$80)</f>
        <v/>
      </c>
      <c r="FD81" s="13">
        <f>SUMPRODUCT($F$3:$F$80,$FD$3:$FD$80)</f>
        <v/>
      </c>
      <c r="FE81" s="13">
        <f>SUMPRODUCT($F$3:$F$80,$FE$3:$FE$80)</f>
        <v/>
      </c>
      <c r="FF81" s="13">
        <f>SUMPRODUCT($F$3:$F$80,$FF$3:$FF$80)</f>
        <v/>
      </c>
      <c r="FG81" s="13">
        <f>SUMPRODUCT($F$3:$F$80,$FG$3:$FG$80)</f>
        <v/>
      </c>
      <c r="FH81" s="13">
        <f>SUMPRODUCT($F$3:$F$80,$FH$3:$FH$80)</f>
        <v/>
      </c>
      <c r="FI81" s="13">
        <f>SUMPRODUCT($F$3:$F$80,$FI$3:$FI$80)</f>
        <v/>
      </c>
      <c r="FJ81" s="13">
        <f>SUMPRODUCT($F$3:$F$80,$FJ$3:$FJ$80)</f>
        <v/>
      </c>
      <c r="FK81" s="13">
        <f>SUMPRODUCT($F$3:$F$80,$FK$3:$FK$80)</f>
        <v/>
      </c>
      <c r="FL81" s="13">
        <f>SUMPRODUCT($F$3:$F$80,$FL$3:$FL$80)</f>
        <v/>
      </c>
      <c r="FM81" s="13">
        <f>SUMPRODUCT($F$3:$F$80,$FM$3:$FM$80)</f>
        <v/>
      </c>
      <c r="FN81" s="13">
        <f>SUMPRODUCT($F$3:$F$80,$FN$3:$FN$80)</f>
        <v/>
      </c>
      <c r="FO81" s="13">
        <f>SUMPRODUCT($F$3:$F$80,$FO$3:$FO$80)</f>
        <v/>
      </c>
      <c r="FP81" s="13">
        <f>SUMPRODUCT($F$3:$F$80,$FP$3:$FP$80)</f>
        <v/>
      </c>
      <c r="FQ81" s="13">
        <f>SUMPRODUCT($F$3:$F$80,$FQ$3:$FQ$80)</f>
        <v/>
      </c>
      <c r="FR81" s="13">
        <f>SUMPRODUCT($F$3:$F$80,$FR$3:$FR$80)</f>
        <v/>
      </c>
      <c r="FS81" s="13">
        <f>SUMPRODUCT($F$3:$F$80,$FS$3:$FS$80)</f>
        <v/>
      </c>
      <c r="FT81" s="13">
        <f>SUMPRODUCT($F$3:$F$80,$FT$3:$FT$80)</f>
        <v/>
      </c>
      <c r="FU81" s="13">
        <f>SUMPRODUCT($F$3:$F$80,$FU$3:$FU$80)</f>
        <v/>
      </c>
      <c r="FV81" s="13">
        <f>SUMPRODUCT($F$3:$F$80,$FV$3:$FV$80)</f>
        <v/>
      </c>
      <c r="FW81" s="13">
        <f>SUMPRODUCT($F$3:$F$80,$FW$3:$FW$80)</f>
        <v/>
      </c>
      <c r="FX81" s="13">
        <f>SUMPRODUCT($F$3:$F$80,$FX$3:$FX$80)</f>
        <v/>
      </c>
      <c r="FY81" s="13">
        <f>SUMPRODUCT($F$3:$F$80,$FY$3:$FY$80)</f>
        <v/>
      </c>
      <c r="FZ81" s="13">
        <f>SUMPRODUCT($F$3:$F$80,$FZ$3:$FZ$80)</f>
        <v/>
      </c>
      <c r="GA81" s="13">
        <f>SUMPRODUCT($F$3:$F$80,$GA$3:$GA$80)</f>
        <v/>
      </c>
      <c r="GB81" s="13">
        <f>SUMPRODUCT($F$3:$F$80,$GB$3:$GB$80)</f>
        <v/>
      </c>
      <c r="GC81" s="13">
        <f>SUMPRODUCT($F$3:$F$80,$GC$3:$GC$80)</f>
        <v/>
      </c>
      <c r="GD81" s="13">
        <f>SUMPRODUCT($F$3:$F$80,$GD$3:$GD$80)</f>
        <v/>
      </c>
      <c r="GE81" s="13">
        <f>SUMPRODUCT($F$3:$F$80,$GE$3:$GE$80)</f>
        <v/>
      </c>
      <c r="GF81" s="13">
        <f>SUMPRODUCT($F$3:$F$80,$GF$3:$GF$80)</f>
        <v/>
      </c>
      <c r="GG81" s="13">
        <f>SUMPRODUCT($F$3:$F$80,$GG$3:$GG$80)</f>
        <v/>
      </c>
      <c r="GH81" s="13">
        <f>SUMPRODUCT($F$3:$F$80,$GH$3:$GH$80)</f>
        <v/>
      </c>
      <c r="GI81" s="13">
        <f>SUMPRODUCT($F$3:$F$80,$GI$3:$GI$80)</f>
        <v/>
      </c>
      <c r="GJ81" s="13">
        <f>SUMPRODUCT($F$3:$F$80,$GJ$3:$GJ$80)</f>
        <v/>
      </c>
      <c r="GK81" s="13">
        <f>SUMPRODUCT($F$3:$F$80,$GK$3:$GK$80)</f>
        <v/>
      </c>
      <c r="GL81" s="13">
        <f>SUMPRODUCT($F$3:$F$80,$GL$3:$GL$80)</f>
        <v/>
      </c>
      <c r="GM81" s="13">
        <f>SUMPRODUCT($F$3:$F$80,$GM$3:$GM$80)</f>
        <v/>
      </c>
      <c r="GN81" s="13">
        <f>SUMPRODUCT($F$3:$F$80,$GN$3:$GN$80)</f>
        <v/>
      </c>
      <c r="GO81" s="13">
        <f>SUMPRODUCT($F$3:$F$80,$GO$3:$GO$80)</f>
        <v/>
      </c>
      <c r="GP81" s="13">
        <f>SUMPRODUCT($F$3:$F$80,$GP$3:$GP$80)</f>
        <v/>
      </c>
      <c r="GQ81" s="13">
        <f>SUMPRODUCT($F$3:$F$80,$GQ$3:$GQ$80)</f>
        <v/>
      </c>
      <c r="GR81" s="13">
        <f>SUMPRODUCT($F$3:$F$80,$GR$3:$GR$80)</f>
        <v/>
      </c>
      <c r="GS81" s="13">
        <f>SUMPRODUCT($F$3:$F$80,$GS$3:$GS$80)</f>
        <v/>
      </c>
      <c r="GT81" s="13">
        <f>SUMPRODUCT($F$3:$F$80,$GT$3:$GT$80)</f>
        <v/>
      </c>
      <c r="GU81" s="13">
        <f>SUMPRODUCT($F$3:$F$80,$GU$3:$GU$80)</f>
        <v/>
      </c>
      <c r="GV81" s="13">
        <f>SUMPRODUCT($F$3:$F$80,$GV$3:$GV$80)</f>
        <v/>
      </c>
      <c r="GW81" s="13">
        <f>SUMPRODUCT($F$3:$F$80,$GW$3:$GW$80)</f>
        <v/>
      </c>
      <c r="GX81" s="13">
        <f>SUMPRODUCT($F$3:$F$80,$GX$3:$GX$80)</f>
        <v/>
      </c>
      <c r="GY81" s="13">
        <f>SUMPRODUCT($F$3:$F$80,$GY$3:$GY$80)</f>
        <v/>
      </c>
      <c r="GZ81" s="13">
        <f>SUMPRODUCT($F$3:$F$80,$GZ$3:$GZ$80)</f>
        <v/>
      </c>
      <c r="HA81" s="13">
        <f>SUMPRODUCT($F$3:$F$80,$HA$3:$HA$80)</f>
        <v/>
      </c>
      <c r="HB81" s="13">
        <f>SUMPRODUCT($F$3:$F$80,$HB$3:$HB$80)</f>
        <v/>
      </c>
      <c r="HC81" s="13">
        <f>SUMPRODUCT($F$3:$F$80,$HC$3:$HC$80)</f>
        <v/>
      </c>
      <c r="HD81" s="13">
        <f>SUMPRODUCT($F$3:$F$80,$HD$3:$HD$80)</f>
        <v/>
      </c>
      <c r="HE81" s="13">
        <f>SUMPRODUCT($F$3:$F$80,$HE$3:$HE$80)</f>
        <v/>
      </c>
      <c r="HF81" s="13">
        <f>SUMPRODUCT($F$3:$F$80,$HF$3:$HF$80)</f>
        <v/>
      </c>
      <c r="HG81" s="13">
        <f>SUMPRODUCT($F$3:$F$80,$HG$3:$HG$80)</f>
        <v/>
      </c>
      <c r="HH81" s="13">
        <f>SUMPRODUCT($F$3:$F$80,$HH$3:$HH$80)</f>
        <v/>
      </c>
      <c r="HI81" s="13">
        <f>SUMPRODUCT($F$3:$F$80,$HI$3:$HI$80)</f>
        <v/>
      </c>
      <c r="HJ81" s="13">
        <f>SUMPRODUCT($F$3:$F$80,$HJ$3:$HJ$80)</f>
        <v/>
      </c>
      <c r="HK81" s="13">
        <f>SUMPRODUCT($F$3:$F$80,$HK$3:$HK$80)</f>
        <v/>
      </c>
      <c r="HL81" s="13">
        <f>SUMPRODUCT($F$3:$F$80,$HL$3:$HL$80)</f>
        <v/>
      </c>
      <c r="HM81" s="13">
        <f>SUMPRODUCT($F$3:$F$80,$HM$3:$HM$80)</f>
        <v/>
      </c>
      <c r="HN81" s="13">
        <f>SUMPRODUCT($F$3:$F$80,$HN$3:$HN$80)</f>
        <v/>
      </c>
      <c r="HO81" s="13">
        <f>SUMPRODUCT($F$3:$F$80,$HO$3:$HO$80)</f>
        <v/>
      </c>
      <c r="HP81" s="13">
        <f>SUMPRODUCT($F$3:$F$80,$HP$3:$HP$80)</f>
        <v/>
      </c>
      <c r="HQ81" s="13">
        <f>SUMPRODUCT($F$3:$F$80,$HQ$3:$HQ$80)</f>
        <v/>
      </c>
    </row>
  </sheetData>
  <mergeCells count="12">
    <mergeCell ref="AS1:CX1"/>
    <mergeCell ref="G1:O1"/>
    <mergeCell ref="P1:AE1"/>
    <mergeCell ref="GC1:GU1"/>
    <mergeCell ref="GV1:HD1"/>
    <mergeCell ref="HI1:HK1"/>
    <mergeCell ref="A1:F1"/>
    <mergeCell ref="HL1:HP1"/>
    <mergeCell ref="HQ1"/>
    <mergeCell ref="HE1:HH1"/>
    <mergeCell ref="CY1:GB1"/>
    <mergeCell ref="AF1:AR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0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Nutriente</t>
        </is>
      </c>
      <c r="B1" s="8" t="inlineStr">
        <is>
          <t>Total</t>
        </is>
      </c>
      <c r="C1" s="8" t="inlineStr">
        <is>
          <t>Unidad</t>
        </is>
      </c>
    </row>
    <row r="2">
      <c r="A2" t="inlineStr">
        <is>
          <t>Water</t>
        </is>
      </c>
      <c r="B2">
        <f>Ingredientes!G81</f>
        <v/>
      </c>
      <c r="C2" t="inlineStr">
        <is>
          <t>g</t>
        </is>
      </c>
    </row>
    <row r="3">
      <c r="A3" t="inlineStr">
        <is>
          <t>Energy</t>
        </is>
      </c>
      <c r="B3">
        <f>Ingredientes!H81</f>
        <v/>
      </c>
      <c r="C3" t="inlineStr">
        <is>
          <t>kcal</t>
        </is>
      </c>
    </row>
    <row r="4">
      <c r="A4" t="inlineStr">
        <is>
          <t>Energy</t>
        </is>
      </c>
      <c r="B4">
        <f>Ingredientes!I81</f>
        <v/>
      </c>
      <c r="C4" t="inlineStr">
        <is>
          <t>kJ</t>
        </is>
      </c>
    </row>
    <row r="5">
      <c r="A5" t="inlineStr">
        <is>
          <t>Nitrogen</t>
        </is>
      </c>
      <c r="B5">
        <f>Ingredientes!J81</f>
        <v/>
      </c>
      <c r="C5" t="inlineStr">
        <is>
          <t>g</t>
        </is>
      </c>
    </row>
    <row r="6">
      <c r="A6" t="inlineStr">
        <is>
          <t>Protein</t>
        </is>
      </c>
      <c r="B6">
        <f>Ingredientes!K81</f>
        <v/>
      </c>
      <c r="C6" t="inlineStr">
        <is>
          <t>g</t>
        </is>
      </c>
    </row>
    <row r="7">
      <c r="A7" t="inlineStr">
        <is>
          <t>Total fat (NLEA)</t>
        </is>
      </c>
      <c r="B7">
        <f>Ingredientes!L81</f>
        <v/>
      </c>
      <c r="C7" t="inlineStr">
        <is>
          <t>g</t>
        </is>
      </c>
    </row>
    <row r="8">
      <c r="A8" t="inlineStr">
        <is>
          <t>Total lipid (fat)</t>
        </is>
      </c>
      <c r="B8">
        <f>Ingredientes!M81</f>
        <v/>
      </c>
      <c r="C8" t="inlineStr">
        <is>
          <t>g</t>
        </is>
      </c>
    </row>
    <row r="9">
      <c r="A9" t="inlineStr">
        <is>
          <t>Ash</t>
        </is>
      </c>
      <c r="B9">
        <f>Ingredientes!N81</f>
        <v/>
      </c>
      <c r="C9" t="inlineStr">
        <is>
          <t>g</t>
        </is>
      </c>
    </row>
    <row r="10">
      <c r="A10" t="inlineStr">
        <is>
          <t>Carbohydrate, by difference</t>
        </is>
      </c>
      <c r="B10">
        <f>Ingredientes!O81</f>
        <v/>
      </c>
      <c r="C10" t="inlineStr">
        <is>
          <t>g</t>
        </is>
      </c>
    </row>
    <row r="11">
      <c r="A11" t="inlineStr">
        <is>
          <t>Fiber, total dietary</t>
        </is>
      </c>
      <c r="B11">
        <f>Ingredientes!P81</f>
        <v/>
      </c>
      <c r="C11" t="inlineStr">
        <is>
          <t>g</t>
        </is>
      </c>
    </row>
    <row r="12">
      <c r="A12" t="inlineStr">
        <is>
          <t>Fiber, soluble</t>
        </is>
      </c>
      <c r="B12">
        <f>Ingredientes!Q81</f>
        <v/>
      </c>
      <c r="C12" t="inlineStr">
        <is>
          <t>g</t>
        </is>
      </c>
    </row>
    <row r="13">
      <c r="A13" t="inlineStr">
        <is>
          <t>Fiber, insoluble</t>
        </is>
      </c>
      <c r="B13">
        <f>Ingredientes!R81</f>
        <v/>
      </c>
      <c r="C13" t="inlineStr">
        <is>
          <t>g</t>
        </is>
      </c>
    </row>
    <row r="14">
      <c r="A14" t="inlineStr">
        <is>
          <t>Total dietary fiber (AOAC 2011.25)</t>
        </is>
      </c>
      <c r="B14">
        <f>Ingredientes!S81</f>
        <v/>
      </c>
      <c r="C14" t="inlineStr">
        <is>
          <t>g</t>
        </is>
      </c>
    </row>
    <row r="15">
      <c r="A15" t="inlineStr">
        <is>
          <t>High Molecular Weight Dietary Fiber (HMWDF)</t>
        </is>
      </c>
      <c r="B15">
        <f>Ingredientes!T81</f>
        <v/>
      </c>
      <c r="C15" t="inlineStr">
        <is>
          <t>g</t>
        </is>
      </c>
    </row>
    <row r="16">
      <c r="A16" t="inlineStr">
        <is>
          <t>Low Molecular Weight Dietary Fiber (LMWDF)</t>
        </is>
      </c>
      <c r="B16">
        <f>Ingredientes!U81</f>
        <v/>
      </c>
      <c r="C16" t="inlineStr">
        <is>
          <t>g</t>
        </is>
      </c>
    </row>
    <row r="17">
      <c r="A17" t="inlineStr">
        <is>
          <t>Sugars, Total</t>
        </is>
      </c>
      <c r="B17">
        <f>Ingredientes!V81</f>
        <v/>
      </c>
      <c r="C17" t="inlineStr">
        <is>
          <t>g</t>
        </is>
      </c>
    </row>
    <row r="18">
      <c r="A18" t="inlineStr">
        <is>
          <t>Sucrose</t>
        </is>
      </c>
      <c r="B18">
        <f>Ingredientes!W81</f>
        <v/>
      </c>
      <c r="C18" t="inlineStr">
        <is>
          <t>g</t>
        </is>
      </c>
    </row>
    <row r="19">
      <c r="A19" t="inlineStr">
        <is>
          <t>Glucose</t>
        </is>
      </c>
      <c r="B19">
        <f>Ingredientes!X81</f>
        <v/>
      </c>
      <c r="C19" t="inlineStr">
        <is>
          <t>g</t>
        </is>
      </c>
    </row>
    <row r="20">
      <c r="A20" t="inlineStr">
        <is>
          <t>Fructose</t>
        </is>
      </c>
      <c r="B20">
        <f>Ingredientes!Y81</f>
        <v/>
      </c>
      <c r="C20" t="inlineStr">
        <is>
          <t>g</t>
        </is>
      </c>
    </row>
    <row r="21">
      <c r="A21" t="inlineStr">
        <is>
          <t>Lactose</t>
        </is>
      </c>
      <c r="B21">
        <f>Ingredientes!Z81</f>
        <v/>
      </c>
      <c r="C21" t="inlineStr">
        <is>
          <t>g</t>
        </is>
      </c>
    </row>
    <row r="22">
      <c r="A22" t="inlineStr">
        <is>
          <t>Maltose</t>
        </is>
      </c>
      <c r="B22">
        <f>Ingredientes!AA81</f>
        <v/>
      </c>
      <c r="C22" t="inlineStr">
        <is>
          <t>g</t>
        </is>
      </c>
    </row>
    <row r="23">
      <c r="A23" t="inlineStr">
        <is>
          <t>Galactose</t>
        </is>
      </c>
      <c r="B23">
        <f>Ingredientes!AB81</f>
        <v/>
      </c>
      <c r="C23" t="inlineStr">
        <is>
          <t>g</t>
        </is>
      </c>
    </row>
    <row r="24">
      <c r="A24" t="inlineStr">
        <is>
          <t>Starch</t>
        </is>
      </c>
      <c r="B24">
        <f>Ingredientes!AC81</f>
        <v/>
      </c>
      <c r="C24" t="inlineStr">
        <is>
          <t>g</t>
        </is>
      </c>
    </row>
    <row r="25">
      <c r="A25" t="inlineStr">
        <is>
          <t>Resistant starch</t>
        </is>
      </c>
      <c r="B25">
        <f>Ingredientes!AD81</f>
        <v/>
      </c>
      <c r="C25" t="inlineStr">
        <is>
          <t>g</t>
        </is>
      </c>
    </row>
    <row r="26">
      <c r="A26" t="inlineStr">
        <is>
          <t>Sugars, added</t>
        </is>
      </c>
      <c r="B26">
        <f>Ingredientes!AE81</f>
        <v/>
      </c>
      <c r="C26" t="inlineStr">
        <is>
          <t>g</t>
        </is>
      </c>
    </row>
    <row r="27">
      <c r="A27" t="inlineStr">
        <is>
          <t>Calcium, Ca</t>
        </is>
      </c>
      <c r="B27">
        <f>Ingredientes!AF81</f>
        <v/>
      </c>
      <c r="C27" t="inlineStr">
        <is>
          <t>mg</t>
        </is>
      </c>
    </row>
    <row r="28">
      <c r="A28" t="inlineStr">
        <is>
          <t>Iron, Fe</t>
        </is>
      </c>
      <c r="B28">
        <f>Ingredientes!AG81</f>
        <v/>
      </c>
      <c r="C28" t="inlineStr">
        <is>
          <t>mg</t>
        </is>
      </c>
    </row>
    <row r="29">
      <c r="A29" t="inlineStr">
        <is>
          <t>Magnesium, Mg</t>
        </is>
      </c>
      <c r="B29">
        <f>Ingredientes!AH81</f>
        <v/>
      </c>
      <c r="C29" t="inlineStr">
        <is>
          <t>mg</t>
        </is>
      </c>
    </row>
    <row r="30">
      <c r="A30" t="inlineStr">
        <is>
          <t>Phosphorus, P</t>
        </is>
      </c>
      <c r="B30">
        <f>Ingredientes!AI81</f>
        <v/>
      </c>
      <c r="C30" t="inlineStr">
        <is>
          <t>mg</t>
        </is>
      </c>
    </row>
    <row r="31">
      <c r="A31" t="inlineStr">
        <is>
          <t>Potassium, K</t>
        </is>
      </c>
      <c r="B31">
        <f>Ingredientes!AJ81</f>
        <v/>
      </c>
      <c r="C31" t="inlineStr">
        <is>
          <t>mg</t>
        </is>
      </c>
    </row>
    <row r="32">
      <c r="A32" t="inlineStr">
        <is>
          <t>Sodium, Na</t>
        </is>
      </c>
      <c r="B32">
        <f>Ingredientes!AK81</f>
        <v/>
      </c>
      <c r="C32" t="inlineStr">
        <is>
          <t>mg</t>
        </is>
      </c>
    </row>
    <row r="33">
      <c r="A33" t="inlineStr">
        <is>
          <t>Zinc, Zn</t>
        </is>
      </c>
      <c r="B33">
        <f>Ingredientes!AL81</f>
        <v/>
      </c>
      <c r="C33" t="inlineStr">
        <is>
          <t>mg</t>
        </is>
      </c>
    </row>
    <row r="34">
      <c r="A34" t="inlineStr">
        <is>
          <t>Copper, Cu</t>
        </is>
      </c>
      <c r="B34">
        <f>Ingredientes!AM81</f>
        <v/>
      </c>
      <c r="C34" t="inlineStr">
        <is>
          <t>mg</t>
        </is>
      </c>
    </row>
    <row r="35">
      <c r="A35" t="inlineStr">
        <is>
          <t>Manganese, Mn</t>
        </is>
      </c>
      <c r="B35">
        <f>Ingredientes!AN81</f>
        <v/>
      </c>
      <c r="C35" t="inlineStr">
        <is>
          <t>mg</t>
        </is>
      </c>
    </row>
    <row r="36">
      <c r="A36" t="inlineStr">
        <is>
          <t>Iodine, I</t>
        </is>
      </c>
      <c r="B36">
        <f>Ingredientes!AO81</f>
        <v/>
      </c>
      <c r="C36" t="inlineStr">
        <is>
          <t>µg</t>
        </is>
      </c>
    </row>
    <row r="37">
      <c r="A37" t="inlineStr">
        <is>
          <t>Selenium, Se</t>
        </is>
      </c>
      <c r="B37">
        <f>Ingredientes!AP81</f>
        <v/>
      </c>
      <c r="C37" t="inlineStr">
        <is>
          <t>µg</t>
        </is>
      </c>
    </row>
    <row r="38">
      <c r="A38" t="inlineStr">
        <is>
          <t>Molybdenum, Mo</t>
        </is>
      </c>
      <c r="B38">
        <f>Ingredientes!AQ81</f>
        <v/>
      </c>
      <c r="C38" t="inlineStr">
        <is>
          <t>µg</t>
        </is>
      </c>
    </row>
    <row r="39">
      <c r="A39" t="inlineStr">
        <is>
          <t>Fluoride, F</t>
        </is>
      </c>
      <c r="B39">
        <f>Ingredientes!AR81</f>
        <v/>
      </c>
      <c r="C39" t="inlineStr">
        <is>
          <t>µg</t>
        </is>
      </c>
    </row>
    <row r="40">
      <c r="A40" t="inlineStr">
        <is>
          <t>Folate, food</t>
        </is>
      </c>
      <c r="B40">
        <f>Ingredientes!AS81</f>
        <v/>
      </c>
      <c r="C40" t="inlineStr">
        <is>
          <t>µg</t>
        </is>
      </c>
    </row>
    <row r="41">
      <c r="A41" t="inlineStr">
        <is>
          <t>Thiamin</t>
        </is>
      </c>
      <c r="B41">
        <f>Ingredientes!AT81</f>
        <v/>
      </c>
      <c r="C41" t="inlineStr">
        <is>
          <t>mg</t>
        </is>
      </c>
    </row>
    <row r="42">
      <c r="A42" t="inlineStr">
        <is>
          <t>Riboflavin</t>
        </is>
      </c>
      <c r="B42">
        <f>Ingredientes!AU81</f>
        <v/>
      </c>
      <c r="C42" t="inlineStr">
        <is>
          <t>mg</t>
        </is>
      </c>
    </row>
    <row r="43">
      <c r="A43" t="inlineStr">
        <is>
          <t>Niacin</t>
        </is>
      </c>
      <c r="B43">
        <f>Ingredientes!AV81</f>
        <v/>
      </c>
      <c r="C43" t="inlineStr">
        <is>
          <t>mg</t>
        </is>
      </c>
    </row>
    <row r="44">
      <c r="A44" t="inlineStr">
        <is>
          <t>Vitamin B-6</t>
        </is>
      </c>
      <c r="B44">
        <f>Ingredientes!AW81</f>
        <v/>
      </c>
      <c r="C44" t="inlineStr">
        <is>
          <t>mg</t>
        </is>
      </c>
    </row>
    <row r="45">
      <c r="A45" t="inlineStr">
        <is>
          <t>Folate, total</t>
        </is>
      </c>
      <c r="B45">
        <f>Ingredientes!AX81</f>
        <v/>
      </c>
      <c r="C45" t="inlineStr">
        <is>
          <t>µg</t>
        </is>
      </c>
    </row>
    <row r="46">
      <c r="A46" t="inlineStr">
        <is>
          <t>Folic acid</t>
        </is>
      </c>
      <c r="B46">
        <f>Ingredientes!AY81</f>
        <v/>
      </c>
      <c r="C46" t="inlineStr">
        <is>
          <t>µg</t>
        </is>
      </c>
    </row>
    <row r="47">
      <c r="A47" t="inlineStr">
        <is>
          <t>Folate, DFE</t>
        </is>
      </c>
      <c r="B47">
        <f>Ingredientes!AZ81</f>
        <v/>
      </c>
      <c r="C47" t="inlineStr">
        <is>
          <t>µg</t>
        </is>
      </c>
    </row>
    <row r="48">
      <c r="A48" t="inlineStr">
        <is>
          <t>Choline, total</t>
        </is>
      </c>
      <c r="B48">
        <f>Ingredientes!BA81</f>
        <v/>
      </c>
      <c r="C48" t="inlineStr">
        <is>
          <t>mg</t>
        </is>
      </c>
    </row>
    <row r="49">
      <c r="A49" t="inlineStr">
        <is>
          <t>Choline, free</t>
        </is>
      </c>
      <c r="B49">
        <f>Ingredientes!BB81</f>
        <v/>
      </c>
      <c r="C49" t="inlineStr">
        <is>
          <t>mg</t>
        </is>
      </c>
    </row>
    <row r="50">
      <c r="A50" t="inlineStr">
        <is>
          <t>Choline, from phosphocholine</t>
        </is>
      </c>
      <c r="B50">
        <f>Ingredientes!BC81</f>
        <v/>
      </c>
      <c r="C50" t="inlineStr">
        <is>
          <t>mg</t>
        </is>
      </c>
    </row>
    <row r="51">
      <c r="A51" t="inlineStr">
        <is>
          <t>Choline, from phosphatidyl choline</t>
        </is>
      </c>
      <c r="B51">
        <f>Ingredientes!BD81</f>
        <v/>
      </c>
      <c r="C51" t="inlineStr">
        <is>
          <t>mg</t>
        </is>
      </c>
    </row>
    <row r="52">
      <c r="A52" t="inlineStr">
        <is>
          <t>Choline, from glycerophosphocholine</t>
        </is>
      </c>
      <c r="B52">
        <f>Ingredientes!BE81</f>
        <v/>
      </c>
      <c r="C52" t="inlineStr">
        <is>
          <t>mg</t>
        </is>
      </c>
    </row>
    <row r="53">
      <c r="A53" t="inlineStr">
        <is>
          <t>Choline, from sphingomyelin</t>
        </is>
      </c>
      <c r="B53">
        <f>Ingredientes!BF81</f>
        <v/>
      </c>
      <c r="C53" t="inlineStr">
        <is>
          <t>mg</t>
        </is>
      </c>
    </row>
    <row r="54">
      <c r="A54" t="inlineStr">
        <is>
          <t>Betaine</t>
        </is>
      </c>
      <c r="B54">
        <f>Ingredientes!BG81</f>
        <v/>
      </c>
      <c r="C54" t="inlineStr">
        <is>
          <t>mg</t>
        </is>
      </c>
    </row>
    <row r="55">
      <c r="A55" t="inlineStr">
        <is>
          <t>Vitamin B-12</t>
        </is>
      </c>
      <c r="B55">
        <f>Ingredientes!BH81</f>
        <v/>
      </c>
      <c r="C55" t="inlineStr">
        <is>
          <t>µg</t>
        </is>
      </c>
    </row>
    <row r="56">
      <c r="A56" t="inlineStr">
        <is>
          <t>Vitamin B-12, added</t>
        </is>
      </c>
      <c r="B56">
        <f>Ingredientes!BI81</f>
        <v/>
      </c>
      <c r="C56" t="inlineStr">
        <is>
          <t>µg</t>
        </is>
      </c>
    </row>
    <row r="57">
      <c r="A57" t="inlineStr">
        <is>
          <t>Vitamin A, RAE</t>
        </is>
      </c>
      <c r="B57">
        <f>Ingredientes!BJ81</f>
        <v/>
      </c>
      <c r="C57" t="inlineStr">
        <is>
          <t>µg</t>
        </is>
      </c>
    </row>
    <row r="58">
      <c r="A58" t="inlineStr">
        <is>
          <t>Retinol</t>
        </is>
      </c>
      <c r="B58">
        <f>Ingredientes!BK81</f>
        <v/>
      </c>
      <c r="C58" t="inlineStr">
        <is>
          <t>µg</t>
        </is>
      </c>
    </row>
    <row r="59">
      <c r="A59" t="inlineStr">
        <is>
          <t>Carotene, beta</t>
        </is>
      </c>
      <c r="B59">
        <f>Ingredientes!BL81</f>
        <v/>
      </c>
      <c r="C59" t="inlineStr">
        <is>
          <t>µg</t>
        </is>
      </c>
    </row>
    <row r="60">
      <c r="A60" t="inlineStr">
        <is>
          <t>cis-beta-Carotene</t>
        </is>
      </c>
      <c r="B60">
        <f>Ingredientes!BM81</f>
        <v/>
      </c>
      <c r="C60" t="inlineStr">
        <is>
          <t>µg</t>
        </is>
      </c>
    </row>
    <row r="61">
      <c r="A61" t="inlineStr">
        <is>
          <t>trans-beta-Carotene</t>
        </is>
      </c>
      <c r="B61">
        <f>Ingredientes!BN81</f>
        <v/>
      </c>
      <c r="C61" t="inlineStr">
        <is>
          <t>µg</t>
        </is>
      </c>
    </row>
    <row r="62">
      <c r="A62" t="inlineStr">
        <is>
          <t>Carotene, alpha</t>
        </is>
      </c>
      <c r="B62">
        <f>Ingredientes!BO81</f>
        <v/>
      </c>
      <c r="C62" t="inlineStr">
        <is>
          <t>µg</t>
        </is>
      </c>
    </row>
    <row r="63">
      <c r="A63" t="inlineStr">
        <is>
          <t>Carotene, gamma</t>
        </is>
      </c>
      <c r="B63">
        <f>Ingredientes!BP81</f>
        <v/>
      </c>
      <c r="C63" t="inlineStr">
        <is>
          <t>µg</t>
        </is>
      </c>
    </row>
    <row r="64">
      <c r="A64" t="inlineStr">
        <is>
          <t>Cryptoxanthin, beta</t>
        </is>
      </c>
      <c r="B64">
        <f>Ingredientes!BQ81</f>
        <v/>
      </c>
      <c r="C64" t="inlineStr">
        <is>
          <t>µg</t>
        </is>
      </c>
    </row>
    <row r="65">
      <c r="A65" t="inlineStr">
        <is>
          <t>Cryptoxanthin, alpha</t>
        </is>
      </c>
      <c r="B65">
        <f>Ingredientes!BR81</f>
        <v/>
      </c>
      <c r="C65" t="inlineStr">
        <is>
          <t>µg</t>
        </is>
      </c>
    </row>
    <row r="66">
      <c r="A66" t="inlineStr">
        <is>
          <t>Vitamin A, IU</t>
        </is>
      </c>
      <c r="B66">
        <f>Ingredientes!BS81</f>
        <v/>
      </c>
      <c r="C66" t="inlineStr">
        <is>
          <t>iu</t>
        </is>
      </c>
    </row>
    <row r="67">
      <c r="A67" t="inlineStr">
        <is>
          <t>Lycopene</t>
        </is>
      </c>
      <c r="B67">
        <f>Ingredientes!BT81</f>
        <v/>
      </c>
      <c r="C67" t="inlineStr">
        <is>
          <t>µg</t>
        </is>
      </c>
    </row>
    <row r="68">
      <c r="A68" t="inlineStr">
        <is>
          <t>cis-Lycopene</t>
        </is>
      </c>
      <c r="B68">
        <f>Ingredientes!BU81</f>
        <v/>
      </c>
      <c r="C68" t="inlineStr">
        <is>
          <t>µg</t>
        </is>
      </c>
    </row>
    <row r="69">
      <c r="A69" t="inlineStr">
        <is>
          <t>trans-Lycopene</t>
        </is>
      </c>
      <c r="B69">
        <f>Ingredientes!BV81</f>
        <v/>
      </c>
      <c r="C69" t="inlineStr">
        <is>
          <t>µg</t>
        </is>
      </c>
    </row>
    <row r="70">
      <c r="A70" t="inlineStr">
        <is>
          <t>Lutein + zeaxanthin</t>
        </is>
      </c>
      <c r="B70">
        <f>Ingredientes!BW81</f>
        <v/>
      </c>
      <c r="C70" t="inlineStr">
        <is>
          <t>µg</t>
        </is>
      </c>
    </row>
    <row r="71">
      <c r="A71" t="inlineStr">
        <is>
          <t>cis-Lutein/Zeaxanthin</t>
        </is>
      </c>
      <c r="B71">
        <f>Ingredientes!BX81</f>
        <v/>
      </c>
      <c r="C71" t="inlineStr">
        <is>
          <t>µg</t>
        </is>
      </c>
    </row>
    <row r="72">
      <c r="A72" t="inlineStr">
        <is>
          <t>Lutein</t>
        </is>
      </c>
      <c r="B72">
        <f>Ingredientes!BY81</f>
        <v/>
      </c>
      <c r="C72" t="inlineStr">
        <is>
          <t>µg</t>
        </is>
      </c>
    </row>
    <row r="73">
      <c r="A73" t="inlineStr">
        <is>
          <t>Zeaxanthin</t>
        </is>
      </c>
      <c r="B73">
        <f>Ingredientes!BZ81</f>
        <v/>
      </c>
      <c r="C73" t="inlineStr">
        <is>
          <t>µg</t>
        </is>
      </c>
    </row>
    <row r="74">
      <c r="A74" t="inlineStr">
        <is>
          <t>Phytoene</t>
        </is>
      </c>
      <c r="B74">
        <f>Ingredientes!CA81</f>
        <v/>
      </c>
      <c r="C74" t="inlineStr">
        <is>
          <t>µg</t>
        </is>
      </c>
    </row>
    <row r="75">
      <c r="A75" t="inlineStr">
        <is>
          <t>Phytofluene</t>
        </is>
      </c>
      <c r="B75">
        <f>Ingredientes!CB81</f>
        <v/>
      </c>
      <c r="C75" t="inlineStr">
        <is>
          <t>µg</t>
        </is>
      </c>
    </row>
    <row r="76">
      <c r="A76" t="inlineStr">
        <is>
          <t>Vitamin D (D2 + D3), International Units</t>
        </is>
      </c>
      <c r="B76">
        <f>Ingredientes!CC81</f>
        <v/>
      </c>
      <c r="C76" t="inlineStr">
        <is>
          <t>iu</t>
        </is>
      </c>
    </row>
    <row r="77">
      <c r="A77" t="inlineStr">
        <is>
          <t>Vitamin D (D2 + D3)</t>
        </is>
      </c>
      <c r="B77">
        <f>Ingredientes!CD81</f>
        <v/>
      </c>
      <c r="C77" t="inlineStr">
        <is>
          <t>µg</t>
        </is>
      </c>
    </row>
    <row r="78">
      <c r="A78" t="inlineStr">
        <is>
          <t>Vitamin D2 (ergocalciferol)</t>
        </is>
      </c>
      <c r="B78">
        <f>Ingredientes!CE81</f>
        <v/>
      </c>
      <c r="C78" t="inlineStr">
        <is>
          <t>µg</t>
        </is>
      </c>
    </row>
    <row r="79">
      <c r="A79" t="inlineStr">
        <is>
          <t>Vitamin D3 (cholecalciferol)</t>
        </is>
      </c>
      <c r="B79">
        <f>Ingredientes!CF81</f>
        <v/>
      </c>
      <c r="C79" t="inlineStr">
        <is>
          <t>µg</t>
        </is>
      </c>
    </row>
    <row r="80">
      <c r="A80" t="inlineStr">
        <is>
          <t>25-hydroxycholecalciferol</t>
        </is>
      </c>
      <c r="B80">
        <f>Ingredientes!CG81</f>
        <v/>
      </c>
      <c r="C80" t="inlineStr">
        <is>
          <t>µg</t>
        </is>
      </c>
    </row>
    <row r="81">
      <c r="A81" t="inlineStr">
        <is>
          <t>Vitamin K (phylloquinone)</t>
        </is>
      </c>
      <c r="B81">
        <f>Ingredientes!CH81</f>
        <v/>
      </c>
      <c r="C81" t="inlineStr">
        <is>
          <t>µg</t>
        </is>
      </c>
    </row>
    <row r="82">
      <c r="A82" t="inlineStr">
        <is>
          <t>Vitamin K (Dihydrophylloquinone)</t>
        </is>
      </c>
      <c r="B82">
        <f>Ingredientes!CI81</f>
        <v/>
      </c>
      <c r="C82" t="inlineStr">
        <is>
          <t>µg</t>
        </is>
      </c>
    </row>
    <row r="83">
      <c r="A83" t="inlineStr">
        <is>
          <t>Vitamin K (Menaquinone-4)</t>
        </is>
      </c>
      <c r="B83">
        <f>Ingredientes!CJ81</f>
        <v/>
      </c>
      <c r="C83" t="inlineStr">
        <is>
          <t>µg</t>
        </is>
      </c>
    </row>
    <row r="84">
      <c r="A84" t="inlineStr">
        <is>
          <t>Vitamin E (alpha-tocopherol)</t>
        </is>
      </c>
      <c r="B84">
        <f>Ingredientes!CK81</f>
        <v/>
      </c>
      <c r="C84" t="inlineStr">
        <is>
          <t>mg</t>
        </is>
      </c>
    </row>
    <row r="85">
      <c r="A85" t="inlineStr">
        <is>
          <t>Vitamin E, added</t>
        </is>
      </c>
      <c r="B85">
        <f>Ingredientes!CL81</f>
        <v/>
      </c>
      <c r="C85" t="inlineStr">
        <is>
          <t>mg</t>
        </is>
      </c>
    </row>
    <row r="86">
      <c r="A86" t="inlineStr">
        <is>
          <t>Tocopherol, beta</t>
        </is>
      </c>
      <c r="B86">
        <f>Ingredientes!CM81</f>
        <v/>
      </c>
      <c r="C86" t="inlineStr">
        <is>
          <t>mg</t>
        </is>
      </c>
    </row>
    <row r="87">
      <c r="A87" t="inlineStr">
        <is>
          <t>Tocopherol, gamma</t>
        </is>
      </c>
      <c r="B87">
        <f>Ingredientes!CN81</f>
        <v/>
      </c>
      <c r="C87" t="inlineStr">
        <is>
          <t>mg</t>
        </is>
      </c>
    </row>
    <row r="88">
      <c r="A88" t="inlineStr">
        <is>
          <t>Tocopherol, delta</t>
        </is>
      </c>
      <c r="B88">
        <f>Ingredientes!CO81</f>
        <v/>
      </c>
      <c r="C88" t="inlineStr">
        <is>
          <t>mg</t>
        </is>
      </c>
    </row>
    <row r="89">
      <c r="A89" t="inlineStr">
        <is>
          <t>Tocotrienol, alpha</t>
        </is>
      </c>
      <c r="B89">
        <f>Ingredientes!CP81</f>
        <v/>
      </c>
      <c r="C89" t="inlineStr">
        <is>
          <t>mg</t>
        </is>
      </c>
    </row>
    <row r="90">
      <c r="A90" t="inlineStr">
        <is>
          <t>Tocotrienol, beta</t>
        </is>
      </c>
      <c r="B90">
        <f>Ingredientes!CQ81</f>
        <v/>
      </c>
      <c r="C90" t="inlineStr">
        <is>
          <t>mg</t>
        </is>
      </c>
    </row>
    <row r="91">
      <c r="A91" t="inlineStr">
        <is>
          <t>Tocotrienol, gamma</t>
        </is>
      </c>
      <c r="B91">
        <f>Ingredientes!CR81</f>
        <v/>
      </c>
      <c r="C91" t="inlineStr">
        <is>
          <t>mg</t>
        </is>
      </c>
    </row>
    <row r="92">
      <c r="A92" t="inlineStr">
        <is>
          <t>Tocotrienol, delta</t>
        </is>
      </c>
      <c r="B92">
        <f>Ingredientes!CS81</f>
        <v/>
      </c>
      <c r="C92" t="inlineStr">
        <is>
          <t>mg</t>
        </is>
      </c>
    </row>
    <row r="93">
      <c r="A93" t="inlineStr">
        <is>
          <t>Vitamin C, total ascorbic acid</t>
        </is>
      </c>
      <c r="B93">
        <f>Ingredientes!CT81</f>
        <v/>
      </c>
      <c r="C93" t="inlineStr">
        <is>
          <t>mg</t>
        </is>
      </c>
    </row>
    <row r="94">
      <c r="A94" t="inlineStr">
        <is>
          <t>Pantothenic acid</t>
        </is>
      </c>
      <c r="B94">
        <f>Ingredientes!CU81</f>
        <v/>
      </c>
      <c r="C94" t="inlineStr">
        <is>
          <t>mg</t>
        </is>
      </c>
    </row>
    <row r="95">
      <c r="A95" t="inlineStr">
        <is>
          <t>Biotin</t>
        </is>
      </c>
      <c r="B95">
        <f>Ingredientes!CV81</f>
        <v/>
      </c>
      <c r="C95" t="inlineStr">
        <is>
          <t>µg</t>
        </is>
      </c>
    </row>
    <row r="96">
      <c r="A96" t="inlineStr">
        <is>
          <t>Caffeine</t>
        </is>
      </c>
      <c r="B96">
        <f>Ingredientes!CW81</f>
        <v/>
      </c>
      <c r="C96" t="inlineStr">
        <is>
          <t>mg</t>
        </is>
      </c>
    </row>
    <row r="97">
      <c r="A97" t="inlineStr">
        <is>
          <t>Theobromine</t>
        </is>
      </c>
      <c r="B97">
        <f>Ingredientes!CX81</f>
        <v/>
      </c>
      <c r="C97" t="inlineStr">
        <is>
          <t>mg</t>
        </is>
      </c>
    </row>
    <row r="98">
      <c r="A98" t="inlineStr">
        <is>
          <t>Fatty acids, total saturated</t>
        </is>
      </c>
      <c r="B98">
        <f>Ingredientes!CY81</f>
        <v/>
      </c>
      <c r="C98" t="inlineStr">
        <is>
          <t>g</t>
        </is>
      </c>
    </row>
    <row r="99">
      <c r="A99" t="inlineStr">
        <is>
          <t>SFA 4:0</t>
        </is>
      </c>
      <c r="B99">
        <f>Ingredientes!CZ81</f>
        <v/>
      </c>
      <c r="C99" t="inlineStr">
        <is>
          <t>g</t>
        </is>
      </c>
    </row>
    <row r="100">
      <c r="A100" t="inlineStr">
        <is>
          <t>SFA 5:0</t>
        </is>
      </c>
      <c r="B100">
        <f>Ingredientes!DA81</f>
        <v/>
      </c>
      <c r="C100" t="inlineStr">
        <is>
          <t>g</t>
        </is>
      </c>
    </row>
    <row r="101">
      <c r="A101" t="inlineStr">
        <is>
          <t>SFA 6:0</t>
        </is>
      </c>
      <c r="B101">
        <f>Ingredientes!DB81</f>
        <v/>
      </c>
      <c r="C101" t="inlineStr">
        <is>
          <t>g</t>
        </is>
      </c>
    </row>
    <row r="102">
      <c r="A102" t="inlineStr">
        <is>
          <t>SFA 7:0</t>
        </is>
      </c>
      <c r="B102">
        <f>Ingredientes!DC81</f>
        <v/>
      </c>
      <c r="C102" t="inlineStr">
        <is>
          <t>g</t>
        </is>
      </c>
    </row>
    <row r="103">
      <c r="A103" t="inlineStr">
        <is>
          <t>SFA 8:0</t>
        </is>
      </c>
      <c r="B103">
        <f>Ingredientes!DD81</f>
        <v/>
      </c>
      <c r="C103" t="inlineStr">
        <is>
          <t>g</t>
        </is>
      </c>
    </row>
    <row r="104">
      <c r="A104" t="inlineStr">
        <is>
          <t>SFA 9:0</t>
        </is>
      </c>
      <c r="B104">
        <f>Ingredientes!DE81</f>
        <v/>
      </c>
      <c r="C104" t="inlineStr">
        <is>
          <t>g</t>
        </is>
      </c>
    </row>
    <row r="105">
      <c r="A105" t="inlineStr">
        <is>
          <t>SFA 10:0</t>
        </is>
      </c>
      <c r="B105">
        <f>Ingredientes!DF81</f>
        <v/>
      </c>
      <c r="C105" t="inlineStr">
        <is>
          <t>g</t>
        </is>
      </c>
    </row>
    <row r="106">
      <c r="A106" t="inlineStr">
        <is>
          <t>SFA 11:0</t>
        </is>
      </c>
      <c r="B106">
        <f>Ingredientes!DG81</f>
        <v/>
      </c>
      <c r="C106" t="inlineStr">
        <is>
          <t>g</t>
        </is>
      </c>
    </row>
    <row r="107">
      <c r="A107" t="inlineStr">
        <is>
          <t>SFA 12:0</t>
        </is>
      </c>
      <c r="B107">
        <f>Ingredientes!DH81</f>
        <v/>
      </c>
      <c r="C107" t="inlineStr">
        <is>
          <t>g</t>
        </is>
      </c>
    </row>
    <row r="108">
      <c r="A108" t="inlineStr">
        <is>
          <t>SFA 13:0</t>
        </is>
      </c>
      <c r="B108">
        <f>Ingredientes!DI81</f>
        <v/>
      </c>
      <c r="C108" t="inlineStr">
        <is>
          <t>g</t>
        </is>
      </c>
    </row>
    <row r="109">
      <c r="A109" t="inlineStr">
        <is>
          <t>SFA 14:0</t>
        </is>
      </c>
      <c r="B109">
        <f>Ingredientes!DJ81</f>
        <v/>
      </c>
      <c r="C109" t="inlineStr">
        <is>
          <t>g</t>
        </is>
      </c>
    </row>
    <row r="110">
      <c r="A110" t="inlineStr">
        <is>
          <t>SFA 15:0</t>
        </is>
      </c>
      <c r="B110">
        <f>Ingredientes!DK81</f>
        <v/>
      </c>
      <c r="C110" t="inlineStr">
        <is>
          <t>g</t>
        </is>
      </c>
    </row>
    <row r="111">
      <c r="A111" t="inlineStr">
        <is>
          <t>SFA 16:0</t>
        </is>
      </c>
      <c r="B111">
        <f>Ingredientes!DL81</f>
        <v/>
      </c>
      <c r="C111" t="inlineStr">
        <is>
          <t>g</t>
        </is>
      </c>
    </row>
    <row r="112">
      <c r="A112" t="inlineStr">
        <is>
          <t>SFA 17:0</t>
        </is>
      </c>
      <c r="B112">
        <f>Ingredientes!DM81</f>
        <v/>
      </c>
      <c r="C112" t="inlineStr">
        <is>
          <t>g</t>
        </is>
      </c>
    </row>
    <row r="113">
      <c r="A113" t="inlineStr">
        <is>
          <t>SFA 18:0</t>
        </is>
      </c>
      <c r="B113">
        <f>Ingredientes!DN81</f>
        <v/>
      </c>
      <c r="C113" t="inlineStr">
        <is>
          <t>g</t>
        </is>
      </c>
    </row>
    <row r="114">
      <c r="A114" t="inlineStr">
        <is>
          <t>SFA 20:0</t>
        </is>
      </c>
      <c r="B114">
        <f>Ingredientes!DO81</f>
        <v/>
      </c>
      <c r="C114" t="inlineStr">
        <is>
          <t>g</t>
        </is>
      </c>
    </row>
    <row r="115">
      <c r="A115" t="inlineStr">
        <is>
          <t>SFA 21:0</t>
        </is>
      </c>
      <c r="B115">
        <f>Ingredientes!DP81</f>
        <v/>
      </c>
      <c r="C115" t="inlineStr">
        <is>
          <t>g</t>
        </is>
      </c>
    </row>
    <row r="116">
      <c r="A116" t="inlineStr">
        <is>
          <t>SFA 22:0</t>
        </is>
      </c>
      <c r="B116">
        <f>Ingredientes!DQ81</f>
        <v/>
      </c>
      <c r="C116" t="inlineStr">
        <is>
          <t>g</t>
        </is>
      </c>
    </row>
    <row r="117">
      <c r="A117" t="inlineStr">
        <is>
          <t>SFA 23:0</t>
        </is>
      </c>
      <c r="B117">
        <f>Ingredientes!DR81</f>
        <v/>
      </c>
      <c r="C117" t="inlineStr">
        <is>
          <t>g</t>
        </is>
      </c>
    </row>
    <row r="118">
      <c r="A118" t="inlineStr">
        <is>
          <t>SFA 24:0</t>
        </is>
      </c>
      <c r="B118">
        <f>Ingredientes!DS81</f>
        <v/>
      </c>
      <c r="C118" t="inlineStr">
        <is>
          <t>g</t>
        </is>
      </c>
    </row>
    <row r="119">
      <c r="A119" t="inlineStr">
        <is>
          <t>Fatty acids, total monounsaturated</t>
        </is>
      </c>
      <c r="B119">
        <f>Ingredientes!DT81</f>
        <v/>
      </c>
      <c r="C119" t="inlineStr">
        <is>
          <t>g</t>
        </is>
      </c>
    </row>
    <row r="120">
      <c r="A120" t="inlineStr">
        <is>
          <t>MUFA 12:1</t>
        </is>
      </c>
      <c r="B120">
        <f>Ingredientes!DU81</f>
        <v/>
      </c>
      <c r="C120" t="inlineStr">
        <is>
          <t>g</t>
        </is>
      </c>
    </row>
    <row r="121">
      <c r="A121" t="inlineStr">
        <is>
          <t>MUFA 14:1</t>
        </is>
      </c>
      <c r="B121">
        <f>Ingredientes!DV81</f>
        <v/>
      </c>
      <c r="C121" t="inlineStr">
        <is>
          <t>g</t>
        </is>
      </c>
    </row>
    <row r="122">
      <c r="A122" t="inlineStr">
        <is>
          <t>MUFA 14:1 c</t>
        </is>
      </c>
      <c r="B122">
        <f>Ingredientes!DW81</f>
        <v/>
      </c>
      <c r="C122" t="inlineStr">
        <is>
          <t>g</t>
        </is>
      </c>
    </row>
    <row r="123">
      <c r="A123" t="inlineStr">
        <is>
          <t>MUFA 15:1</t>
        </is>
      </c>
      <c r="B123">
        <f>Ingredientes!DX81</f>
        <v/>
      </c>
      <c r="C123" t="inlineStr">
        <is>
          <t>g</t>
        </is>
      </c>
    </row>
    <row r="124">
      <c r="A124" t="inlineStr">
        <is>
          <t>MUFA 16:1</t>
        </is>
      </c>
      <c r="B124">
        <f>Ingredientes!DY81</f>
        <v/>
      </c>
      <c r="C124" t="inlineStr">
        <is>
          <t>g</t>
        </is>
      </c>
    </row>
    <row r="125">
      <c r="A125" t="inlineStr">
        <is>
          <t>MUFA 16:1 c</t>
        </is>
      </c>
      <c r="B125">
        <f>Ingredientes!DZ81</f>
        <v/>
      </c>
      <c r="C125" t="inlineStr">
        <is>
          <t>g</t>
        </is>
      </c>
    </row>
    <row r="126">
      <c r="A126" t="inlineStr">
        <is>
          <t>MUFA 17:1</t>
        </is>
      </c>
      <c r="B126">
        <f>Ingredientes!EA81</f>
        <v/>
      </c>
      <c r="C126" t="inlineStr">
        <is>
          <t>g</t>
        </is>
      </c>
    </row>
    <row r="127">
      <c r="A127" t="inlineStr">
        <is>
          <t>MUFA 17:1 c</t>
        </is>
      </c>
      <c r="B127">
        <f>Ingredientes!EB81</f>
        <v/>
      </c>
      <c r="C127" t="inlineStr">
        <is>
          <t>g</t>
        </is>
      </c>
    </row>
    <row r="128">
      <c r="A128" t="inlineStr">
        <is>
          <t>MUFA 18:1</t>
        </is>
      </c>
      <c r="B128">
        <f>Ingredientes!EC81</f>
        <v/>
      </c>
      <c r="C128" t="inlineStr">
        <is>
          <t>g</t>
        </is>
      </c>
    </row>
    <row r="129">
      <c r="A129" t="inlineStr">
        <is>
          <t>MUFA 18:1 c</t>
        </is>
      </c>
      <c r="B129">
        <f>Ingredientes!ED81</f>
        <v/>
      </c>
      <c r="C129" t="inlineStr">
        <is>
          <t>g</t>
        </is>
      </c>
    </row>
    <row r="130">
      <c r="A130" t="inlineStr">
        <is>
          <t>MUFA 20:1</t>
        </is>
      </c>
      <c r="B130">
        <f>Ingredientes!EE81</f>
        <v/>
      </c>
      <c r="C130" t="inlineStr">
        <is>
          <t>g</t>
        </is>
      </c>
    </row>
    <row r="131">
      <c r="A131" t="inlineStr">
        <is>
          <t>MUFA 20:1 c</t>
        </is>
      </c>
      <c r="B131">
        <f>Ingredientes!EF81</f>
        <v/>
      </c>
      <c r="C131" t="inlineStr">
        <is>
          <t>g</t>
        </is>
      </c>
    </row>
    <row r="132">
      <c r="A132" t="inlineStr">
        <is>
          <t>MUFA 22:1</t>
        </is>
      </c>
      <c r="B132">
        <f>Ingredientes!EG81</f>
        <v/>
      </c>
      <c r="C132" t="inlineStr">
        <is>
          <t>g</t>
        </is>
      </c>
    </row>
    <row r="133">
      <c r="A133" t="inlineStr">
        <is>
          <t>MUFA 22:1 c</t>
        </is>
      </c>
      <c r="B133">
        <f>Ingredientes!EH81</f>
        <v/>
      </c>
      <c r="C133" t="inlineStr">
        <is>
          <t>g</t>
        </is>
      </c>
    </row>
    <row r="134">
      <c r="A134" t="inlineStr">
        <is>
          <t>MUFA 22:1 n-9</t>
        </is>
      </c>
      <c r="B134">
        <f>Ingredientes!EI81</f>
        <v/>
      </c>
      <c r="C134" t="inlineStr">
        <is>
          <t>g</t>
        </is>
      </c>
    </row>
    <row r="135">
      <c r="A135" t="inlineStr">
        <is>
          <t>MUFA 22:1 n-11</t>
        </is>
      </c>
      <c r="B135">
        <f>Ingredientes!EJ81</f>
        <v/>
      </c>
      <c r="C135" t="inlineStr">
        <is>
          <t>g</t>
        </is>
      </c>
    </row>
    <row r="136">
      <c r="A136" t="inlineStr">
        <is>
          <t>MUFA 24:1 c</t>
        </is>
      </c>
      <c r="B136">
        <f>Ingredientes!EK81</f>
        <v/>
      </c>
      <c r="C136" t="inlineStr">
        <is>
          <t>g</t>
        </is>
      </c>
    </row>
    <row r="137">
      <c r="A137" t="inlineStr">
        <is>
          <t>Fatty acids, total polyunsaturated</t>
        </is>
      </c>
      <c r="B137">
        <f>Ingredientes!EL81</f>
        <v/>
      </c>
      <c r="C137" t="inlineStr">
        <is>
          <t>g</t>
        </is>
      </c>
    </row>
    <row r="138">
      <c r="A138" t="inlineStr">
        <is>
          <t>PUFA 18:2</t>
        </is>
      </c>
      <c r="B138">
        <f>Ingredientes!EM81</f>
        <v/>
      </c>
      <c r="C138" t="inlineStr">
        <is>
          <t>g</t>
        </is>
      </c>
    </row>
    <row r="139">
      <c r="A139" t="inlineStr">
        <is>
          <t>PUFA 18:2 c</t>
        </is>
      </c>
      <c r="B139">
        <f>Ingredientes!EN81</f>
        <v/>
      </c>
      <c r="C139" t="inlineStr">
        <is>
          <t>g</t>
        </is>
      </c>
    </row>
    <row r="140">
      <c r="A140" t="inlineStr">
        <is>
          <t>PUFA 18:2 n-6 c,c</t>
        </is>
      </c>
      <c r="B140">
        <f>Ingredientes!EO81</f>
        <v/>
      </c>
      <c r="C140" t="inlineStr">
        <is>
          <t>g</t>
        </is>
      </c>
    </row>
    <row r="141">
      <c r="A141" t="inlineStr">
        <is>
          <t>PUFA 18:2 CLAs</t>
        </is>
      </c>
      <c r="B141">
        <f>Ingredientes!EP81</f>
        <v/>
      </c>
      <c r="C141" t="inlineStr">
        <is>
          <t>g</t>
        </is>
      </c>
    </row>
    <row r="142">
      <c r="A142" t="inlineStr">
        <is>
          <t>PUFA 18:2 i</t>
        </is>
      </c>
      <c r="B142">
        <f>Ingredientes!EQ81</f>
        <v/>
      </c>
      <c r="C142" t="inlineStr">
        <is>
          <t>g</t>
        </is>
      </c>
    </row>
    <row r="143">
      <c r="A143" t="inlineStr">
        <is>
          <t>PUFA 18:3</t>
        </is>
      </c>
      <c r="B143">
        <f>Ingredientes!ER81</f>
        <v/>
      </c>
      <c r="C143" t="inlineStr">
        <is>
          <t>g</t>
        </is>
      </c>
    </row>
    <row r="144">
      <c r="A144" t="inlineStr">
        <is>
          <t>PUFA 18:3 c</t>
        </is>
      </c>
      <c r="B144">
        <f>Ingredientes!ES81</f>
        <v/>
      </c>
      <c r="C144" t="inlineStr">
        <is>
          <t>g</t>
        </is>
      </c>
    </row>
    <row r="145">
      <c r="A145" t="inlineStr">
        <is>
          <t>PUFA 18:3 n-3 c,c,c (ALA)</t>
        </is>
      </c>
      <c r="B145">
        <f>Ingredientes!ET81</f>
        <v/>
      </c>
      <c r="C145" t="inlineStr">
        <is>
          <t>g</t>
        </is>
      </c>
    </row>
    <row r="146">
      <c r="A146" t="inlineStr">
        <is>
          <t>PUFA 18:3 n-6 c,c,c</t>
        </is>
      </c>
      <c r="B146">
        <f>Ingredientes!EU81</f>
        <v/>
      </c>
      <c r="C146" t="inlineStr">
        <is>
          <t>g</t>
        </is>
      </c>
    </row>
    <row r="147">
      <c r="A147" t="inlineStr">
        <is>
          <t>PUFA 18:4</t>
        </is>
      </c>
      <c r="B147">
        <f>Ingredientes!EV81</f>
        <v/>
      </c>
      <c r="C147" t="inlineStr">
        <is>
          <t>g</t>
        </is>
      </c>
    </row>
    <row r="148">
      <c r="A148" t="inlineStr">
        <is>
          <t>PUFA 20:2 c</t>
        </is>
      </c>
      <c r="B148">
        <f>Ingredientes!EW81</f>
        <v/>
      </c>
      <c r="C148" t="inlineStr">
        <is>
          <t>g</t>
        </is>
      </c>
    </row>
    <row r="149">
      <c r="A149" t="inlineStr">
        <is>
          <t>PUFA 20:2 n-6 c,c</t>
        </is>
      </c>
      <c r="B149">
        <f>Ingredientes!EX81</f>
        <v/>
      </c>
      <c r="C149" t="inlineStr">
        <is>
          <t>g</t>
        </is>
      </c>
    </row>
    <row r="150">
      <c r="A150" t="inlineStr">
        <is>
          <t>PUFA 20:3</t>
        </is>
      </c>
      <c r="B150">
        <f>Ingredientes!EY81</f>
        <v/>
      </c>
      <c r="C150" t="inlineStr">
        <is>
          <t>g</t>
        </is>
      </c>
    </row>
    <row r="151">
      <c r="A151" t="inlineStr">
        <is>
          <t>PUFA 20:3 c</t>
        </is>
      </c>
      <c r="B151">
        <f>Ingredientes!EZ81</f>
        <v/>
      </c>
      <c r="C151" t="inlineStr">
        <is>
          <t>g</t>
        </is>
      </c>
    </row>
    <row r="152">
      <c r="A152" t="inlineStr">
        <is>
          <t>PUFA 20:3 n-3</t>
        </is>
      </c>
      <c r="B152">
        <f>Ingredientes!FA81</f>
        <v/>
      </c>
      <c r="C152" t="inlineStr">
        <is>
          <t>g</t>
        </is>
      </c>
    </row>
    <row r="153">
      <c r="A153" t="inlineStr">
        <is>
          <t>PUFA 20:3 n-6</t>
        </is>
      </c>
      <c r="B153">
        <f>Ingredientes!FB81</f>
        <v/>
      </c>
      <c r="C153" t="inlineStr">
        <is>
          <t>g</t>
        </is>
      </c>
    </row>
    <row r="154">
      <c r="A154" t="inlineStr">
        <is>
          <t>PUFA 20:3 n-9</t>
        </is>
      </c>
      <c r="B154">
        <f>Ingredientes!FC81</f>
        <v/>
      </c>
      <c r="C154" t="inlineStr">
        <is>
          <t>g</t>
        </is>
      </c>
    </row>
    <row r="155">
      <c r="A155" t="inlineStr">
        <is>
          <t>PUFA 20:4</t>
        </is>
      </c>
      <c r="B155">
        <f>Ingredientes!FD81</f>
        <v/>
      </c>
      <c r="C155" t="inlineStr">
        <is>
          <t>g</t>
        </is>
      </c>
    </row>
    <row r="156">
      <c r="A156" t="inlineStr">
        <is>
          <t>PUFA 20:4c</t>
        </is>
      </c>
      <c r="B156">
        <f>Ingredientes!FE81</f>
        <v/>
      </c>
      <c r="C156" t="inlineStr">
        <is>
          <t>g</t>
        </is>
      </c>
    </row>
    <row r="157">
      <c r="A157" t="inlineStr">
        <is>
          <t>PUFA 20:5c</t>
        </is>
      </c>
      <c r="B157">
        <f>Ingredientes!FF81</f>
        <v/>
      </c>
      <c r="C157" t="inlineStr">
        <is>
          <t>g</t>
        </is>
      </c>
    </row>
    <row r="158">
      <c r="A158" t="inlineStr">
        <is>
          <t>PUFA 20:5 n-3 (EPA)</t>
        </is>
      </c>
      <c r="B158">
        <f>Ingredientes!FG81</f>
        <v/>
      </c>
      <c r="C158" t="inlineStr">
        <is>
          <t>g</t>
        </is>
      </c>
    </row>
    <row r="159">
      <c r="A159" t="inlineStr">
        <is>
          <t>PUFA 22:2</t>
        </is>
      </c>
      <c r="B159">
        <f>Ingredientes!FH81</f>
        <v/>
      </c>
      <c r="C159" t="inlineStr">
        <is>
          <t>g</t>
        </is>
      </c>
    </row>
    <row r="160">
      <c r="A160" t="inlineStr">
        <is>
          <t>PUFA 22:3</t>
        </is>
      </c>
      <c r="B160">
        <f>Ingredientes!FI81</f>
        <v/>
      </c>
      <c r="C160" t="inlineStr">
        <is>
          <t>g</t>
        </is>
      </c>
    </row>
    <row r="161">
      <c r="A161" t="inlineStr">
        <is>
          <t>PUFA 22:4</t>
        </is>
      </c>
      <c r="B161">
        <f>Ingredientes!FJ81</f>
        <v/>
      </c>
      <c r="C161" t="inlineStr">
        <is>
          <t>g</t>
        </is>
      </c>
    </row>
    <row r="162">
      <c r="A162" t="inlineStr">
        <is>
          <t>PUFA 22:5 c</t>
        </is>
      </c>
      <c r="B162">
        <f>Ingredientes!FK81</f>
        <v/>
      </c>
      <c r="C162" t="inlineStr">
        <is>
          <t>g</t>
        </is>
      </c>
    </row>
    <row r="163">
      <c r="A163" t="inlineStr">
        <is>
          <t>PUFA 22:5 n-3 (DPA)</t>
        </is>
      </c>
      <c r="B163">
        <f>Ingredientes!FL81</f>
        <v/>
      </c>
      <c r="C163" t="inlineStr">
        <is>
          <t>g</t>
        </is>
      </c>
    </row>
    <row r="164">
      <c r="A164" t="inlineStr">
        <is>
          <t>PUFA 22:6 c</t>
        </is>
      </c>
      <c r="B164">
        <f>Ingredientes!FM81</f>
        <v/>
      </c>
      <c r="C164" t="inlineStr">
        <is>
          <t>g</t>
        </is>
      </c>
    </row>
    <row r="165">
      <c r="A165" t="inlineStr">
        <is>
          <t>PUFA 22:6 n-3 (DHA)</t>
        </is>
      </c>
      <c r="B165">
        <f>Ingredientes!FN81</f>
        <v/>
      </c>
      <c r="C165" t="inlineStr">
        <is>
          <t>g</t>
        </is>
      </c>
    </row>
    <row r="166">
      <c r="A166" t="inlineStr">
        <is>
          <t>Fatty acids, total trans</t>
        </is>
      </c>
      <c r="B166">
        <f>Ingredientes!FO81</f>
        <v/>
      </c>
      <c r="C166" t="inlineStr">
        <is>
          <t>g</t>
        </is>
      </c>
    </row>
    <row r="167">
      <c r="A167" t="inlineStr">
        <is>
          <t>Fatty acids, total trans-monoenoic</t>
        </is>
      </c>
      <c r="B167">
        <f>Ingredientes!FP81</f>
        <v/>
      </c>
      <c r="C167" t="inlineStr">
        <is>
          <t>g</t>
        </is>
      </c>
    </row>
    <row r="168">
      <c r="A168" t="inlineStr">
        <is>
          <t>Fatty acids, total trans-dienoic</t>
        </is>
      </c>
      <c r="B168">
        <f>Ingredientes!FQ81</f>
        <v/>
      </c>
      <c r="C168" t="inlineStr">
        <is>
          <t>g</t>
        </is>
      </c>
    </row>
    <row r="169">
      <c r="A169" t="inlineStr">
        <is>
          <t>Fatty acids, total trans-polyenoic</t>
        </is>
      </c>
      <c r="B169">
        <f>Ingredientes!FR81</f>
        <v/>
      </c>
      <c r="C169" t="inlineStr">
        <is>
          <t>g</t>
        </is>
      </c>
    </row>
    <row r="170">
      <c r="A170" t="inlineStr">
        <is>
          <t>TFA 14:1 t</t>
        </is>
      </c>
      <c r="B170">
        <f>Ingredientes!FS81</f>
        <v/>
      </c>
      <c r="C170" t="inlineStr">
        <is>
          <t>g</t>
        </is>
      </c>
    </row>
    <row r="171">
      <c r="A171" t="inlineStr">
        <is>
          <t>TFA 16:1 t</t>
        </is>
      </c>
      <c r="B171">
        <f>Ingredientes!FT81</f>
        <v/>
      </c>
      <c r="C171" t="inlineStr">
        <is>
          <t>g</t>
        </is>
      </c>
    </row>
    <row r="172">
      <c r="A172" t="inlineStr">
        <is>
          <t>TFA 18:1 t</t>
        </is>
      </c>
      <c r="B172">
        <f>Ingredientes!FU81</f>
        <v/>
      </c>
      <c r="C172" t="inlineStr">
        <is>
          <t>g</t>
        </is>
      </c>
    </row>
    <row r="173">
      <c r="A173" t="inlineStr">
        <is>
          <t>TFA 18:2 t</t>
        </is>
      </c>
      <c r="B173">
        <f>Ingredientes!FV81</f>
        <v/>
      </c>
      <c r="C173" t="inlineStr">
        <is>
          <t>g</t>
        </is>
      </c>
    </row>
    <row r="174">
      <c r="A174" t="inlineStr">
        <is>
          <t>TFA 18:2 t,t</t>
        </is>
      </c>
      <c r="B174">
        <f>Ingredientes!FW81</f>
        <v/>
      </c>
      <c r="C174" t="inlineStr">
        <is>
          <t>g</t>
        </is>
      </c>
    </row>
    <row r="175">
      <c r="A175" t="inlineStr">
        <is>
          <t>TFA 18:2 t not further defined</t>
        </is>
      </c>
      <c r="B175">
        <f>Ingredientes!FX81</f>
        <v/>
      </c>
      <c r="C175" t="inlineStr">
        <is>
          <t>g</t>
        </is>
      </c>
    </row>
    <row r="176">
      <c r="A176" t="inlineStr">
        <is>
          <t>TFA 18:3 t</t>
        </is>
      </c>
      <c r="B176">
        <f>Ingredientes!FY81</f>
        <v/>
      </c>
      <c r="C176" t="inlineStr">
        <is>
          <t>g</t>
        </is>
      </c>
    </row>
    <row r="177">
      <c r="A177" t="inlineStr">
        <is>
          <t>TFA 20:1 t</t>
        </is>
      </c>
      <c r="B177">
        <f>Ingredientes!FZ81</f>
        <v/>
      </c>
      <c r="C177" t="inlineStr">
        <is>
          <t>g</t>
        </is>
      </c>
    </row>
    <row r="178">
      <c r="A178" t="inlineStr">
        <is>
          <t>TFA 22:1 t</t>
        </is>
      </c>
      <c r="B178">
        <f>Ingredientes!GA81</f>
        <v/>
      </c>
      <c r="C178" t="inlineStr">
        <is>
          <t>g</t>
        </is>
      </c>
    </row>
    <row r="179">
      <c r="A179" t="inlineStr">
        <is>
          <t>Cholesterol</t>
        </is>
      </c>
      <c r="B179">
        <f>Ingredientes!GB81</f>
        <v/>
      </c>
      <c r="C179" t="inlineStr">
        <is>
          <t>mg</t>
        </is>
      </c>
    </row>
    <row r="180">
      <c r="A180" t="inlineStr">
        <is>
          <t>Tryptophan</t>
        </is>
      </c>
      <c r="B180">
        <f>Ingredientes!GC81</f>
        <v/>
      </c>
      <c r="C180" t="inlineStr">
        <is>
          <t>g</t>
        </is>
      </c>
    </row>
    <row r="181">
      <c r="A181" t="inlineStr">
        <is>
          <t>Threonine</t>
        </is>
      </c>
      <c r="B181">
        <f>Ingredientes!GD81</f>
        <v/>
      </c>
      <c r="C181" t="inlineStr">
        <is>
          <t>g</t>
        </is>
      </c>
    </row>
    <row r="182">
      <c r="A182" t="inlineStr">
        <is>
          <t>Isoleucine</t>
        </is>
      </c>
      <c r="B182">
        <f>Ingredientes!GE81</f>
        <v/>
      </c>
      <c r="C182" t="inlineStr">
        <is>
          <t>g</t>
        </is>
      </c>
    </row>
    <row r="183">
      <c r="A183" t="inlineStr">
        <is>
          <t>Leucine</t>
        </is>
      </c>
      <c r="B183">
        <f>Ingredientes!GF81</f>
        <v/>
      </c>
      <c r="C183" t="inlineStr">
        <is>
          <t>g</t>
        </is>
      </c>
    </row>
    <row r="184">
      <c r="A184" t="inlineStr">
        <is>
          <t>Lysine</t>
        </is>
      </c>
      <c r="B184">
        <f>Ingredientes!GG81</f>
        <v/>
      </c>
      <c r="C184" t="inlineStr">
        <is>
          <t>g</t>
        </is>
      </c>
    </row>
    <row r="185">
      <c r="A185" t="inlineStr">
        <is>
          <t>Methionine</t>
        </is>
      </c>
      <c r="B185">
        <f>Ingredientes!GH81</f>
        <v/>
      </c>
      <c r="C185" t="inlineStr">
        <is>
          <t>g</t>
        </is>
      </c>
    </row>
    <row r="186">
      <c r="A186" t="inlineStr">
        <is>
          <t>Phenylalanine</t>
        </is>
      </c>
      <c r="B186">
        <f>Ingredientes!GI81</f>
        <v/>
      </c>
      <c r="C186" t="inlineStr">
        <is>
          <t>g</t>
        </is>
      </c>
    </row>
    <row r="187">
      <c r="A187" t="inlineStr">
        <is>
          <t>Tyrosine</t>
        </is>
      </c>
      <c r="B187">
        <f>Ingredientes!GJ81</f>
        <v/>
      </c>
      <c r="C187" t="inlineStr">
        <is>
          <t>g</t>
        </is>
      </c>
    </row>
    <row r="188">
      <c r="A188" t="inlineStr">
        <is>
          <t>Valine</t>
        </is>
      </c>
      <c r="B188">
        <f>Ingredientes!GK81</f>
        <v/>
      </c>
      <c r="C188" t="inlineStr">
        <is>
          <t>g</t>
        </is>
      </c>
    </row>
    <row r="189">
      <c r="A189" t="inlineStr">
        <is>
          <t>Arginine</t>
        </is>
      </c>
      <c r="B189">
        <f>Ingredientes!GL81</f>
        <v/>
      </c>
      <c r="C189" t="inlineStr">
        <is>
          <t>g</t>
        </is>
      </c>
    </row>
    <row r="190">
      <c r="A190" t="inlineStr">
        <is>
          <t>Histidine</t>
        </is>
      </c>
      <c r="B190">
        <f>Ingredientes!GM81</f>
        <v/>
      </c>
      <c r="C190" t="inlineStr">
        <is>
          <t>g</t>
        </is>
      </c>
    </row>
    <row r="191">
      <c r="A191" t="inlineStr">
        <is>
          <t>Alanine</t>
        </is>
      </c>
      <c r="B191">
        <f>Ingredientes!GN81</f>
        <v/>
      </c>
      <c r="C191" t="inlineStr">
        <is>
          <t>g</t>
        </is>
      </c>
    </row>
    <row r="192">
      <c r="A192" t="inlineStr">
        <is>
          <t>Aspartic acid</t>
        </is>
      </c>
      <c r="B192">
        <f>Ingredientes!GO81</f>
        <v/>
      </c>
      <c r="C192" t="inlineStr">
        <is>
          <t>g</t>
        </is>
      </c>
    </row>
    <row r="193">
      <c r="A193" t="inlineStr">
        <is>
          <t>Glutamic acid</t>
        </is>
      </c>
      <c r="B193">
        <f>Ingredientes!GP81</f>
        <v/>
      </c>
      <c r="C193" t="inlineStr">
        <is>
          <t>g</t>
        </is>
      </c>
    </row>
    <row r="194">
      <c r="A194" t="inlineStr">
        <is>
          <t>Glycine</t>
        </is>
      </c>
      <c r="B194">
        <f>Ingredientes!GQ81</f>
        <v/>
      </c>
      <c r="C194" t="inlineStr">
        <is>
          <t>g</t>
        </is>
      </c>
    </row>
    <row r="195">
      <c r="A195" t="inlineStr">
        <is>
          <t>Proline</t>
        </is>
      </c>
      <c r="B195">
        <f>Ingredientes!GR81</f>
        <v/>
      </c>
      <c r="C195" t="inlineStr">
        <is>
          <t>g</t>
        </is>
      </c>
    </row>
    <row r="196">
      <c r="A196" t="inlineStr">
        <is>
          <t>Serine</t>
        </is>
      </c>
      <c r="B196">
        <f>Ingredientes!GS81</f>
        <v/>
      </c>
      <c r="C196" t="inlineStr">
        <is>
          <t>g</t>
        </is>
      </c>
    </row>
    <row r="197">
      <c r="A197" t="inlineStr">
        <is>
          <t>Hydroxyproline</t>
        </is>
      </c>
      <c r="B197">
        <f>Ingredientes!GT81</f>
        <v/>
      </c>
      <c r="C197" t="inlineStr">
        <is>
          <t>g</t>
        </is>
      </c>
    </row>
    <row r="198">
      <c r="A198" t="inlineStr">
        <is>
          <t>Cysteine</t>
        </is>
      </c>
      <c r="B198">
        <f>Ingredientes!GU81</f>
        <v/>
      </c>
      <c r="C198" t="inlineStr">
        <is>
          <t>g</t>
        </is>
      </c>
    </row>
    <row r="199">
      <c r="A199" t="inlineStr">
        <is>
          <t>Phytosterols</t>
        </is>
      </c>
      <c r="B199">
        <f>Ingredientes!GV81</f>
        <v/>
      </c>
      <c r="C199" t="inlineStr">
        <is>
          <t>mg</t>
        </is>
      </c>
    </row>
    <row r="200">
      <c r="A200" t="inlineStr">
        <is>
          <t>Beta-sitosterol</t>
        </is>
      </c>
      <c r="B200">
        <f>Ingredientes!GW81</f>
        <v/>
      </c>
      <c r="C200" t="inlineStr">
        <is>
          <t>mg</t>
        </is>
      </c>
    </row>
    <row r="201">
      <c r="A201" t="inlineStr">
        <is>
          <t>Brassicasterol</t>
        </is>
      </c>
      <c r="B201">
        <f>Ingredientes!GX81</f>
        <v/>
      </c>
      <c r="C201" t="inlineStr">
        <is>
          <t>mg</t>
        </is>
      </c>
    </row>
    <row r="202">
      <c r="A202" t="inlineStr">
        <is>
          <t>Campesterol</t>
        </is>
      </c>
      <c r="B202">
        <f>Ingredientes!GY81</f>
        <v/>
      </c>
      <c r="C202" t="inlineStr">
        <is>
          <t>mg</t>
        </is>
      </c>
    </row>
    <row r="203">
      <c r="A203" t="inlineStr">
        <is>
          <t>Campestanol</t>
        </is>
      </c>
      <c r="B203">
        <f>Ingredientes!GZ81</f>
        <v/>
      </c>
      <c r="C203" t="inlineStr">
        <is>
          <t>mg</t>
        </is>
      </c>
    </row>
    <row r="204">
      <c r="A204" t="inlineStr">
        <is>
          <t>Delta-5-avenasterol</t>
        </is>
      </c>
      <c r="B204">
        <f>Ingredientes!HA81</f>
        <v/>
      </c>
      <c r="C204" t="inlineStr">
        <is>
          <t>mg</t>
        </is>
      </c>
    </row>
    <row r="205">
      <c r="A205" t="inlineStr">
        <is>
          <t>Phytosterols, other</t>
        </is>
      </c>
      <c r="B205">
        <f>Ingredientes!HB81</f>
        <v/>
      </c>
      <c r="C205" t="inlineStr">
        <is>
          <t>mg</t>
        </is>
      </c>
    </row>
    <row r="206">
      <c r="A206" t="inlineStr">
        <is>
          <t>Stigmasterol</t>
        </is>
      </c>
      <c r="B206">
        <f>Ingredientes!HC81</f>
        <v/>
      </c>
      <c r="C206" t="inlineStr">
        <is>
          <t>mg</t>
        </is>
      </c>
    </row>
    <row r="207">
      <c r="A207" t="inlineStr">
        <is>
          <t>Beta-sitostanol</t>
        </is>
      </c>
      <c r="B207">
        <f>Ingredientes!HD81</f>
        <v/>
      </c>
      <c r="C207" t="inlineStr">
        <is>
          <t>mg</t>
        </is>
      </c>
    </row>
    <row r="208">
      <c r="A208" t="inlineStr">
        <is>
          <t>Citric acid</t>
        </is>
      </c>
      <c r="B208">
        <f>Ingredientes!HE81</f>
        <v/>
      </c>
      <c r="C208" t="inlineStr">
        <is>
          <t>mg</t>
        </is>
      </c>
    </row>
    <row r="209">
      <c r="A209" t="inlineStr">
        <is>
          <t>Malic acid</t>
        </is>
      </c>
      <c r="B209">
        <f>Ingredientes!HF81</f>
        <v/>
      </c>
      <c r="C209" t="inlineStr">
        <is>
          <t>mg</t>
        </is>
      </c>
    </row>
    <row r="210">
      <c r="A210" t="inlineStr">
        <is>
          <t>Oxalic acid</t>
        </is>
      </c>
      <c r="B210">
        <f>Ingredientes!HG81</f>
        <v/>
      </c>
      <c r="C210" t="inlineStr">
        <is>
          <t>mg</t>
        </is>
      </c>
    </row>
    <row r="211">
      <c r="A211" t="inlineStr">
        <is>
          <t>Quinic acid</t>
        </is>
      </c>
      <c r="B211">
        <f>Ingredientes!HH81</f>
        <v/>
      </c>
      <c r="C211" t="inlineStr">
        <is>
          <t>mg</t>
        </is>
      </c>
    </row>
    <row r="212">
      <c r="A212" t="inlineStr">
        <is>
          <t>Verbascose</t>
        </is>
      </c>
      <c r="B212">
        <f>Ingredientes!HI81</f>
        <v/>
      </c>
      <c r="C212" t="inlineStr">
        <is>
          <t>g</t>
        </is>
      </c>
    </row>
    <row r="213">
      <c r="A213" t="inlineStr">
        <is>
          <t>Raffinose</t>
        </is>
      </c>
      <c r="B213">
        <f>Ingredientes!HJ81</f>
        <v/>
      </c>
      <c r="C213" t="inlineStr">
        <is>
          <t>g</t>
        </is>
      </c>
    </row>
    <row r="214">
      <c r="A214" t="inlineStr">
        <is>
          <t>Stachyose</t>
        </is>
      </c>
      <c r="B214">
        <f>Ingredientes!HK81</f>
        <v/>
      </c>
      <c r="C214" t="inlineStr">
        <is>
          <t>g</t>
        </is>
      </c>
    </row>
    <row r="215">
      <c r="A215" t="inlineStr">
        <is>
          <t>Daidzin</t>
        </is>
      </c>
      <c r="B215">
        <f>Ingredientes!HL81</f>
        <v/>
      </c>
      <c r="C215" t="inlineStr">
        <is>
          <t>mg</t>
        </is>
      </c>
    </row>
    <row r="216">
      <c r="A216" t="inlineStr">
        <is>
          <t>Genistin</t>
        </is>
      </c>
      <c r="B216">
        <f>Ingredientes!HM81</f>
        <v/>
      </c>
      <c r="C216" t="inlineStr">
        <is>
          <t>mg</t>
        </is>
      </c>
    </row>
    <row r="217">
      <c r="A217" t="inlineStr">
        <is>
          <t>Glycitin</t>
        </is>
      </c>
      <c r="B217">
        <f>Ingredientes!HN81</f>
        <v/>
      </c>
      <c r="C217" t="inlineStr">
        <is>
          <t>mg</t>
        </is>
      </c>
    </row>
    <row r="218">
      <c r="A218" t="inlineStr">
        <is>
          <t>Daidzein</t>
        </is>
      </c>
      <c r="B218">
        <f>Ingredientes!HO81</f>
        <v/>
      </c>
      <c r="C218" t="inlineStr">
        <is>
          <t>mg</t>
        </is>
      </c>
    </row>
    <row r="219">
      <c r="A219" t="inlineStr">
        <is>
          <t>Genistein</t>
        </is>
      </c>
      <c r="B219">
        <f>Ingredientes!HP81</f>
        <v/>
      </c>
      <c r="C219" t="inlineStr">
        <is>
          <t>mg</t>
        </is>
      </c>
    </row>
    <row r="220">
      <c r="A220" t="inlineStr">
        <is>
          <t>Alcohol, ethyl</t>
        </is>
      </c>
      <c r="B220">
        <f>Ingredientes!HQ81</f>
        <v/>
      </c>
      <c r="C220" t="inlineStr">
        <is>
          <t>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2025-12-11T00:20:56Z</dcterms:created>
  <dcterms:modified xsi:type="dcterms:W3CDTF">2025-12-11T00:20:56Z</dcterms:modified>
</cp:coreProperties>
</file>