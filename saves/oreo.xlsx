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D9D9D9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6" borderId="0" pivotButton="0" quotePrefix="0" xfId="0"/>
    <xf numFmtId="10" fontId="0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K1" s="3" t="inlineStr">
        <is>
          <t>Nutrientes</t>
        </is>
      </c>
      <c r="P1" s="2" t="inlineStr">
        <is>
          <t>Proximates</t>
        </is>
      </c>
      <c r="Q1" s="3" t="inlineStr">
        <is>
          <t>Nutrientes</t>
        </is>
      </c>
      <c r="T1" s="4" t="inlineStr">
        <is>
          <t>Carbohydrates</t>
        </is>
      </c>
      <c r="Y1" s="5" t="inlineStr">
        <is>
          <t>Minerals</t>
        </is>
      </c>
      <c r="AD1" s="3" t="inlineStr">
        <is>
          <t>Nutrientes</t>
        </is>
      </c>
      <c r="AE1" s="5" t="inlineStr">
        <is>
          <t>Minerals</t>
        </is>
      </c>
      <c r="AK1" s="6" t="inlineStr">
        <is>
          <t>Vitamins and Other Components</t>
        </is>
      </c>
      <c r="AP1" s="7" t="inlineStr">
        <is>
          <t>Lipids</t>
        </is>
      </c>
      <c r="AQ1" s="3" t="inlineStr">
        <is>
          <t>Nutrientes</t>
        </is>
      </c>
    </row>
    <row r="2">
      <c r="A2" s="3" t="inlineStr">
        <is>
          <t>FDC ID</t>
        </is>
      </c>
      <c r="B2" s="3" t="inlineStr">
        <is>
          <t>Ingrediente</t>
        </is>
      </c>
      <c r="C2" s="3" t="inlineStr">
        <is>
          <t>Marca / Origen</t>
        </is>
      </c>
      <c r="D2" s="3" t="inlineStr">
        <is>
          <t>Tipo de dato</t>
        </is>
      </c>
      <c r="E2" s="3" t="inlineStr">
        <is>
          <t>Cantidad (g)</t>
        </is>
      </c>
      <c r="F2" s="3" t="inlineStr">
        <is>
          <t>Cantidad (%)</t>
        </is>
      </c>
      <c r="G2" s="2" t="inlineStr">
        <is>
          <t>Water (g)</t>
        </is>
      </c>
      <c r="H2" s="2" t="inlineStr">
        <is>
          <t>Energy (Atwater General Factors) (kcal)</t>
        </is>
      </c>
      <c r="I2" s="2" t="inlineStr">
        <is>
          <t>Energy (Atwater Specific Factors) (kcal)</t>
        </is>
      </c>
      <c r="J2" s="2" t="inlineStr">
        <is>
          <t>Nitrogen (g)</t>
        </is>
      </c>
      <c r="K2" s="3" t="inlineStr">
        <is>
          <t>Energy (kcal)</t>
        </is>
      </c>
      <c r="L2" s="3" t="inlineStr">
        <is>
          <t>Energy (kJ)</t>
        </is>
      </c>
      <c r="M2" s="3" t="inlineStr">
        <is>
          <t>Protein (g)</t>
        </is>
      </c>
      <c r="N2" s="3" t="inlineStr">
        <is>
          <t>Total lipid (fat) (g)</t>
        </is>
      </c>
      <c r="O2" s="3" t="inlineStr">
        <is>
          <t>Total fat (NLEA) (g)</t>
        </is>
      </c>
      <c r="P2" s="2" t="inlineStr">
        <is>
          <t>Ash (g)</t>
        </is>
      </c>
      <c r="Q2" s="3" t="inlineStr">
        <is>
          <t>Carbohydrate, by difference (g)</t>
        </is>
      </c>
      <c r="R2" s="3" t="inlineStr">
        <is>
          <t>Fiber, total dietary (g)</t>
        </is>
      </c>
      <c r="S2" s="3" t="inlineStr">
        <is>
          <t>Sugars, Total (g)</t>
        </is>
      </c>
      <c r="T2" s="4" t="inlineStr">
        <is>
          <t>Sucrose (g)</t>
        </is>
      </c>
      <c r="U2" s="4" t="inlineStr">
        <is>
          <t>Glucose (g)</t>
        </is>
      </c>
      <c r="V2" s="4" t="inlineStr">
        <is>
          <t>Fructose (g)</t>
        </is>
      </c>
      <c r="W2" s="4" t="inlineStr">
        <is>
          <t>Lactose (g)</t>
        </is>
      </c>
      <c r="X2" s="4" t="inlineStr">
        <is>
          <t>Maltose (g)</t>
        </is>
      </c>
      <c r="Y2" s="5" t="inlineStr">
        <is>
          <t>Calcium, Ca (mg)</t>
        </is>
      </c>
      <c r="Z2" s="5" t="inlineStr">
        <is>
          <t>Iron, Fe (mg)</t>
        </is>
      </c>
      <c r="AA2" s="5" t="inlineStr">
        <is>
          <t>Magnesium, Mg (mg)</t>
        </is>
      </c>
      <c r="AB2" s="5" t="inlineStr">
        <is>
          <t>Phosphorus, P (mg)</t>
        </is>
      </c>
      <c r="AC2" s="5" t="inlineStr">
        <is>
          <t>Potassium, K (mg)</t>
        </is>
      </c>
      <c r="AD2" s="3" t="inlineStr">
        <is>
          <t>Sodium, Na (mg)</t>
        </is>
      </c>
      <c r="AE2" s="5" t="inlineStr">
        <is>
          <t>Zinc, Zn (mg)</t>
        </is>
      </c>
      <c r="AF2" s="5" t="inlineStr">
        <is>
          <t>Copper, Cu (mg)</t>
        </is>
      </c>
      <c r="AG2" s="5" t="inlineStr">
        <is>
          <t>Manganese, Mn (mg)</t>
        </is>
      </c>
      <c r="AH2" s="5" t="inlineStr">
        <is>
          <t>Selenium, Se (µg)</t>
        </is>
      </c>
      <c r="AI2" s="5" t="inlineStr">
        <is>
          <t>Molybdenum, Mo (µg)</t>
        </is>
      </c>
      <c r="AJ2" s="5" t="inlineStr">
        <is>
          <t>Iodine, I (µg)</t>
        </is>
      </c>
      <c r="AK2" s="6" t="inlineStr">
        <is>
          <t>Thiamin (mg)</t>
        </is>
      </c>
      <c r="AL2" s="6" t="inlineStr">
        <is>
          <t>Riboflavin (mg)</t>
        </is>
      </c>
      <c r="AM2" s="6" t="inlineStr">
        <is>
          <t>Niacin (mg)</t>
        </is>
      </c>
      <c r="AN2" s="6" t="inlineStr">
        <is>
          <t>Vitamin B-6 (mg)</t>
        </is>
      </c>
      <c r="AO2" s="6" t="inlineStr">
        <is>
          <t>Folate, total (µg)</t>
        </is>
      </c>
      <c r="AP2" s="7" t="inlineStr">
        <is>
          <t>Cholesterol (mg)</t>
        </is>
      </c>
      <c r="AQ2" s="3" t="inlineStr">
        <is>
          <t>Protein (g)</t>
        </is>
      </c>
      <c r="AR2" s="3" t="inlineStr">
        <is>
          <t>Energy (kJ)</t>
        </is>
      </c>
      <c r="AS2" s="3" t="inlineStr">
        <is>
          <t>Fiber, total dietary (g)</t>
        </is>
      </c>
      <c r="AT2" s="3" t="inlineStr">
        <is>
          <t>Energy (kcal)</t>
        </is>
      </c>
      <c r="AU2" s="3" t="inlineStr">
        <is>
          <t>Sugars, Total (g)</t>
        </is>
      </c>
      <c r="AV2" s="3" t="inlineStr">
        <is>
          <t>Sodium, Na (mg)</t>
        </is>
      </c>
      <c r="AW2" s="3" t="inlineStr">
        <is>
          <t>Fatty acids, total saturated (g)</t>
        </is>
      </c>
      <c r="AX2" s="3" t="inlineStr">
        <is>
          <t>Carbohydrate, by difference (g)</t>
        </is>
      </c>
      <c r="AY2" s="3" t="inlineStr">
        <is>
          <t>Total lipid (fat) (g)</t>
        </is>
      </c>
      <c r="AZ2" s="3" t="inlineStr">
        <is>
          <t>Total fat (NLEA) (g)</t>
        </is>
      </c>
    </row>
    <row r="3">
      <c r="A3" t="n">
        <v>1750340</v>
      </c>
      <c r="B3" t="inlineStr">
        <is>
          <t>Apples, fuji, with skin, raw</t>
        </is>
      </c>
      <c r="C3" t="inlineStr"/>
      <c r="D3" t="inlineStr">
        <is>
          <t>Foundation</t>
        </is>
      </c>
      <c r="E3" s="8" t="n">
        <v>50</v>
      </c>
      <c r="F3" s="9">
        <f>E3/SUM($E$3:$E$6)</f>
        <v/>
      </c>
      <c r="G3" t="n">
        <v>83.61</v>
      </c>
      <c r="H3" t="n">
        <v>64.6609</v>
      </c>
      <c r="I3" t="n">
        <v>58.20306</v>
      </c>
      <c r="J3" t="n">
        <v>0.02375</v>
      </c>
      <c r="K3" t="n">
        <v>64.6609</v>
      </c>
      <c r="L3" t="n">
        <v>270.5412056</v>
      </c>
      <c r="M3" t="n">
        <v>0.1484375</v>
      </c>
      <c r="N3" t="n">
        <v>0.1625</v>
      </c>
      <c r="O3" t="n">
        <v>0.1625</v>
      </c>
      <c r="P3" t="n">
        <v>0.4279</v>
      </c>
      <c r="Q3" t="n">
        <v>15.405</v>
      </c>
      <c r="R3" t="n">
        <v>2.075</v>
      </c>
      <c r="S3" t="n">
        <v>13.33</v>
      </c>
      <c r="T3" t="n">
        <v>1.704</v>
      </c>
      <c r="U3" t="n">
        <v>3.038</v>
      </c>
      <c r="V3" t="n">
        <v>8.59</v>
      </c>
      <c r="W3" t="n">
        <v>0</v>
      </c>
      <c r="X3" t="n">
        <v>0</v>
      </c>
      <c r="Y3" t="n">
        <v>5.975</v>
      </c>
      <c r="Z3" t="n">
        <v>0.015</v>
      </c>
      <c r="AA3" t="n">
        <v>4.67</v>
      </c>
      <c r="AB3" t="n">
        <v>9.779999999999999</v>
      </c>
      <c r="AC3" t="n">
        <v>103.8</v>
      </c>
      <c r="AD3" t="n">
        <v>1.013</v>
      </c>
      <c r="AE3" t="n">
        <v>0.01676</v>
      </c>
      <c r="AF3" t="n">
        <v>0.03279</v>
      </c>
      <c r="AG3" t="n">
        <v>0.03263</v>
      </c>
      <c r="AK3" t="n">
        <v>0.00625</v>
      </c>
      <c r="AL3" t="n">
        <v>0.0675</v>
      </c>
      <c r="AM3" t="n">
        <v>0.09063</v>
      </c>
      <c r="AN3" t="n">
        <v>0.03544</v>
      </c>
      <c r="AO3" t="n">
        <v>0</v>
      </c>
      <c r="AQ3" t="n">
        <v>0.1484375</v>
      </c>
      <c r="AR3" t="n">
        <v>270.5412056</v>
      </c>
      <c r="AS3" t="n">
        <v>2.075</v>
      </c>
      <c r="AT3" t="n">
        <v>64.6609</v>
      </c>
      <c r="AU3" t="n">
        <v>13.33</v>
      </c>
      <c r="AV3" t="n">
        <v>1.013</v>
      </c>
      <c r="AX3" t="n">
        <v>15.405</v>
      </c>
      <c r="AY3" t="n">
        <v>0.1625</v>
      </c>
      <c r="AZ3" t="n">
        <v>0.1625</v>
      </c>
    </row>
    <row r="4">
      <c r="A4" t="n">
        <v>789890</v>
      </c>
      <c r="B4" t="inlineStr">
        <is>
          <t>Flour, wheat, all-purpose, enriched, bleached</t>
        </is>
      </c>
      <c r="C4" t="inlineStr"/>
      <c r="D4" t="inlineStr">
        <is>
          <t>Foundation</t>
        </is>
      </c>
      <c r="E4" s="8" t="n">
        <v>49</v>
      </c>
      <c r="F4" s="9">
        <f>E4/SUM($E$3:$E$6)</f>
        <v/>
      </c>
      <c r="G4" t="n">
        <v>9.83</v>
      </c>
      <c r="J4" t="n">
        <v>1.75</v>
      </c>
      <c r="K4" t="n">
        <v>366</v>
      </c>
      <c r="L4" t="n">
        <v>1530</v>
      </c>
      <c r="M4" t="n">
        <v>10.9</v>
      </c>
      <c r="N4" t="n">
        <v>1.48</v>
      </c>
      <c r="O4" t="n">
        <v>1.48</v>
      </c>
      <c r="P4" t="n">
        <v>0.42</v>
      </c>
      <c r="Q4" t="n">
        <v>77.3</v>
      </c>
      <c r="Y4" t="n">
        <v>19</v>
      </c>
      <c r="Z4" t="n">
        <v>5.62</v>
      </c>
      <c r="AA4" t="n">
        <v>26.7</v>
      </c>
      <c r="AB4" t="n">
        <v>108</v>
      </c>
      <c r="AC4" t="n">
        <v>136</v>
      </c>
      <c r="AD4" t="n">
        <v>2</v>
      </c>
      <c r="AE4" t="n">
        <v>0.72</v>
      </c>
      <c r="AF4" t="n">
        <v>0.155</v>
      </c>
      <c r="AG4" t="n">
        <v>0.758</v>
      </c>
      <c r="AH4" t="n">
        <v>15.7</v>
      </c>
      <c r="AI4" t="n">
        <v>37.6</v>
      </c>
      <c r="AK4" t="n">
        <v>0.9389999999999999</v>
      </c>
      <c r="AL4" t="n">
        <v>0.443</v>
      </c>
      <c r="AM4" t="n">
        <v>6.74</v>
      </c>
      <c r="AN4" t="n">
        <v>0.066</v>
      </c>
      <c r="AO4" t="n">
        <v>160</v>
      </c>
      <c r="AQ4" t="n">
        <v>10.9</v>
      </c>
      <c r="AR4" t="n">
        <v>1530</v>
      </c>
      <c r="AT4" t="n">
        <v>366</v>
      </c>
      <c r="AV4" t="n">
        <v>2</v>
      </c>
      <c r="AX4" t="n">
        <v>77.3</v>
      </c>
      <c r="AY4" t="n">
        <v>1.48</v>
      </c>
      <c r="AZ4" t="n">
        <v>1.48</v>
      </c>
    </row>
    <row r="5">
      <c r="A5" t="n">
        <v>789828</v>
      </c>
      <c r="B5" t="inlineStr">
        <is>
          <t>Butter, stick, unsalted</t>
        </is>
      </c>
      <c r="C5" t="inlineStr"/>
      <c r="D5" t="inlineStr">
        <is>
          <t>Foundation</t>
        </is>
      </c>
      <c r="E5" s="8" t="n">
        <v>27</v>
      </c>
      <c r="F5" s="9">
        <f>E5/SUM($E$3:$E$6)</f>
        <v/>
      </c>
      <c r="G5" t="n">
        <v>17.4</v>
      </c>
      <c r="K5" t="n">
        <v>733.5</v>
      </c>
      <c r="L5" t="n">
        <v>3068.964</v>
      </c>
      <c r="N5" t="n">
        <v>81.5</v>
      </c>
      <c r="O5" t="n">
        <v>81.5</v>
      </c>
      <c r="Y5" t="n">
        <v>14</v>
      </c>
      <c r="Z5" t="n">
        <v>0.03</v>
      </c>
      <c r="AA5" t="n">
        <v>1.6</v>
      </c>
      <c r="AB5" t="n">
        <v>19</v>
      </c>
      <c r="AC5" t="n">
        <v>19</v>
      </c>
      <c r="AD5" t="n">
        <v>10</v>
      </c>
      <c r="AE5" t="n">
        <v>0.07000000000000001</v>
      </c>
      <c r="AF5" t="n">
        <v>0.001</v>
      </c>
      <c r="AG5" t="n">
        <v>0</v>
      </c>
      <c r="AJ5" t="n">
        <v>0</v>
      </c>
      <c r="AP5" t="n">
        <v>234</v>
      </c>
      <c r="AR5" t="n">
        <v>3068.964</v>
      </c>
      <c r="AT5" t="n">
        <v>733.5</v>
      </c>
      <c r="AV5" t="n">
        <v>10</v>
      </c>
      <c r="AY5" t="n">
        <v>81.5</v>
      </c>
      <c r="AZ5" t="n">
        <v>81.5</v>
      </c>
    </row>
    <row r="6">
      <c r="A6" t="n">
        <v>2511747</v>
      </c>
      <c r="B6" t="inlineStr">
        <is>
          <t>OREO SANDWICH, OREO</t>
        </is>
      </c>
      <c r="C6" t="inlineStr">
        <is>
          <t>Stark Group International, Inc.</t>
        </is>
      </c>
      <c r="D6" t="inlineStr">
        <is>
          <t>Branded</t>
        </is>
      </c>
      <c r="E6" s="8" t="n">
        <v>54</v>
      </c>
      <c r="F6" s="9">
        <f>E6/SUM($E$3:$E$6)</f>
        <v/>
      </c>
      <c r="K6" t="n">
        <v>516</v>
      </c>
      <c r="L6" t="n">
        <v>2144.38368</v>
      </c>
      <c r="M6" t="n">
        <v>5.98</v>
      </c>
      <c r="N6" t="n">
        <v>27.72</v>
      </c>
      <c r="O6" t="n">
        <v>27.72</v>
      </c>
      <c r="Q6" t="n">
        <v>59.78</v>
      </c>
      <c r="R6" t="n">
        <v>2.2</v>
      </c>
      <c r="S6" t="n">
        <v>48.91</v>
      </c>
      <c r="AD6" t="n">
        <v>598</v>
      </c>
      <c r="AQ6" t="n">
        <v>5.98</v>
      </c>
      <c r="AR6" t="n">
        <v>2144.38368</v>
      </c>
      <c r="AS6" t="n">
        <v>2.2</v>
      </c>
      <c r="AT6" t="n">
        <v>516</v>
      </c>
      <c r="AU6" t="n">
        <v>48.91</v>
      </c>
      <c r="AV6" t="n">
        <v>598</v>
      </c>
      <c r="AW6" t="n">
        <v>15.76</v>
      </c>
      <c r="AX6" t="n">
        <v>59.78</v>
      </c>
      <c r="AY6" t="n">
        <v>27.72</v>
      </c>
      <c r="AZ6" t="n">
        <v>27.72</v>
      </c>
    </row>
    <row r="7">
      <c r="A7" t="inlineStr">
        <is>
          <t>Total</t>
        </is>
      </c>
      <c r="B7" t="inlineStr">
        <is>
          <t>Formulado</t>
        </is>
      </c>
      <c r="C7" t="inlineStr">
        <is>
          <t>Formulado</t>
        </is>
      </c>
      <c r="D7" t="inlineStr">
        <is>
          <t>Formulado</t>
        </is>
      </c>
      <c r="E7" s="10">
        <f>SUBTOTAL(9,E3:E6)</f>
        <v/>
      </c>
      <c r="F7" s="11" t="inlineStr">
        <is>
          <t>100%</t>
        </is>
      </c>
      <c r="G7" s="12">
        <f>SUMPRODUCT($F$3:$F$6,$G$3:$G$6)</f>
        <v/>
      </c>
      <c r="H7" s="12">
        <f>SUMPRODUCT($F$3:$F$6,$H$3:$H$6)</f>
        <v/>
      </c>
      <c r="I7" s="12">
        <f>SUMPRODUCT($F$3:$F$6,$I$3:$I$6)</f>
        <v/>
      </c>
      <c r="J7" s="12">
        <f>SUMPRODUCT($F$3:$F$6,$J$3:$J$6)</f>
        <v/>
      </c>
      <c r="K7" s="12">
        <f>SUMPRODUCT($F$3:$F$6,$K$3:$K$6)</f>
        <v/>
      </c>
      <c r="L7" s="12">
        <f>SUMPRODUCT($F$3:$F$6,$L$3:$L$6)</f>
        <v/>
      </c>
      <c r="M7" s="12">
        <f>SUMPRODUCT($F$3:$F$6,$M$3:$M$6)</f>
        <v/>
      </c>
      <c r="N7" s="12">
        <f>SUMPRODUCT($F$3:$F$6,$N$3:$N$6)</f>
        <v/>
      </c>
      <c r="O7" s="12">
        <f>SUMPRODUCT($F$3:$F$6,$O$3:$O$6)</f>
        <v/>
      </c>
      <c r="P7" s="12">
        <f>SUMPRODUCT($F$3:$F$6,$P$3:$P$6)</f>
        <v/>
      </c>
      <c r="Q7" s="12">
        <f>SUMPRODUCT($F$3:$F$6,$Q$3:$Q$6)</f>
        <v/>
      </c>
      <c r="R7" s="12">
        <f>SUMPRODUCT($F$3:$F$6,$R$3:$R$6)</f>
        <v/>
      </c>
      <c r="S7" s="12">
        <f>SUMPRODUCT($F$3:$F$6,$S$3:$S$6)</f>
        <v/>
      </c>
      <c r="T7" s="12">
        <f>SUMPRODUCT($F$3:$F$6,$T$3:$T$6)</f>
        <v/>
      </c>
      <c r="U7" s="12">
        <f>SUMPRODUCT($F$3:$F$6,$U$3:$U$6)</f>
        <v/>
      </c>
      <c r="V7" s="12">
        <f>SUMPRODUCT($F$3:$F$6,$V$3:$V$6)</f>
        <v/>
      </c>
      <c r="W7" s="12">
        <f>SUMPRODUCT($F$3:$F$6,$W$3:$W$6)</f>
        <v/>
      </c>
      <c r="X7" s="12">
        <f>SUMPRODUCT($F$3:$F$6,$X$3:$X$6)</f>
        <v/>
      </c>
      <c r="Y7" s="12">
        <f>SUMPRODUCT($F$3:$F$6,$Y$3:$Y$6)</f>
        <v/>
      </c>
      <c r="Z7" s="12">
        <f>SUMPRODUCT($F$3:$F$6,$Z$3:$Z$6)</f>
        <v/>
      </c>
      <c r="AA7" s="12">
        <f>SUMPRODUCT($F$3:$F$6,$AA$3:$AA$6)</f>
        <v/>
      </c>
      <c r="AB7" s="12">
        <f>SUMPRODUCT($F$3:$F$6,$AB$3:$AB$6)</f>
        <v/>
      </c>
      <c r="AC7" s="12">
        <f>SUMPRODUCT($F$3:$F$6,$AC$3:$AC$6)</f>
        <v/>
      </c>
      <c r="AD7" s="12">
        <f>SUMPRODUCT($F$3:$F$6,$AD$3:$AD$6)</f>
        <v/>
      </c>
      <c r="AE7" s="12">
        <f>SUMPRODUCT($F$3:$F$6,$AE$3:$AE$6)</f>
        <v/>
      </c>
      <c r="AF7" s="12">
        <f>SUMPRODUCT($F$3:$F$6,$AF$3:$AF$6)</f>
        <v/>
      </c>
      <c r="AG7" s="12">
        <f>SUMPRODUCT($F$3:$F$6,$AG$3:$AG$6)</f>
        <v/>
      </c>
      <c r="AH7" s="12">
        <f>SUMPRODUCT($F$3:$F$6,$AH$3:$AH$6)</f>
        <v/>
      </c>
      <c r="AI7" s="12">
        <f>SUMPRODUCT($F$3:$F$6,$AI$3:$AI$6)</f>
        <v/>
      </c>
      <c r="AJ7" s="12">
        <f>SUMPRODUCT($F$3:$F$6,$AJ$3:$AJ$6)</f>
        <v/>
      </c>
      <c r="AK7" s="12">
        <f>SUMPRODUCT($F$3:$F$6,$AK$3:$AK$6)</f>
        <v/>
      </c>
      <c r="AL7" s="12">
        <f>SUMPRODUCT($F$3:$F$6,$AL$3:$AL$6)</f>
        <v/>
      </c>
      <c r="AM7" s="12">
        <f>SUMPRODUCT($F$3:$F$6,$AM$3:$AM$6)</f>
        <v/>
      </c>
      <c r="AN7" s="12">
        <f>SUMPRODUCT($F$3:$F$6,$AN$3:$AN$6)</f>
        <v/>
      </c>
      <c r="AO7" s="12">
        <f>SUMPRODUCT($F$3:$F$6,$AO$3:$AO$6)</f>
        <v/>
      </c>
      <c r="AP7" s="12">
        <f>SUMPRODUCT($F$3:$F$6,$AP$3:$AP$6)</f>
        <v/>
      </c>
      <c r="AQ7" s="12">
        <f>SUMPRODUCT($F$3:$F$6,$AQ$3:$AQ$6)</f>
        <v/>
      </c>
      <c r="AR7" s="12">
        <f>SUMPRODUCT($F$3:$F$6,$AR$3:$AR$6)</f>
        <v/>
      </c>
      <c r="AS7" s="12">
        <f>SUMPRODUCT($F$3:$F$6,$AS$3:$AS$6)</f>
        <v/>
      </c>
      <c r="AT7" s="12">
        <f>SUMPRODUCT($F$3:$F$6,$AT$3:$AT$6)</f>
        <v/>
      </c>
      <c r="AU7" s="12">
        <f>SUMPRODUCT($F$3:$F$6,$AU$3:$AU$6)</f>
        <v/>
      </c>
      <c r="AV7" s="12">
        <f>SUMPRODUCT($F$3:$F$6,$AV$3:$AV$6)</f>
        <v/>
      </c>
      <c r="AW7" s="12">
        <f>SUMPRODUCT($F$3:$F$6,$AW$3:$AW$6)</f>
        <v/>
      </c>
      <c r="AX7" s="12">
        <f>SUMPRODUCT($F$3:$F$6,$AX$3:$AX$6)</f>
        <v/>
      </c>
      <c r="AY7" s="12">
        <f>SUMPRODUCT($F$3:$F$6,$AY$3:$AY$6)</f>
        <v/>
      </c>
      <c r="AZ7" s="12">
        <f>SUMPRODUCT($F$3:$F$6,$AZ$3:$AZ$6)</f>
        <v/>
      </c>
    </row>
  </sheetData>
  <mergeCells count="12">
    <mergeCell ref="AP1"/>
    <mergeCell ref="AD1"/>
    <mergeCell ref="AQ1:AZ1"/>
    <mergeCell ref="AE1:AJ1"/>
    <mergeCell ref="K1:O1"/>
    <mergeCell ref="A1:F1"/>
    <mergeCell ref="T1:X1"/>
    <mergeCell ref="AK1:AO1"/>
    <mergeCell ref="G1:J1"/>
    <mergeCell ref="Y1:AC1"/>
    <mergeCell ref="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Nutriente</t>
        </is>
      </c>
      <c r="B1" s="3" t="inlineStr">
        <is>
          <t>Total</t>
        </is>
      </c>
      <c r="C1" s="3" t="inlineStr">
        <is>
          <t>Unidad</t>
        </is>
      </c>
    </row>
    <row r="2">
      <c r="A2" t="inlineStr">
        <is>
          <t>Water</t>
        </is>
      </c>
      <c r="B2">
        <f>Ingredientes!G7</f>
        <v/>
      </c>
      <c r="C2" t="inlineStr">
        <is>
          <t>g</t>
        </is>
      </c>
    </row>
    <row r="3">
      <c r="A3" t="inlineStr">
        <is>
          <t>Energy (Atwater General Factors)</t>
        </is>
      </c>
      <c r="B3">
        <f>Ingredientes!H7</f>
        <v/>
      </c>
      <c r="C3" t="inlineStr">
        <is>
          <t>kcal</t>
        </is>
      </c>
    </row>
    <row r="4">
      <c r="A4" t="inlineStr">
        <is>
          <t>Energy (Atwater Specific Factors)</t>
        </is>
      </c>
      <c r="B4">
        <f>Ingredientes!I7</f>
        <v/>
      </c>
      <c r="C4" t="inlineStr">
        <is>
          <t>kcal</t>
        </is>
      </c>
    </row>
    <row r="5">
      <c r="A5" t="inlineStr">
        <is>
          <t>Nitrogen</t>
        </is>
      </c>
      <c r="B5">
        <f>Ingredientes!J7</f>
        <v/>
      </c>
      <c r="C5" t="inlineStr">
        <is>
          <t>g</t>
        </is>
      </c>
    </row>
    <row r="6">
      <c r="A6" t="inlineStr">
        <is>
          <t>Energy</t>
        </is>
      </c>
      <c r="B6">
        <f>Ingredientes!K7</f>
        <v/>
      </c>
      <c r="C6" t="inlineStr">
        <is>
          <t>kcal</t>
        </is>
      </c>
    </row>
    <row r="7">
      <c r="A7" t="inlineStr">
        <is>
          <t>Energy</t>
        </is>
      </c>
      <c r="B7">
        <f>Ingredientes!L7</f>
        <v/>
      </c>
      <c r="C7" t="inlineStr">
        <is>
          <t>kJ</t>
        </is>
      </c>
    </row>
    <row r="8">
      <c r="A8" t="inlineStr">
        <is>
          <t>Protein</t>
        </is>
      </c>
      <c r="B8">
        <f>Ingredientes!M7</f>
        <v/>
      </c>
      <c r="C8" t="inlineStr">
        <is>
          <t>g</t>
        </is>
      </c>
    </row>
    <row r="9">
      <c r="A9" t="inlineStr">
        <is>
          <t>Total lipid (fat)</t>
        </is>
      </c>
      <c r="B9">
        <f>Ingredientes!N7</f>
        <v/>
      </c>
      <c r="C9" t="inlineStr">
        <is>
          <t>g</t>
        </is>
      </c>
    </row>
    <row r="10">
      <c r="A10" t="inlineStr">
        <is>
          <t>Total fat (NLEA)</t>
        </is>
      </c>
      <c r="B10">
        <f>Ingredientes!O7</f>
        <v/>
      </c>
      <c r="C10" t="inlineStr">
        <is>
          <t>g</t>
        </is>
      </c>
    </row>
    <row r="11">
      <c r="A11" t="inlineStr">
        <is>
          <t>Ash</t>
        </is>
      </c>
      <c r="B11">
        <f>Ingredientes!P7</f>
        <v/>
      </c>
      <c r="C11" t="inlineStr">
        <is>
          <t>g</t>
        </is>
      </c>
    </row>
    <row r="12">
      <c r="A12" t="inlineStr">
        <is>
          <t>Carbohydrate, by difference</t>
        </is>
      </c>
      <c r="B12">
        <f>Ingredientes!Q7</f>
        <v/>
      </c>
      <c r="C12" t="inlineStr">
        <is>
          <t>g</t>
        </is>
      </c>
    </row>
    <row r="13">
      <c r="A13" t="inlineStr">
        <is>
          <t>Fiber, total dietary</t>
        </is>
      </c>
      <c r="B13">
        <f>Ingredientes!R7</f>
        <v/>
      </c>
      <c r="C13" t="inlineStr">
        <is>
          <t>g</t>
        </is>
      </c>
    </row>
    <row r="14">
      <c r="A14" t="inlineStr">
        <is>
          <t>Sugars, Total</t>
        </is>
      </c>
      <c r="B14">
        <f>Ingredientes!S7</f>
        <v/>
      </c>
      <c r="C14" t="inlineStr">
        <is>
          <t>g</t>
        </is>
      </c>
    </row>
    <row r="15">
      <c r="A15" t="inlineStr">
        <is>
          <t>Sucrose</t>
        </is>
      </c>
      <c r="B15">
        <f>Ingredientes!T7</f>
        <v/>
      </c>
      <c r="C15" t="inlineStr">
        <is>
          <t>g</t>
        </is>
      </c>
    </row>
    <row r="16">
      <c r="A16" t="inlineStr">
        <is>
          <t>Glucose</t>
        </is>
      </c>
      <c r="B16">
        <f>Ingredientes!U7</f>
        <v/>
      </c>
      <c r="C16" t="inlineStr">
        <is>
          <t>g</t>
        </is>
      </c>
    </row>
    <row r="17">
      <c r="A17" t="inlineStr">
        <is>
          <t>Fructose</t>
        </is>
      </c>
      <c r="B17">
        <f>Ingredientes!V7</f>
        <v/>
      </c>
      <c r="C17" t="inlineStr">
        <is>
          <t>g</t>
        </is>
      </c>
    </row>
    <row r="18">
      <c r="A18" t="inlineStr">
        <is>
          <t>Lactose</t>
        </is>
      </c>
      <c r="B18">
        <f>Ingredientes!W7</f>
        <v/>
      </c>
      <c r="C18" t="inlineStr">
        <is>
          <t>g</t>
        </is>
      </c>
    </row>
    <row r="19">
      <c r="A19" t="inlineStr">
        <is>
          <t>Maltose</t>
        </is>
      </c>
      <c r="B19">
        <f>Ingredientes!X7</f>
        <v/>
      </c>
      <c r="C19" t="inlineStr">
        <is>
          <t>g</t>
        </is>
      </c>
    </row>
    <row r="20">
      <c r="A20" t="inlineStr">
        <is>
          <t>Calcium, Ca</t>
        </is>
      </c>
      <c r="B20">
        <f>Ingredientes!Y7</f>
        <v/>
      </c>
      <c r="C20" t="inlineStr">
        <is>
          <t>mg</t>
        </is>
      </c>
    </row>
    <row r="21">
      <c r="A21" t="inlineStr">
        <is>
          <t>Iron, Fe</t>
        </is>
      </c>
      <c r="B21">
        <f>Ingredientes!Z7</f>
        <v/>
      </c>
      <c r="C21" t="inlineStr">
        <is>
          <t>mg</t>
        </is>
      </c>
    </row>
    <row r="22">
      <c r="A22" t="inlineStr">
        <is>
          <t>Magnesium, Mg</t>
        </is>
      </c>
      <c r="B22">
        <f>Ingredientes!AA7</f>
        <v/>
      </c>
      <c r="C22" t="inlineStr">
        <is>
          <t>mg</t>
        </is>
      </c>
    </row>
    <row r="23">
      <c r="A23" t="inlineStr">
        <is>
          <t>Phosphorus, P</t>
        </is>
      </c>
      <c r="B23">
        <f>Ingredientes!AB7</f>
        <v/>
      </c>
      <c r="C23" t="inlineStr">
        <is>
          <t>mg</t>
        </is>
      </c>
    </row>
    <row r="24">
      <c r="A24" t="inlineStr">
        <is>
          <t>Potassium, K</t>
        </is>
      </c>
      <c r="B24">
        <f>Ingredientes!AC7</f>
        <v/>
      </c>
      <c r="C24" t="inlineStr">
        <is>
          <t>mg</t>
        </is>
      </c>
    </row>
    <row r="25">
      <c r="A25" t="inlineStr">
        <is>
          <t>Sodium, Na</t>
        </is>
      </c>
      <c r="B25">
        <f>Ingredientes!AD7</f>
        <v/>
      </c>
      <c r="C25" t="inlineStr">
        <is>
          <t>mg</t>
        </is>
      </c>
    </row>
    <row r="26">
      <c r="A26" t="inlineStr">
        <is>
          <t>Zinc, Zn</t>
        </is>
      </c>
      <c r="B26">
        <f>Ingredientes!AE7</f>
        <v/>
      </c>
      <c r="C26" t="inlineStr">
        <is>
          <t>mg</t>
        </is>
      </c>
    </row>
    <row r="27">
      <c r="A27" t="inlineStr">
        <is>
          <t>Copper, Cu</t>
        </is>
      </c>
      <c r="B27">
        <f>Ingredientes!AF7</f>
        <v/>
      </c>
      <c r="C27" t="inlineStr">
        <is>
          <t>mg</t>
        </is>
      </c>
    </row>
    <row r="28">
      <c r="A28" t="inlineStr">
        <is>
          <t>Manganese, Mn</t>
        </is>
      </c>
      <c r="B28">
        <f>Ingredientes!AG7</f>
        <v/>
      </c>
      <c r="C28" t="inlineStr">
        <is>
          <t>mg</t>
        </is>
      </c>
    </row>
    <row r="29">
      <c r="A29" t="inlineStr">
        <is>
          <t>Selenium, Se</t>
        </is>
      </c>
      <c r="B29">
        <f>Ingredientes!AH7</f>
        <v/>
      </c>
      <c r="C29" t="inlineStr">
        <is>
          <t>µg</t>
        </is>
      </c>
    </row>
    <row r="30">
      <c r="A30" t="inlineStr">
        <is>
          <t>Molybdenum, Mo</t>
        </is>
      </c>
      <c r="B30">
        <f>Ingredientes!AI7</f>
        <v/>
      </c>
      <c r="C30" t="inlineStr">
        <is>
          <t>µg</t>
        </is>
      </c>
    </row>
    <row r="31">
      <c r="A31" t="inlineStr">
        <is>
          <t>Iodine, I</t>
        </is>
      </c>
      <c r="B31">
        <f>Ingredientes!AJ7</f>
        <v/>
      </c>
      <c r="C31" t="inlineStr">
        <is>
          <t>µg</t>
        </is>
      </c>
    </row>
    <row r="32">
      <c r="A32" t="inlineStr">
        <is>
          <t>Thiamin</t>
        </is>
      </c>
      <c r="B32">
        <f>Ingredientes!AK7</f>
        <v/>
      </c>
      <c r="C32" t="inlineStr">
        <is>
          <t>mg</t>
        </is>
      </c>
    </row>
    <row r="33">
      <c r="A33" t="inlineStr">
        <is>
          <t>Riboflavin</t>
        </is>
      </c>
      <c r="B33">
        <f>Ingredientes!AL7</f>
        <v/>
      </c>
      <c r="C33" t="inlineStr">
        <is>
          <t>mg</t>
        </is>
      </c>
    </row>
    <row r="34">
      <c r="A34" t="inlineStr">
        <is>
          <t>Niacin</t>
        </is>
      </c>
      <c r="B34">
        <f>Ingredientes!AM7</f>
        <v/>
      </c>
      <c r="C34" t="inlineStr">
        <is>
          <t>mg</t>
        </is>
      </c>
    </row>
    <row r="35">
      <c r="A35" t="inlineStr">
        <is>
          <t>Vitamin B-6</t>
        </is>
      </c>
      <c r="B35">
        <f>Ingredientes!AN7</f>
        <v/>
      </c>
      <c r="C35" t="inlineStr">
        <is>
          <t>mg</t>
        </is>
      </c>
    </row>
    <row r="36">
      <c r="A36" t="inlineStr">
        <is>
          <t>Folate, total</t>
        </is>
      </c>
      <c r="B36">
        <f>Ingredientes!AO7</f>
        <v/>
      </c>
      <c r="C36" t="inlineStr">
        <is>
          <t>µg</t>
        </is>
      </c>
    </row>
    <row r="37">
      <c r="A37" t="inlineStr">
        <is>
          <t>Cholesterol</t>
        </is>
      </c>
      <c r="B37">
        <f>Ingredientes!AP7</f>
        <v/>
      </c>
      <c r="C37" t="inlineStr">
        <is>
          <t>mg</t>
        </is>
      </c>
    </row>
    <row r="38">
      <c r="A38" t="inlineStr">
        <is>
          <t>Protein</t>
        </is>
      </c>
      <c r="B38">
        <f>Ingredientes!AQ7</f>
        <v/>
      </c>
      <c r="C38" t="inlineStr">
        <is>
          <t>g</t>
        </is>
      </c>
    </row>
    <row r="39">
      <c r="A39" t="inlineStr">
        <is>
          <t>Energy</t>
        </is>
      </c>
      <c r="B39">
        <f>Ingredientes!AR7</f>
        <v/>
      </c>
      <c r="C39" t="inlineStr">
        <is>
          <t>kJ</t>
        </is>
      </c>
    </row>
    <row r="40">
      <c r="A40" t="inlineStr">
        <is>
          <t>Fiber, total dietary</t>
        </is>
      </c>
      <c r="B40">
        <f>Ingredientes!AS7</f>
        <v/>
      </c>
      <c r="C40" t="inlineStr">
        <is>
          <t>g</t>
        </is>
      </c>
    </row>
    <row r="41">
      <c r="A41" t="inlineStr">
        <is>
          <t>Energy</t>
        </is>
      </c>
      <c r="B41">
        <f>Ingredientes!AT7</f>
        <v/>
      </c>
      <c r="C41" t="inlineStr">
        <is>
          <t>kcal</t>
        </is>
      </c>
    </row>
    <row r="42">
      <c r="A42" t="inlineStr">
        <is>
          <t>Sugars, Total</t>
        </is>
      </c>
      <c r="B42">
        <f>Ingredientes!AU7</f>
        <v/>
      </c>
      <c r="C42" t="inlineStr">
        <is>
          <t>g</t>
        </is>
      </c>
    </row>
    <row r="43">
      <c r="A43" t="inlineStr">
        <is>
          <t>Sodium, Na</t>
        </is>
      </c>
      <c r="B43">
        <f>Ingredientes!AV7</f>
        <v/>
      </c>
      <c r="C43" t="inlineStr">
        <is>
          <t>mg</t>
        </is>
      </c>
    </row>
    <row r="44">
      <c r="A44" t="inlineStr">
        <is>
          <t>Fatty acids, total saturated</t>
        </is>
      </c>
      <c r="B44">
        <f>Ingredientes!AW7</f>
        <v/>
      </c>
      <c r="C44" t="inlineStr">
        <is>
          <t>g</t>
        </is>
      </c>
    </row>
    <row r="45">
      <c r="A45" t="inlineStr">
        <is>
          <t>Carbohydrate, by difference</t>
        </is>
      </c>
      <c r="B45">
        <f>Ingredientes!AX7</f>
        <v/>
      </c>
      <c r="C45" t="inlineStr">
        <is>
          <t>g</t>
        </is>
      </c>
    </row>
    <row r="46">
      <c r="A46" t="inlineStr">
        <is>
          <t>Total lipid (fat)</t>
        </is>
      </c>
      <c r="B46">
        <f>Ingredientes!AY7</f>
        <v/>
      </c>
      <c r="C46" t="inlineStr">
        <is>
          <t>g</t>
        </is>
      </c>
    </row>
    <row r="47">
      <c r="A47" t="inlineStr">
        <is>
          <t>Total fat (NLEA)</t>
        </is>
      </c>
      <c r="B47">
        <f>Ingredientes!AZ7</f>
        <v/>
      </c>
      <c r="C47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2025-12-05T04:00:55Z</dcterms:created>
  <dcterms:modified xsi:type="dcterms:W3CDTF">2025-12-05T04:00:55Z</dcterms:modified>
</cp:coreProperties>
</file>