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correoucuedu-my.sharepoint.com/personal/jose_torres_correo_ucu_edu_uy/Documents/VS CODE/Programacion II/food_formulator/saves/"/>
    </mc:Choice>
  </mc:AlternateContent>
  <xr:revisionPtr revIDLastSave="1" documentId="11_BD110CF68BDCD61FB9F7E055388E72560B024B51" xr6:coauthVersionLast="47" xr6:coauthVersionMax="47" xr10:uidLastSave="{C33E2946-7A9A-459D-9C91-6BDE86DB077B}"/>
  <bookViews>
    <workbookView xWindow="-108" yWindow="-108" windowWidth="23256" windowHeight="12456" xr2:uid="{00000000-000D-0000-FFFF-FFFF00000000}"/>
  </bookViews>
  <sheets>
    <sheet name="Ingredientes" sheetId="1" r:id="rId1"/>
    <sheet name="Total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" i="1" l="1"/>
  <c r="B7" i="2" s="1"/>
  <c r="E10" i="1"/>
  <c r="F9" i="1"/>
  <c r="M10" i="1" s="1"/>
  <c r="B8" i="2" s="1"/>
  <c r="F8" i="1"/>
  <c r="F7" i="1"/>
  <c r="F6" i="1"/>
  <c r="F5" i="1"/>
  <c r="F4" i="1"/>
  <c r="F3" i="1"/>
  <c r="J10" i="1" s="1"/>
  <c r="B5" i="2" s="1"/>
  <c r="G10" i="1" l="1"/>
  <c r="B2" i="2" s="1"/>
  <c r="I10" i="1"/>
  <c r="B4" i="2" s="1"/>
  <c r="H10" i="1"/>
  <c r="B3" i="2" s="1"/>
  <c r="K10" i="1"/>
  <c r="B6" i="2" s="1"/>
</calcChain>
</file>

<file path=xl/sharedStrings.xml><?xml version="1.0" encoding="utf-8"?>
<sst xmlns="http://schemas.openxmlformats.org/spreadsheetml/2006/main" count="53" uniqueCount="41">
  <si>
    <t>Detalles de formulación</t>
  </si>
  <si>
    <t>Proximates</t>
  </si>
  <si>
    <t>Carbohydrates</t>
  </si>
  <si>
    <t>Minerals</t>
  </si>
  <si>
    <t>FDC ID</t>
  </si>
  <si>
    <t>Ingrediente</t>
  </si>
  <si>
    <t>Marca / Origen</t>
  </si>
  <si>
    <t>Tipo de dato</t>
  </si>
  <si>
    <t>Cantidad (g)</t>
  </si>
  <si>
    <t>Cantidad (%)</t>
  </si>
  <si>
    <t>Water (g)</t>
  </si>
  <si>
    <t>Energy (kcal)</t>
  </si>
  <si>
    <t>Protein (g)</t>
  </si>
  <si>
    <t>Total lipid (fat) (g)</t>
  </si>
  <si>
    <t>Carbohydrate, by difference (g)</t>
  </si>
  <si>
    <t>Fiber, total dietary (g)</t>
  </si>
  <si>
    <t>Sodium, Na (mg)</t>
  </si>
  <si>
    <t>Eggs, Grade A, Large, egg whole</t>
  </si>
  <si>
    <t>Foundation</t>
  </si>
  <si>
    <t>Water, bottled, generic</t>
  </si>
  <si>
    <t>SR Legacy</t>
  </si>
  <si>
    <t>Spices, cinnamon, ground</t>
  </si>
  <si>
    <t>Oil, canola</t>
  </si>
  <si>
    <t>Oil, soybean</t>
  </si>
  <si>
    <t>Salt, table</t>
  </si>
  <si>
    <t>Lentils, dry</t>
  </si>
  <si>
    <t>Total</t>
  </si>
  <si>
    <t>Formulado</t>
  </si>
  <si>
    <t>100%</t>
  </si>
  <si>
    <t>Nutriente</t>
  </si>
  <si>
    <t>Unidad</t>
  </si>
  <si>
    <t>Water</t>
  </si>
  <si>
    <t>g</t>
  </si>
  <si>
    <t>Energy</t>
  </si>
  <si>
    <t>kcal</t>
  </si>
  <si>
    <t>Protein</t>
  </si>
  <si>
    <t>Total lipid (fat)</t>
  </si>
  <si>
    <t>Carbohydrate, by difference</t>
  </si>
  <si>
    <t>Fiber, total dietary</t>
  </si>
  <si>
    <t>Sodium, Na</t>
  </si>
  <si>
    <t>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</si>
</sst>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AEEF3"/>
      </patternFill>
    </fill>
    <fill>
      <patternFill patternType="solid">
        <fgColor rgb="FFE6B8B7"/>
      </patternFill>
    </fill>
    <fill>
      <patternFill patternType="solid">
        <fgColor rgb="FFC4D79B"/>
      </patternFill>
    </fill>
    <fill>
      <patternFill patternType="solid">
        <fgColor rgb="FFD9D9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164" fontId="0" fillId="0" borderId="0" xfId="0" applyNumberFormat="1"/>
    <xf numFmtId="10" fontId="0" fillId="0" borderId="0" xfId="0" applyNumberFormat="1"/>
    <xf numFmtId="164" fontId="0" fillId="6" borderId="0" xfId="0" applyNumberFormat="1" applyFill="1"/>
    <xf numFmtId="10" fontId="0" fillId="6" borderId="0" xfId="0" applyNumberFormat="1" applyFill="1"/>
    <xf numFmtId="0" fontId="0" fillId="6" borderId="0" xfId="0" applyFill="1"/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/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"/>
  <sheetViews>
    <sheetView tabSelected="1" zoomScale="72" workbookViewId="0">
      <pane xSplit="6" ySplit="2" topLeftCell="G3" activePane="bottomRight" state="frozen"/>
      <selection pane="topRight"/>
      <selection pane="bottomLeft"/>
      <selection pane="bottomRight" activeCell="O23" sqref="O23"/>
    </sheetView>
  </sheetViews>
  <sheetFormatPr baseColWidth="10" defaultColWidth="8.88671875" defaultRowHeight="14.4" x14ac:dyDescent="0.3"/>
  <cols>
    <col min="1" max="1" width="12" customWidth="1"/>
    <col min="2" max="2" width="35" customWidth="1"/>
    <col min="3" max="3" width="18" customWidth="1"/>
    <col min="4" max="4" width="14" customWidth="1"/>
    <col min="5" max="6" width="12" customWidth="1"/>
    <col min="7" max="9" width="12" bestFit="1" customWidth="1"/>
    <col min="10" max="10" width="15.33203125" bestFit="1" customWidth="1"/>
    <col min="11" max="11" width="26.44140625" bestFit="1" customWidth="1"/>
    <col min="12" max="12" width="18.44140625" bestFit="1" customWidth="1"/>
    <col min="13" max="13" width="14.21875" bestFit="1" customWidth="1"/>
  </cols>
  <sheetData>
    <row r="1" spans="1:13" x14ac:dyDescent="0.3">
      <c r="A1" s="11" t="s">
        <v>0</v>
      </c>
      <c r="B1" s="12"/>
      <c r="C1" s="12"/>
      <c r="D1" s="12"/>
      <c r="E1" s="12"/>
      <c r="F1" s="12"/>
      <c r="G1" s="14" t="s">
        <v>1</v>
      </c>
      <c r="H1" s="12"/>
      <c r="I1" s="12"/>
      <c r="J1" s="12"/>
      <c r="K1" s="13" t="s">
        <v>2</v>
      </c>
      <c r="L1" s="12"/>
      <c r="M1" s="10" t="s">
        <v>3</v>
      </c>
    </row>
    <row r="2" spans="1:13" x14ac:dyDescent="0.3">
      <c r="A2" s="4" t="s">
        <v>4</v>
      </c>
      <c r="B2" s="4" t="s">
        <v>5</v>
      </c>
      <c r="C2" s="4" t="s">
        <v>6</v>
      </c>
      <c r="D2" s="4" t="s">
        <v>7</v>
      </c>
      <c r="E2" s="4" t="s">
        <v>8</v>
      </c>
      <c r="F2" s="4" t="s">
        <v>9</v>
      </c>
      <c r="G2" s="1" t="s">
        <v>10</v>
      </c>
      <c r="H2" s="1" t="s">
        <v>11</v>
      </c>
      <c r="I2" s="1" t="s">
        <v>12</v>
      </c>
      <c r="J2" s="1" t="s">
        <v>13</v>
      </c>
      <c r="K2" s="2" t="s">
        <v>14</v>
      </c>
      <c r="L2" s="2" t="s">
        <v>15</v>
      </c>
      <c r="M2" s="3" t="s">
        <v>16</v>
      </c>
    </row>
    <row r="3" spans="1:13" x14ac:dyDescent="0.3">
      <c r="A3">
        <v>748967</v>
      </c>
      <c r="B3" t="s">
        <v>17</v>
      </c>
      <c r="D3" t="s">
        <v>18</v>
      </c>
      <c r="E3" s="5">
        <v>150</v>
      </c>
      <c r="F3" s="6">
        <f t="shared" ref="F3:F9" si="0">E3/SUM($E$3:$E$9)</f>
        <v>0.39780427650680505</v>
      </c>
      <c r="G3">
        <v>75.8</v>
      </c>
      <c r="H3">
        <v>148</v>
      </c>
      <c r="I3">
        <v>12.4</v>
      </c>
      <c r="J3">
        <v>9.9600000000000009</v>
      </c>
      <c r="K3">
        <v>0.96</v>
      </c>
      <c r="L3">
        <v>0</v>
      </c>
      <c r="M3">
        <v>129</v>
      </c>
    </row>
    <row r="4" spans="1:13" x14ac:dyDescent="0.3">
      <c r="A4">
        <v>174158</v>
      </c>
      <c r="B4" t="s">
        <v>19</v>
      </c>
      <c r="D4" t="s">
        <v>20</v>
      </c>
      <c r="E4" s="5">
        <v>116.4730390055723</v>
      </c>
      <c r="F4" s="6">
        <f t="shared" si="0"/>
        <v>0.3088898200944038</v>
      </c>
      <c r="G4">
        <v>99.98</v>
      </c>
      <c r="H4">
        <v>0</v>
      </c>
      <c r="I4">
        <v>0</v>
      </c>
      <c r="J4">
        <v>0</v>
      </c>
      <c r="K4">
        <v>0</v>
      </c>
      <c r="L4">
        <v>0</v>
      </c>
      <c r="M4">
        <v>2</v>
      </c>
    </row>
    <row r="5" spans="1:13" x14ac:dyDescent="0.3">
      <c r="A5">
        <v>171320</v>
      </c>
      <c r="B5" t="s">
        <v>21</v>
      </c>
      <c r="D5" t="s">
        <v>20</v>
      </c>
      <c r="E5" s="5">
        <v>39.666666666666693</v>
      </c>
      <c r="F5" s="6">
        <f t="shared" si="0"/>
        <v>0.10519713089846629</v>
      </c>
      <c r="G5">
        <v>10.58</v>
      </c>
      <c r="H5">
        <v>247</v>
      </c>
      <c r="I5">
        <v>3.99</v>
      </c>
      <c r="J5">
        <v>1.24</v>
      </c>
      <c r="K5">
        <v>80.59</v>
      </c>
      <c r="L5">
        <v>53.1</v>
      </c>
      <c r="M5">
        <v>10</v>
      </c>
    </row>
    <row r="6" spans="1:13" x14ac:dyDescent="0.3">
      <c r="A6">
        <v>172336</v>
      </c>
      <c r="B6" t="s">
        <v>22</v>
      </c>
      <c r="D6" t="s">
        <v>20</v>
      </c>
      <c r="E6" s="5">
        <v>30</v>
      </c>
      <c r="F6" s="6">
        <f t="shared" si="0"/>
        <v>7.9560855301361005E-2</v>
      </c>
      <c r="G6">
        <v>0</v>
      </c>
      <c r="H6">
        <v>884</v>
      </c>
      <c r="I6">
        <v>0</v>
      </c>
      <c r="J6">
        <v>100</v>
      </c>
      <c r="K6">
        <v>0</v>
      </c>
      <c r="L6">
        <v>0</v>
      </c>
      <c r="M6">
        <v>0</v>
      </c>
    </row>
    <row r="7" spans="1:13" x14ac:dyDescent="0.3">
      <c r="A7">
        <v>748366</v>
      </c>
      <c r="B7" t="s">
        <v>23</v>
      </c>
      <c r="D7" t="s">
        <v>18</v>
      </c>
      <c r="E7" s="5">
        <v>5</v>
      </c>
      <c r="F7" s="6">
        <f t="shared" si="0"/>
        <v>1.3260142550226834E-2</v>
      </c>
    </row>
    <row r="8" spans="1:13" x14ac:dyDescent="0.3">
      <c r="A8">
        <v>173468</v>
      </c>
      <c r="B8" t="s">
        <v>24</v>
      </c>
      <c r="D8" t="s">
        <v>20</v>
      </c>
      <c r="E8" s="5">
        <v>3.1301471638805571</v>
      </c>
      <c r="F8" s="6">
        <f t="shared" si="0"/>
        <v>8.3012395192488854E-3</v>
      </c>
      <c r="G8">
        <v>0.2</v>
      </c>
      <c r="H8">
        <v>0</v>
      </c>
      <c r="I8">
        <v>0</v>
      </c>
      <c r="J8">
        <v>0</v>
      </c>
      <c r="K8">
        <v>0</v>
      </c>
      <c r="L8">
        <v>0</v>
      </c>
      <c r="M8">
        <v>38758</v>
      </c>
    </row>
    <row r="9" spans="1:13" x14ac:dyDescent="0.3">
      <c r="A9">
        <v>2644283</v>
      </c>
      <c r="B9" t="s">
        <v>25</v>
      </c>
      <c r="D9" t="s">
        <v>18</v>
      </c>
      <c r="E9" s="5">
        <v>32.800000000000011</v>
      </c>
      <c r="F9" s="6">
        <f t="shared" si="0"/>
        <v>8.6986535129488063E-2</v>
      </c>
      <c r="G9">
        <v>9.4510000000000005</v>
      </c>
      <c r="I9">
        <v>23.568750000000001</v>
      </c>
      <c r="J9">
        <v>1.925</v>
      </c>
      <c r="K9">
        <v>62.171250000000001</v>
      </c>
      <c r="M9">
        <v>0</v>
      </c>
    </row>
    <row r="10" spans="1:13" x14ac:dyDescent="0.3">
      <c r="A10" t="s">
        <v>26</v>
      </c>
      <c r="B10" t="s">
        <v>27</v>
      </c>
      <c r="C10" t="s">
        <v>27</v>
      </c>
      <c r="D10" t="s">
        <v>27</v>
      </c>
      <c r="E10" s="7">
        <f>SUBTOTAL(9,E3:E9)</f>
        <v>377.06985283611959</v>
      </c>
      <c r="F10" s="8" t="s">
        <v>28</v>
      </c>
      <c r="G10" s="9">
        <f>SUMPRODUCT($F$3:$F$9,$G$3:$G$9)</f>
        <v>62.973124008572732</v>
      </c>
      <c r="H10" s="9">
        <f>SUMPRODUCT($F$3:$F$9,$H$3:$H$9)</f>
        <v>155.19052034133145</v>
      </c>
      <c r="I10" s="9">
        <f>SUMPRODUCT($F$3:$F$9,$I$3:$I$9)</f>
        <v>7.4026734808023846</v>
      </c>
      <c r="J10" s="9">
        <f>SUMPRODUCT($F$3:$F$9,$J$3:$J$9)</f>
        <v>12.216109646582241</v>
      </c>
      <c r="K10" s="9">
        <f>SUMPRODUCT($F$3:$F$9,$K$3:$K$9)</f>
        <v>14.267790506723117</v>
      </c>
      <c r="L10" s="9">
        <f>SUMPRODUCT($F$3:$F$9,$L$3:$L$9)</f>
        <v>5.5859676507085601</v>
      </c>
      <c r="M10" s="9">
        <f>SUMPRODUCT($F$3:$F$9,$M$3:$M$9)</f>
        <v>374.72594390559959</v>
      </c>
    </row>
  </sheetData>
  <mergeCells count="4">
    <mergeCell ref="M1"/>
    <mergeCell ref="A1:F1"/>
    <mergeCell ref="K1:L1"/>
    <mergeCell ref="G1:J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/>
  </sheetViews>
  <sheetFormatPr baseColWidth="10" defaultColWidth="8.88671875" defaultRowHeight="14.4" x14ac:dyDescent="0.3"/>
  <sheetData>
    <row r="1" spans="1:3" x14ac:dyDescent="0.3">
      <c r="A1" s="4" t="s">
        <v>29</v>
      </c>
      <c r="B1" s="4" t="s">
        <v>26</v>
      </c>
      <c r="C1" s="4" t="s">
        <v>30</v>
      </c>
    </row>
    <row r="2" spans="1:3" x14ac:dyDescent="0.3">
      <c r="A2" t="s">
        <v>31</v>
      </c>
      <c r="B2">
        <f>Ingredientes!G10</f>
        <v>62.973124008572732</v>
      </c>
      <c r="C2" t="s">
        <v>32</v>
      </c>
    </row>
    <row r="3" spans="1:3" x14ac:dyDescent="0.3">
      <c r="A3" t="s">
        <v>33</v>
      </c>
      <c r="B3">
        <f>Ingredientes!H10</f>
        <v>155.19052034133145</v>
      </c>
      <c r="C3" t="s">
        <v>34</v>
      </c>
    </row>
    <row r="4" spans="1:3" x14ac:dyDescent="0.3">
      <c r="A4" t="s">
        <v>35</v>
      </c>
      <c r="B4">
        <f>Ingredientes!I10</f>
        <v>7.4026734808023846</v>
      </c>
      <c r="C4" t="s">
        <v>32</v>
      </c>
    </row>
    <row r="5" spans="1:3" x14ac:dyDescent="0.3">
      <c r="A5" t="s">
        <v>36</v>
      </c>
      <c r="B5">
        <f>Ingredientes!J10</f>
        <v>12.216109646582241</v>
      </c>
      <c r="C5" t="s">
        <v>32</v>
      </c>
    </row>
    <row r="6" spans="1:3" x14ac:dyDescent="0.3">
      <c r="A6" t="s">
        <v>37</v>
      </c>
      <c r="B6">
        <f>Ingredientes!K10</f>
        <v>14.267790506723117</v>
      </c>
      <c r="C6" t="s">
        <v>32</v>
      </c>
    </row>
    <row r="7" spans="1:3" x14ac:dyDescent="0.3">
      <c r="A7" t="s">
        <v>38</v>
      </c>
      <c r="B7">
        <f>Ingredientes!L10</f>
        <v>5.5859676507085601</v>
      </c>
      <c r="C7" t="s">
        <v>32</v>
      </c>
    </row>
    <row r="8" spans="1:3" x14ac:dyDescent="0.3">
      <c r="A8" t="s">
        <v>39</v>
      </c>
      <c r="B8">
        <f>Ingredientes!M10</f>
        <v>374.72594390559959</v>
      </c>
      <c r="C8" t="s">
        <v>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Ingredientes</vt:lpstr>
      <vt:lpstr>Totales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TORRES</cp:lastModifiedBy>
  <dcterms:created xsi:type="dcterms:W3CDTF">2025-12-04T22:58:25Z</dcterms:created>
  <dcterms:modified xsi:type="dcterms:W3CDTF">2025-12-04T22:59:59Z</dcterms:modified>
</cp:coreProperties>
</file>