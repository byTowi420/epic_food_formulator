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0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Q1" s="3" t="inlineStr">
        <is>
          <t>Carbohydrates</t>
        </is>
      </c>
      <c r="AD1" s="4" t="inlineStr">
        <is>
          <t>Minerals</t>
        </is>
      </c>
      <c r="AP1" s="5" t="inlineStr">
        <is>
          <t>Vitamins and Other Components</t>
        </is>
      </c>
      <c r="CP1" s="6" t="inlineStr">
        <is>
          <t>Lipids</t>
        </is>
      </c>
      <c r="EP1" s="7" t="inlineStr">
        <is>
          <t>Amino acids</t>
        </is>
      </c>
      <c r="FM1" s="8" t="inlineStr">
        <is>
          <t>Phytosterols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(kcal)</t>
        </is>
      </c>
      <c r="I2" s="2" t="inlineStr">
        <is>
          <t>Energy (kJ)</t>
        </is>
      </c>
      <c r="J2" s="2" t="inlineStr">
        <is>
          <t>Nitrogen (g)</t>
        </is>
      </c>
      <c r="K2" s="2" t="inlineStr">
        <is>
          <t>Protein (g)</t>
        </is>
      </c>
      <c r="L2" s="2" t="inlineStr">
        <is>
          <t>Total lipid (fat) (g)</t>
        </is>
      </c>
      <c r="M2" s="2" t="inlineStr">
        <is>
          <t>Total fat (NLEA) (g)</t>
        </is>
      </c>
      <c r="N2" s="2" t="inlineStr">
        <is>
          <t>Ash (g)</t>
        </is>
      </c>
      <c r="O2" s="2" t="inlineStr">
        <is>
          <t>Energy (Atwater General Factors) (kcal)</t>
        </is>
      </c>
      <c r="P2" s="2" t="inlineStr">
        <is>
          <t>Energy (Atwater Specific Factors) (kcal)</t>
        </is>
      </c>
      <c r="Q2" s="3" t="inlineStr">
        <is>
          <t>Carbohydrate, by difference (g)</t>
        </is>
      </c>
      <c r="R2" s="3" t="inlineStr">
        <is>
          <t>Carbohydrate, by summation (g)</t>
        </is>
      </c>
      <c r="S2" s="3" t="inlineStr">
        <is>
          <t>Fiber, total dietary (g)</t>
        </is>
      </c>
      <c r="T2" s="3" t="inlineStr">
        <is>
          <t>Sugars, Total (g)</t>
        </is>
      </c>
      <c r="U2" s="3" t="inlineStr">
        <is>
          <t>Sucrose (g)</t>
        </is>
      </c>
      <c r="V2" s="3" t="inlineStr">
        <is>
          <t>Glucose (g)</t>
        </is>
      </c>
      <c r="W2" s="3" t="inlineStr">
        <is>
          <t>Fructose (g)</t>
        </is>
      </c>
      <c r="X2" s="3" t="inlineStr">
        <is>
          <t>Lactose (g)</t>
        </is>
      </c>
      <c r="Y2" s="3" t="inlineStr">
        <is>
          <t>Maltose (g)</t>
        </is>
      </c>
      <c r="Z2" s="3" t="inlineStr">
        <is>
          <t>Starch (g)</t>
        </is>
      </c>
      <c r="AA2" s="3" t="inlineStr">
        <is>
          <t>Total Sugars (g)</t>
        </is>
      </c>
      <c r="AB2" s="3" t="inlineStr">
        <is>
          <t>Galactose (g)</t>
        </is>
      </c>
      <c r="AC2" s="3" t="inlineStr">
        <is>
          <t>Resistant starch (g)</t>
        </is>
      </c>
      <c r="AD2" s="4" t="inlineStr">
        <is>
          <t>Calcium, Ca (mg)</t>
        </is>
      </c>
      <c r="AE2" s="4" t="inlineStr">
        <is>
          <t>Iron, Fe (mg)</t>
        </is>
      </c>
      <c r="AF2" s="4" t="inlineStr">
        <is>
          <t>Magnesium, Mg (mg)</t>
        </is>
      </c>
      <c r="AG2" s="4" t="inlineStr">
        <is>
          <t>Phosphorus, P (mg)</t>
        </is>
      </c>
      <c r="AH2" s="4" t="inlineStr">
        <is>
          <t>Potassium, K (mg)</t>
        </is>
      </c>
      <c r="AI2" s="4" t="inlineStr">
        <is>
          <t>Sodium, Na (mg)</t>
        </is>
      </c>
      <c r="AJ2" s="4" t="inlineStr">
        <is>
          <t>Zinc, Zn (mg)</t>
        </is>
      </c>
      <c r="AK2" s="4" t="inlineStr">
        <is>
          <t>Copper, Cu (mg)</t>
        </is>
      </c>
      <c r="AL2" s="4" t="inlineStr">
        <is>
          <t>Manganese, Mn (mg)</t>
        </is>
      </c>
      <c r="AM2" s="4" t="inlineStr">
        <is>
          <t>Iodine, I (µg)</t>
        </is>
      </c>
      <c r="AN2" s="4" t="inlineStr">
        <is>
          <t>Selenium, Se (µg)</t>
        </is>
      </c>
      <c r="AO2" s="4" t="inlineStr">
        <is>
          <t>Fluoride, F (µg)</t>
        </is>
      </c>
      <c r="AP2" s="5" t="inlineStr">
        <is>
          <t>Thiamin (mg)</t>
        </is>
      </c>
      <c r="AQ2" s="5" t="inlineStr">
        <is>
          <t>Riboflavin (mg)</t>
        </is>
      </c>
      <c r="AR2" s="5" t="inlineStr">
        <is>
          <t>Niacin (mg)</t>
        </is>
      </c>
      <c r="AS2" s="5" t="inlineStr">
        <is>
          <t>Vitamin B-6 (mg)</t>
        </is>
      </c>
      <c r="AT2" s="5" t="inlineStr">
        <is>
          <t>Folate, total (µg)</t>
        </is>
      </c>
      <c r="AU2" s="5" t="inlineStr">
        <is>
          <t>Choline, total (mg)</t>
        </is>
      </c>
      <c r="AV2" s="5" t="inlineStr">
        <is>
          <t>Choline, free (mg)</t>
        </is>
      </c>
      <c r="AW2" s="5" t="inlineStr">
        <is>
          <t>Choline, from phosphocholine (mg)</t>
        </is>
      </c>
      <c r="AX2" s="5" t="inlineStr">
        <is>
          <t>Choline, from phosphotidyl choline (mg)</t>
        </is>
      </c>
      <c r="AY2" s="5" t="inlineStr">
        <is>
          <t>Choline, from glycerophosphocholine (mg)</t>
        </is>
      </c>
      <c r="AZ2" s="5" t="inlineStr">
        <is>
          <t>Choline, from sphingomyelin (mg)</t>
        </is>
      </c>
      <c r="BA2" s="5" t="inlineStr">
        <is>
          <t>Betaine (mg)</t>
        </is>
      </c>
      <c r="BB2" s="5" t="inlineStr">
        <is>
          <t>Vitamin B-12 (µg)</t>
        </is>
      </c>
      <c r="BC2" s="5" t="inlineStr">
        <is>
          <t>Vitamin A, RAE (µg)</t>
        </is>
      </c>
      <c r="BD2" s="5" t="inlineStr">
        <is>
          <t>Retinol (µg)</t>
        </is>
      </c>
      <c r="BE2" s="5" t="inlineStr">
        <is>
          <t>Carotene, beta (µg)</t>
        </is>
      </c>
      <c r="BF2" s="5" t="inlineStr">
        <is>
          <t>cis-beta-Carotene (µg)</t>
        </is>
      </c>
      <c r="BG2" s="5" t="inlineStr">
        <is>
          <t>trans-beta-Carotene (µg)</t>
        </is>
      </c>
      <c r="BH2" s="5" t="inlineStr">
        <is>
          <t>Carotene, alpha (µg)</t>
        </is>
      </c>
      <c r="BI2" s="5" t="inlineStr">
        <is>
          <t>Cryptoxanthin, beta (µg)</t>
        </is>
      </c>
      <c r="BJ2" s="5" t="inlineStr">
        <is>
          <t>Cryptoxanthin, alpha (µg)</t>
        </is>
      </c>
      <c r="BK2" s="5" t="inlineStr">
        <is>
          <t>Lycopene (µg)</t>
        </is>
      </c>
      <c r="BL2" s="5" t="inlineStr">
        <is>
          <t>cis-Lycopene (µg)</t>
        </is>
      </c>
      <c r="BM2" s="5" t="inlineStr">
        <is>
          <t>trans-Lycopene (µg)</t>
        </is>
      </c>
      <c r="BN2" s="5" t="inlineStr">
        <is>
          <t>cis-Lutein/Zeaxanthin (µg)</t>
        </is>
      </c>
      <c r="BO2" s="5" t="inlineStr">
        <is>
          <t>Lutein (µg)</t>
        </is>
      </c>
      <c r="BP2" s="5" t="inlineStr">
        <is>
          <t>Zeaxanthin (µg)</t>
        </is>
      </c>
      <c r="BQ2" s="5" t="inlineStr">
        <is>
          <t>Vitamin D (D2 + D3), International Units (IU)</t>
        </is>
      </c>
      <c r="BR2" s="5" t="inlineStr">
        <is>
          <t>Vitamin D (D2 + D3) (µg)</t>
        </is>
      </c>
      <c r="BS2" s="5" t="inlineStr">
        <is>
          <t>Vitamin D2 (ergocalciferol) (µg)</t>
        </is>
      </c>
      <c r="BT2" s="5" t="inlineStr">
        <is>
          <t>Vitamin D3 (cholecalciferol) (µg)</t>
        </is>
      </c>
      <c r="BU2" s="5" t="inlineStr">
        <is>
          <t>25-hydroxycholecalciferol (µg)</t>
        </is>
      </c>
      <c r="BV2" s="5" t="inlineStr">
        <is>
          <t>Vitamin C, total ascorbic acid (mg)</t>
        </is>
      </c>
      <c r="BW2" s="5" t="inlineStr">
        <is>
          <t>Pantothenic acid (mg)</t>
        </is>
      </c>
      <c r="BX2" s="5" t="inlineStr">
        <is>
          <t>Folic acid (µg)</t>
        </is>
      </c>
      <c r="BY2" s="5" t="inlineStr">
        <is>
          <t>Folate, food (µg)</t>
        </is>
      </c>
      <c r="BZ2" s="5" t="inlineStr">
        <is>
          <t>Folate, DFE (µg)</t>
        </is>
      </c>
      <c r="CA2" s="5" t="inlineStr">
        <is>
          <t>Vitamin B-12, added (µg)</t>
        </is>
      </c>
      <c r="CB2" s="5" t="inlineStr">
        <is>
          <t>Vitamin A, IU (IU)</t>
        </is>
      </c>
      <c r="CC2" s="5" t="inlineStr">
        <is>
          <t>Lutein + zeaxanthin (µg)</t>
        </is>
      </c>
      <c r="CD2" s="5" t="inlineStr">
        <is>
          <t>Vitamin E (alpha-tocopherol) (mg)</t>
        </is>
      </c>
      <c r="CE2" s="5" t="inlineStr">
        <is>
          <t>Vitamin E, added (mg)</t>
        </is>
      </c>
      <c r="CF2" s="5" t="inlineStr">
        <is>
          <t>Vitamin K (phylloquinone) (µg)</t>
        </is>
      </c>
      <c r="CG2" s="5" t="inlineStr">
        <is>
          <t>Tocopherol, beta (mg)</t>
        </is>
      </c>
      <c r="CH2" s="5" t="inlineStr">
        <is>
          <t>Tocopherol, gamma (mg)</t>
        </is>
      </c>
      <c r="CI2" s="5" t="inlineStr">
        <is>
          <t>Tocopherol, delta (mg)</t>
        </is>
      </c>
      <c r="CJ2" s="5" t="inlineStr">
        <is>
          <t>Tocotrienol, alpha (mg)</t>
        </is>
      </c>
      <c r="CK2" s="5" t="inlineStr">
        <is>
          <t>Tocotrienol, beta (mg)</t>
        </is>
      </c>
      <c r="CL2" s="5" t="inlineStr">
        <is>
          <t>Tocotrienol, gamma (mg)</t>
        </is>
      </c>
      <c r="CM2" s="5" t="inlineStr">
        <is>
          <t>Tocotrienol, delta (mg)</t>
        </is>
      </c>
      <c r="CN2" s="5" t="inlineStr">
        <is>
          <t>Vitamin K (Dihydrophylloquinone) (µg)</t>
        </is>
      </c>
      <c r="CO2" s="5" t="inlineStr">
        <is>
          <t>Vitamin K (Menaquinone-4) (µg)</t>
        </is>
      </c>
      <c r="CP2" s="6" t="inlineStr">
        <is>
          <t>Fatty acids, total saturated (g)</t>
        </is>
      </c>
      <c r="CQ2" s="6" t="inlineStr">
        <is>
          <t>SFA 14:0 (g)</t>
        </is>
      </c>
      <c r="CR2" s="6" t="inlineStr">
        <is>
          <t>SFA 16:0 (g)</t>
        </is>
      </c>
      <c r="CS2" s="6" t="inlineStr">
        <is>
          <t>SFA 18:0 (g)</t>
        </is>
      </c>
      <c r="CT2" s="6" t="inlineStr">
        <is>
          <t>Fatty acids, total monounsaturated (g)</t>
        </is>
      </c>
      <c r="CU2" s="6" t="inlineStr">
        <is>
          <t>MUFA 16:1 c (g)</t>
        </is>
      </c>
      <c r="CV2" s="6" t="inlineStr">
        <is>
          <t>MUFA 18:1 c (g)</t>
        </is>
      </c>
      <c r="CW2" s="6" t="inlineStr">
        <is>
          <t>Fatty acids, total polyunsaturated (g)</t>
        </is>
      </c>
      <c r="CX2" s="6" t="inlineStr">
        <is>
          <t>PUFA 18:2 c (g)</t>
        </is>
      </c>
      <c r="CY2" s="6" t="inlineStr">
        <is>
          <t>PUFA 18:2 n-6 c,c (g)</t>
        </is>
      </c>
      <c r="CZ2" s="6" t="inlineStr">
        <is>
          <t>PUFA 18:3 c (g)</t>
        </is>
      </c>
      <c r="DA2" s="6" t="inlineStr">
        <is>
          <t>PUFA 18:3 n-6 c,c,c (g)</t>
        </is>
      </c>
      <c r="DB2" s="6" t="inlineStr">
        <is>
          <t>PUFA 20:3 c (g)</t>
        </is>
      </c>
      <c r="DC2" s="6" t="inlineStr">
        <is>
          <t>PUFA 20:3 n-6 (g)</t>
        </is>
      </c>
      <c r="DD2" s="6" t="inlineStr">
        <is>
          <t>Cholesterol (mg)</t>
        </is>
      </c>
      <c r="DE2" s="6" t="inlineStr">
        <is>
          <t>SFA 4:0 (g)</t>
        </is>
      </c>
      <c r="DF2" s="6" t="inlineStr">
        <is>
          <t>SFA 6:0 (g)</t>
        </is>
      </c>
      <c r="DG2" s="6" t="inlineStr">
        <is>
          <t>SFA 8:0 (g)</t>
        </is>
      </c>
      <c r="DH2" s="6" t="inlineStr">
        <is>
          <t>SFA 10:0 (g)</t>
        </is>
      </c>
      <c r="DI2" s="6" t="inlineStr">
        <is>
          <t>SFA 12:0 (g)</t>
        </is>
      </c>
      <c r="DJ2" s="6" t="inlineStr">
        <is>
          <t>MUFA 16:1 (g)</t>
        </is>
      </c>
      <c r="DK2" s="6" t="inlineStr">
        <is>
          <t>MUFA 18:1 (g)</t>
        </is>
      </c>
      <c r="DL2" s="6" t="inlineStr">
        <is>
          <t>MUFA 20:1 (g)</t>
        </is>
      </c>
      <c r="DM2" s="6" t="inlineStr">
        <is>
          <t>MUFA 22:1 (g)</t>
        </is>
      </c>
      <c r="DN2" s="6" t="inlineStr">
        <is>
          <t>PUFA 18:2 (g)</t>
        </is>
      </c>
      <c r="DO2" s="6" t="inlineStr">
        <is>
          <t>PUFA 18:3 (g)</t>
        </is>
      </c>
      <c r="DP2" s="6" t="inlineStr">
        <is>
          <t>PUFA 18:4 (g)</t>
        </is>
      </c>
      <c r="DQ2" s="6" t="inlineStr">
        <is>
          <t>PUFA 20:4 (g)</t>
        </is>
      </c>
      <c r="DR2" s="6" t="inlineStr">
        <is>
          <t>PUFA 20:5 n-3 (EPA) (g)</t>
        </is>
      </c>
      <c r="DS2" s="6" t="inlineStr">
        <is>
          <t>PUFA 22:5 n-3 (DPA) (g)</t>
        </is>
      </c>
      <c r="DT2" s="6" t="inlineStr">
        <is>
          <t>PUFA 22:6 n-3 (DHA) (g)</t>
        </is>
      </c>
      <c r="DU2" s="6" t="inlineStr">
        <is>
          <t>Fatty acids, total trans (g)</t>
        </is>
      </c>
      <c r="DV2" s="6" t="inlineStr">
        <is>
          <t>SFA 13:0 (g)</t>
        </is>
      </c>
      <c r="DW2" s="6" t="inlineStr">
        <is>
          <t>SFA 15:0 (g)</t>
        </is>
      </c>
      <c r="DX2" s="6" t="inlineStr">
        <is>
          <t>SFA 17:0 (g)</t>
        </is>
      </c>
      <c r="DY2" s="6" t="inlineStr">
        <is>
          <t>SFA 20:0 (g)</t>
        </is>
      </c>
      <c r="DZ2" s="6" t="inlineStr">
        <is>
          <t>SFA 22:0 (g)</t>
        </is>
      </c>
      <c r="EA2" s="6" t="inlineStr">
        <is>
          <t>SFA 24:0 (g)</t>
        </is>
      </c>
      <c r="EB2" s="6" t="inlineStr">
        <is>
          <t>MUFA 14:1 (g)</t>
        </is>
      </c>
      <c r="EC2" s="6" t="inlineStr">
        <is>
          <t>MUFA 15:1 (g)</t>
        </is>
      </c>
      <c r="ED2" s="6" t="inlineStr">
        <is>
          <t>MUFA 17:1 (g)</t>
        </is>
      </c>
      <c r="EE2" s="6" t="inlineStr">
        <is>
          <t>MUFA 24:1 c (g)</t>
        </is>
      </c>
      <c r="EF2" s="6" t="inlineStr">
        <is>
          <t>PUFA 18:3 n-3 c,c,c (ALA) (g)</t>
        </is>
      </c>
      <c r="EG2" s="6" t="inlineStr">
        <is>
          <t>PUFA 20:2 n-6 c,c (g)</t>
        </is>
      </c>
      <c r="EH2" s="6" t="inlineStr">
        <is>
          <t>PUFA 20:3 (g)</t>
        </is>
      </c>
      <c r="EI2" s="6" t="inlineStr">
        <is>
          <t>Fatty acids, total trans-monoenoic (g)</t>
        </is>
      </c>
      <c r="EJ2" s="6" t="inlineStr">
        <is>
          <t>TFA 18:1 t (g)</t>
        </is>
      </c>
      <c r="EK2" s="6" t="inlineStr">
        <is>
          <t>Phytosterols (mg)</t>
        </is>
      </c>
      <c r="EL2" s="6" t="inlineStr">
        <is>
          <t>TFA 18:2 t,t (g)</t>
        </is>
      </c>
      <c r="EM2" s="6" t="inlineStr">
        <is>
          <t>Fatty acids, total trans-polyenoic (g)</t>
        </is>
      </c>
      <c r="EN2" s="6" t="inlineStr">
        <is>
          <t>SFA 21:0 (g)</t>
        </is>
      </c>
      <c r="EO2" s="6" t="inlineStr">
        <is>
          <t>MUFA 20:1 c (g)</t>
        </is>
      </c>
      <c r="EP2" s="7" t="inlineStr">
        <is>
          <t>Tryptophan (g)</t>
        </is>
      </c>
      <c r="EQ2" s="7" t="inlineStr">
        <is>
          <t>Threonine (g)</t>
        </is>
      </c>
      <c r="ER2" s="7" t="inlineStr">
        <is>
          <t>Isoleucine (g)</t>
        </is>
      </c>
      <c r="ES2" s="7" t="inlineStr">
        <is>
          <t>Leucine (g)</t>
        </is>
      </c>
      <c r="ET2" s="7" t="inlineStr">
        <is>
          <t>Lysine (g)</t>
        </is>
      </c>
      <c r="EU2" s="7" t="inlineStr">
        <is>
          <t>Methionine (g)</t>
        </is>
      </c>
      <c r="EV2" s="7" t="inlineStr">
        <is>
          <t>Phenylalanine (g)</t>
        </is>
      </c>
      <c r="EW2" s="7" t="inlineStr">
        <is>
          <t>Tyrosine (g)</t>
        </is>
      </c>
      <c r="EX2" s="7" t="inlineStr">
        <is>
          <t>Valine (g)</t>
        </is>
      </c>
      <c r="EY2" s="7" t="inlineStr">
        <is>
          <t>Arginine (g)</t>
        </is>
      </c>
      <c r="EZ2" s="7" t="inlineStr">
        <is>
          <t>Histidine (g)</t>
        </is>
      </c>
      <c r="FA2" s="7" t="inlineStr">
        <is>
          <t>Alanine (g)</t>
        </is>
      </c>
      <c r="FB2" s="7" t="inlineStr">
        <is>
          <t>Aspartic acid (g)</t>
        </is>
      </c>
      <c r="FC2" s="7" t="inlineStr">
        <is>
          <t>Glutamic acid (g)</t>
        </is>
      </c>
      <c r="FD2" s="7" t="inlineStr">
        <is>
          <t>Glycine (g)</t>
        </is>
      </c>
      <c r="FE2" s="7" t="inlineStr">
        <is>
          <t>Proline (g)</t>
        </is>
      </c>
      <c r="FF2" s="7" t="inlineStr">
        <is>
          <t>Serine (g)</t>
        </is>
      </c>
      <c r="FG2" s="7" t="inlineStr">
        <is>
          <t>Hydroxyproline (g)</t>
        </is>
      </c>
      <c r="FH2" s="7" t="inlineStr">
        <is>
          <t>Cysteine (g)</t>
        </is>
      </c>
      <c r="FI2" s="7" t="inlineStr">
        <is>
          <t>Alcohol, ethyl (g)</t>
        </is>
      </c>
      <c r="FJ2" s="7" t="inlineStr">
        <is>
          <t>Caffeine (mg)</t>
        </is>
      </c>
      <c r="FK2" s="7" t="inlineStr">
        <is>
          <t>Theobromine (mg)</t>
        </is>
      </c>
      <c r="FL2" s="7" t="inlineStr">
        <is>
          <t>Cystine (g)</t>
        </is>
      </c>
      <c r="FM2" s="8" t="inlineStr">
        <is>
          <t>Stigmasterol (mg)</t>
        </is>
      </c>
      <c r="FN2" s="8" t="inlineStr">
        <is>
          <t>Campesterol (mg)</t>
        </is>
      </c>
      <c r="FO2" s="8" t="inlineStr">
        <is>
          <t>Beta-sitosterol (mg)</t>
        </is>
      </c>
      <c r="FP2" s="8" t="inlineStr">
        <is>
          <t>Brassicasterol (mg)</t>
        </is>
      </c>
      <c r="FQ2" s="8" t="inlineStr">
        <is>
          <t>Campestanol (mg)</t>
        </is>
      </c>
      <c r="FR2" s="8" t="inlineStr">
        <is>
          <t>Beta-sitostanol (mg)</t>
        </is>
      </c>
      <c r="FS2" s="8" t="inlineStr">
        <is>
          <t>Delta-5-avenasterol (mg)</t>
        </is>
      </c>
      <c r="FT2" s="8" t="inlineStr">
        <is>
          <t>Phytosterols, other (mg)</t>
        </is>
      </c>
    </row>
    <row r="3">
      <c r="A3" t="n">
        <v>748967</v>
      </c>
      <c r="B3" t="inlineStr">
        <is>
          <t>Eggs, Grade A, Large, egg whole</t>
        </is>
      </c>
      <c r="C3" t="inlineStr"/>
      <c r="D3" t="inlineStr">
        <is>
          <t>Foundation</t>
        </is>
      </c>
      <c r="E3" s="9" t="n">
        <v>150</v>
      </c>
      <c r="F3" s="10">
        <f>E3/SUM($E$3:$E$9)</f>
        <v/>
      </c>
      <c r="G3" t="n">
        <v>75.8</v>
      </c>
      <c r="H3" t="n">
        <v>148</v>
      </c>
      <c r="I3" t="n">
        <v>617</v>
      </c>
      <c r="J3" t="n">
        <v>1.99</v>
      </c>
      <c r="K3" t="n">
        <v>12.4</v>
      </c>
      <c r="L3" t="n">
        <v>9.960000000000001</v>
      </c>
      <c r="M3" t="n">
        <v>8.65</v>
      </c>
      <c r="N3" t="n">
        <v>0.85</v>
      </c>
      <c r="Q3" t="n">
        <v>0.96</v>
      </c>
      <c r="R3" t="n">
        <v>0.2</v>
      </c>
      <c r="S3" t="n">
        <v>0</v>
      </c>
      <c r="T3" t="n">
        <v>0.2</v>
      </c>
      <c r="U3" t="n">
        <v>0</v>
      </c>
      <c r="V3" t="n">
        <v>0.2</v>
      </c>
      <c r="W3" t="n">
        <v>0</v>
      </c>
      <c r="X3" t="n">
        <v>0</v>
      </c>
      <c r="Y3" t="n">
        <v>0</v>
      </c>
      <c r="Z3" t="n">
        <v>0</v>
      </c>
      <c r="AD3" t="n">
        <v>48</v>
      </c>
      <c r="AE3" t="n">
        <v>1.67</v>
      </c>
      <c r="AF3" t="n">
        <v>11.4</v>
      </c>
      <c r="AG3" t="n">
        <v>184</v>
      </c>
      <c r="AH3" t="n">
        <v>132</v>
      </c>
      <c r="AI3" t="n">
        <v>129</v>
      </c>
      <c r="AJ3" t="n">
        <v>1.24</v>
      </c>
      <c r="AK3" t="n">
        <v>0</v>
      </c>
      <c r="AL3" t="n">
        <v>0</v>
      </c>
      <c r="AM3" t="n">
        <v>49.1</v>
      </c>
      <c r="AN3" t="n">
        <v>31.1</v>
      </c>
      <c r="AP3" t="n">
        <v>0.077</v>
      </c>
      <c r="AQ3" t="n">
        <v>0.419</v>
      </c>
      <c r="AR3" t="n">
        <v>0</v>
      </c>
      <c r="AS3" t="n">
        <v>0.063</v>
      </c>
      <c r="AT3" t="n">
        <v>71</v>
      </c>
      <c r="AU3" t="n">
        <v>335</v>
      </c>
      <c r="AV3" t="n">
        <v>0.6</v>
      </c>
      <c r="AW3" t="n">
        <v>309</v>
      </c>
      <c r="AX3" t="n">
        <v>0.2</v>
      </c>
      <c r="AY3" t="n">
        <v>0.2</v>
      </c>
      <c r="AZ3" t="n">
        <v>25.1</v>
      </c>
      <c r="BA3" t="n">
        <v>0.3</v>
      </c>
      <c r="BB3" t="n">
        <v>1.02</v>
      </c>
      <c r="BC3" t="n">
        <v>180</v>
      </c>
      <c r="BD3" t="n">
        <v>179</v>
      </c>
      <c r="BE3" t="n">
        <v>0</v>
      </c>
      <c r="BF3" t="n">
        <v>0</v>
      </c>
      <c r="BG3" t="n">
        <v>0</v>
      </c>
      <c r="BH3" t="n">
        <v>0</v>
      </c>
      <c r="BI3" t="n">
        <v>13</v>
      </c>
      <c r="BJ3" t="n">
        <v>13</v>
      </c>
      <c r="BK3" t="n">
        <v>0</v>
      </c>
      <c r="BL3" t="n">
        <v>0</v>
      </c>
      <c r="BM3" t="n">
        <v>0</v>
      </c>
      <c r="BN3" t="n">
        <v>57</v>
      </c>
      <c r="BO3" t="n">
        <v>230</v>
      </c>
      <c r="BP3" t="n">
        <v>229</v>
      </c>
      <c r="BQ3" t="n">
        <v>98.40000000000001</v>
      </c>
      <c r="BR3" t="n">
        <v>2.46</v>
      </c>
      <c r="BS3" t="n">
        <v>0</v>
      </c>
      <c r="BT3" t="n">
        <v>2.46</v>
      </c>
      <c r="BU3" t="n">
        <v>0.5600000000000001</v>
      </c>
      <c r="CP3" t="n">
        <v>3.2</v>
      </c>
      <c r="CQ3" t="n">
        <v>0.032</v>
      </c>
      <c r="CR3" t="n">
        <v>2.32</v>
      </c>
      <c r="CS3" t="n">
        <v>0.8129999999999999</v>
      </c>
      <c r="CT3" t="n">
        <v>3.63</v>
      </c>
      <c r="CU3" t="n">
        <v>0.238</v>
      </c>
      <c r="CV3" t="n">
        <v>3.35</v>
      </c>
      <c r="CW3" t="n">
        <v>1.82</v>
      </c>
      <c r="CX3" t="n">
        <v>1.46</v>
      </c>
      <c r="CY3" t="n">
        <v>1.46</v>
      </c>
      <c r="CZ3" t="n">
        <v>0.011</v>
      </c>
      <c r="DA3" t="n">
        <v>0.011</v>
      </c>
      <c r="DB3" t="n">
        <v>0.02</v>
      </c>
      <c r="DC3" t="n">
        <v>0.02</v>
      </c>
      <c r="DD3" t="n">
        <v>411</v>
      </c>
      <c r="EP3" t="n">
        <v>0.166</v>
      </c>
      <c r="EQ3" t="n">
        <v>0.594</v>
      </c>
      <c r="ER3" t="n">
        <v>0.616</v>
      </c>
      <c r="ES3" t="n">
        <v>1.05</v>
      </c>
      <c r="ET3" t="n">
        <v>0.832</v>
      </c>
      <c r="EU3" t="n">
        <v>0.418</v>
      </c>
      <c r="EV3" t="n">
        <v>0.66</v>
      </c>
      <c r="EW3" t="n">
        <v>0.512</v>
      </c>
      <c r="EX3" t="n">
        <v>0.734</v>
      </c>
      <c r="EY3" t="n">
        <v>0.787</v>
      </c>
      <c r="EZ3" t="n">
        <v>0.283</v>
      </c>
      <c r="FA3" t="n">
        <v>0.667</v>
      </c>
      <c r="FB3" t="n">
        <v>1.27</v>
      </c>
      <c r="FC3" t="n">
        <v>1.63</v>
      </c>
      <c r="FD3" t="n">
        <v>0.408</v>
      </c>
      <c r="FE3" t="n">
        <v>0.5600000000000001</v>
      </c>
      <c r="FF3" t="n">
        <v>0.919</v>
      </c>
      <c r="FG3" t="n">
        <v>0</v>
      </c>
      <c r="FH3" t="n">
        <v>0.385</v>
      </c>
    </row>
    <row r="4">
      <c r="A4" t="n">
        <v>174158</v>
      </c>
      <c r="B4" t="inlineStr">
        <is>
          <t>Water, bottled, generic</t>
        </is>
      </c>
      <c r="C4" t="inlineStr"/>
      <c r="D4" t="inlineStr">
        <is>
          <t>SR Legacy</t>
        </is>
      </c>
      <c r="E4" s="9" t="n">
        <v>116.4730390055723</v>
      </c>
      <c r="F4" s="10">
        <f>E4/SUM($E$3:$E$9)</f>
        <v/>
      </c>
      <c r="G4" t="n">
        <v>99.98</v>
      </c>
      <c r="H4" t="n">
        <v>0</v>
      </c>
      <c r="I4" t="n">
        <v>0</v>
      </c>
      <c r="K4" t="n">
        <v>0</v>
      </c>
      <c r="L4" t="n">
        <v>0</v>
      </c>
      <c r="M4" t="n">
        <v>0</v>
      </c>
      <c r="N4" t="n">
        <v>0.07000000000000001</v>
      </c>
      <c r="Q4" t="n">
        <v>0</v>
      </c>
      <c r="S4" t="n">
        <v>0</v>
      </c>
      <c r="AA4" t="n">
        <v>0</v>
      </c>
      <c r="AD4" t="n">
        <v>10</v>
      </c>
      <c r="AE4" t="n">
        <v>0</v>
      </c>
      <c r="AF4" t="n">
        <v>2</v>
      </c>
      <c r="AG4" t="n">
        <v>0</v>
      </c>
      <c r="AH4" t="n">
        <v>0</v>
      </c>
      <c r="AI4" t="n">
        <v>2</v>
      </c>
      <c r="AJ4" t="n">
        <v>0</v>
      </c>
      <c r="AK4" t="n">
        <v>0.007</v>
      </c>
      <c r="AN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BB4" t="n">
        <v>0</v>
      </c>
      <c r="BC4" t="n">
        <v>0</v>
      </c>
      <c r="BD4" t="n">
        <v>0</v>
      </c>
      <c r="BE4" t="n">
        <v>0</v>
      </c>
      <c r="BH4" t="n">
        <v>0</v>
      </c>
      <c r="BI4" t="n">
        <v>0</v>
      </c>
      <c r="BK4" t="n">
        <v>0</v>
      </c>
      <c r="BQ4" t="n">
        <v>0</v>
      </c>
      <c r="BR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W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FI4" t="n">
        <v>0</v>
      </c>
      <c r="FJ4" t="n">
        <v>0</v>
      </c>
      <c r="FK4" t="n">
        <v>0</v>
      </c>
    </row>
    <row r="5">
      <c r="A5" t="n">
        <v>171320</v>
      </c>
      <c r="B5" t="inlineStr">
        <is>
          <t>Spices, cinnamon, ground</t>
        </is>
      </c>
      <c r="C5" t="inlineStr"/>
      <c r="D5" t="inlineStr">
        <is>
          <t>SR Legacy</t>
        </is>
      </c>
      <c r="E5" s="9" t="n">
        <v>39.66666666666669</v>
      </c>
      <c r="F5" s="10">
        <f>E5/SUM($E$3:$E$9)</f>
        <v/>
      </c>
      <c r="G5" t="n">
        <v>10.58</v>
      </c>
      <c r="H5" t="n">
        <v>247</v>
      </c>
      <c r="I5" t="n">
        <v>1035</v>
      </c>
      <c r="K5" t="n">
        <v>3.99</v>
      </c>
      <c r="L5" t="n">
        <v>1.24</v>
      </c>
      <c r="M5" t="n">
        <v>1.24</v>
      </c>
      <c r="N5" t="n">
        <v>3.6</v>
      </c>
      <c r="Q5" t="n">
        <v>80.59</v>
      </c>
      <c r="S5" t="n">
        <v>53.1</v>
      </c>
      <c r="U5" t="n">
        <v>0.02</v>
      </c>
      <c r="V5" t="n">
        <v>1.04</v>
      </c>
      <c r="W5" t="n">
        <v>1.11</v>
      </c>
      <c r="X5" t="n">
        <v>0</v>
      </c>
      <c r="Y5" t="n">
        <v>0</v>
      </c>
      <c r="AA5" t="n">
        <v>2.17</v>
      </c>
      <c r="AB5" t="n">
        <v>0</v>
      </c>
      <c r="AD5" t="n">
        <v>1002</v>
      </c>
      <c r="AE5" t="n">
        <v>8.32</v>
      </c>
      <c r="AF5" t="n">
        <v>60</v>
      </c>
      <c r="AG5" t="n">
        <v>64</v>
      </c>
      <c r="AH5" t="n">
        <v>431</v>
      </c>
      <c r="AI5" t="n">
        <v>10</v>
      </c>
      <c r="AJ5" t="n">
        <v>1.83</v>
      </c>
      <c r="AK5" t="n">
        <v>0.339</v>
      </c>
      <c r="AL5" t="n">
        <v>17.466</v>
      </c>
      <c r="AN5" t="n">
        <v>3.1</v>
      </c>
      <c r="AP5" t="n">
        <v>0.022</v>
      </c>
      <c r="AQ5" t="n">
        <v>0.041</v>
      </c>
      <c r="AR5" t="n">
        <v>1.332</v>
      </c>
      <c r="AS5" t="n">
        <v>0.158</v>
      </c>
      <c r="AT5" t="n">
        <v>6</v>
      </c>
      <c r="AU5" t="n">
        <v>11</v>
      </c>
      <c r="BA5" t="n">
        <v>3.9</v>
      </c>
      <c r="BB5" t="n">
        <v>0</v>
      </c>
      <c r="BC5" t="n">
        <v>15</v>
      </c>
      <c r="BD5" t="n">
        <v>0</v>
      </c>
      <c r="BE5" t="n">
        <v>112</v>
      </c>
      <c r="BH5" t="n">
        <v>1</v>
      </c>
      <c r="BI5" t="n">
        <v>129</v>
      </c>
      <c r="BK5" t="n">
        <v>15</v>
      </c>
      <c r="BQ5" t="n">
        <v>0</v>
      </c>
      <c r="BR5" t="n">
        <v>0</v>
      </c>
      <c r="BV5" t="n">
        <v>3.8</v>
      </c>
      <c r="BW5" t="n">
        <v>0.358</v>
      </c>
      <c r="BX5" t="n">
        <v>0</v>
      </c>
      <c r="BY5" t="n">
        <v>6</v>
      </c>
      <c r="BZ5" t="n">
        <v>6</v>
      </c>
      <c r="CA5" t="n">
        <v>0</v>
      </c>
      <c r="CB5" t="n">
        <v>295</v>
      </c>
      <c r="CC5" t="n">
        <v>222</v>
      </c>
      <c r="CD5" t="n">
        <v>2.32</v>
      </c>
      <c r="CE5" t="n">
        <v>0</v>
      </c>
      <c r="CF5" t="n">
        <v>31.2</v>
      </c>
      <c r="CG5" t="n">
        <v>0</v>
      </c>
      <c r="CH5" t="n">
        <v>10.44</v>
      </c>
      <c r="CI5" t="n">
        <v>0.26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P5" t="n">
        <v>0.345</v>
      </c>
      <c r="CQ5" t="n">
        <v>0.008999999999999999</v>
      </c>
      <c r="CR5" t="n">
        <v>0.104</v>
      </c>
      <c r="CS5" t="n">
        <v>0.082</v>
      </c>
      <c r="CT5" t="n">
        <v>0.246</v>
      </c>
      <c r="CV5" t="n">
        <v>0.246</v>
      </c>
      <c r="CW5" t="n">
        <v>0.068</v>
      </c>
      <c r="DA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0.003</v>
      </c>
      <c r="DI5" t="n">
        <v>0.006</v>
      </c>
      <c r="DJ5" t="n">
        <v>0.001</v>
      </c>
      <c r="DK5" t="n">
        <v>0.246</v>
      </c>
      <c r="DL5" t="n">
        <v>0</v>
      </c>
      <c r="DM5" t="n">
        <v>0</v>
      </c>
      <c r="DN5" t="n">
        <v>0.044</v>
      </c>
      <c r="DO5" t="n">
        <v>0.011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0.136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0.011</v>
      </c>
      <c r="EG5" t="n">
        <v>0</v>
      </c>
      <c r="EH5" t="n">
        <v>0</v>
      </c>
      <c r="EI5" t="n">
        <v>0</v>
      </c>
      <c r="EJ5" t="n">
        <v>0</v>
      </c>
      <c r="EK5" t="n">
        <v>26</v>
      </c>
      <c r="EP5" t="n">
        <v>0.049</v>
      </c>
      <c r="EQ5" t="n">
        <v>0.136</v>
      </c>
      <c r="ER5" t="n">
        <v>0.146</v>
      </c>
      <c r="ES5" t="n">
        <v>0.253</v>
      </c>
      <c r="ET5" t="n">
        <v>0.243</v>
      </c>
      <c r="EU5" t="n">
        <v>0.078</v>
      </c>
      <c r="EV5" t="n">
        <v>0.146</v>
      </c>
      <c r="EW5" t="n">
        <v>0.136</v>
      </c>
      <c r="EX5" t="n">
        <v>0.224</v>
      </c>
      <c r="EY5" t="n">
        <v>0.166</v>
      </c>
      <c r="EZ5" t="n">
        <v>0.117</v>
      </c>
      <c r="FA5" t="n">
        <v>0.166</v>
      </c>
      <c r="FB5" t="n">
        <v>0.438</v>
      </c>
      <c r="FC5" t="n">
        <v>0.37</v>
      </c>
      <c r="FD5" t="n">
        <v>0.195</v>
      </c>
      <c r="FE5" t="n">
        <v>0.419</v>
      </c>
      <c r="FF5" t="n">
        <v>0.195</v>
      </c>
      <c r="FG5" t="n">
        <v>0</v>
      </c>
      <c r="FI5" t="n">
        <v>0</v>
      </c>
      <c r="FJ5" t="n">
        <v>0</v>
      </c>
      <c r="FK5" t="n">
        <v>0</v>
      </c>
      <c r="FL5" t="n">
        <v>0.058</v>
      </c>
    </row>
    <row r="6">
      <c r="A6" t="n">
        <v>172336</v>
      </c>
      <c r="B6" t="inlineStr">
        <is>
          <t>Oil, canola</t>
        </is>
      </c>
      <c r="C6" t="inlineStr"/>
      <c r="D6" t="inlineStr">
        <is>
          <t>SR Legacy</t>
        </is>
      </c>
      <c r="E6" s="9" t="n">
        <v>30</v>
      </c>
      <c r="F6" s="10">
        <f>E6/SUM($E$3:$E$9)</f>
        <v/>
      </c>
      <c r="G6" t="n">
        <v>0</v>
      </c>
      <c r="H6" t="n">
        <v>884</v>
      </c>
      <c r="I6" t="n">
        <v>3699</v>
      </c>
      <c r="K6" t="n">
        <v>0</v>
      </c>
      <c r="L6" t="n">
        <v>100</v>
      </c>
      <c r="M6" t="n">
        <v>100</v>
      </c>
      <c r="N6" t="n">
        <v>0</v>
      </c>
      <c r="Q6" t="n">
        <v>0</v>
      </c>
      <c r="S6" t="n">
        <v>0</v>
      </c>
      <c r="AA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N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0.2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H6" t="n">
        <v>0</v>
      </c>
      <c r="BI6" t="n">
        <v>0</v>
      </c>
      <c r="BK6" t="n">
        <v>0</v>
      </c>
      <c r="BQ6" t="n">
        <v>0</v>
      </c>
      <c r="BR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17.46</v>
      </c>
      <c r="CE6" t="n">
        <v>0</v>
      </c>
      <c r="CF6" t="n">
        <v>71.3</v>
      </c>
      <c r="CG6" t="n">
        <v>0.01</v>
      </c>
      <c r="CH6" t="n">
        <v>27.34</v>
      </c>
      <c r="CI6" t="n">
        <v>0.99</v>
      </c>
      <c r="CJ6" t="n">
        <v>0.03</v>
      </c>
      <c r="CK6" t="n">
        <v>0</v>
      </c>
      <c r="CL6" t="n">
        <v>0</v>
      </c>
      <c r="CM6" t="n">
        <v>0.01</v>
      </c>
      <c r="CN6" t="n">
        <v>0</v>
      </c>
      <c r="CO6" t="n">
        <v>0</v>
      </c>
      <c r="CP6" t="n">
        <v>7.365</v>
      </c>
      <c r="CQ6" t="n">
        <v>0</v>
      </c>
      <c r="CR6" t="n">
        <v>4.298</v>
      </c>
      <c r="CS6" t="n">
        <v>2.087</v>
      </c>
      <c r="CT6" t="n">
        <v>63.276</v>
      </c>
      <c r="CV6" t="n">
        <v>61.714</v>
      </c>
      <c r="CW6" t="n">
        <v>28.142</v>
      </c>
      <c r="CY6" t="n">
        <v>18.64</v>
      </c>
      <c r="DA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0.214</v>
      </c>
      <c r="DK6" t="n">
        <v>61.744</v>
      </c>
      <c r="DL6" t="n">
        <v>1.317</v>
      </c>
      <c r="DM6" t="n">
        <v>0</v>
      </c>
      <c r="DN6" t="n">
        <v>19.005</v>
      </c>
      <c r="DO6" t="n">
        <v>9.137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0.395</v>
      </c>
      <c r="DW6" t="n">
        <v>0</v>
      </c>
      <c r="DX6" t="n">
        <v>0</v>
      </c>
      <c r="DY6" t="n">
        <v>0.65</v>
      </c>
      <c r="DZ6" t="n">
        <v>0.33</v>
      </c>
      <c r="EB6" t="n">
        <v>0</v>
      </c>
      <c r="EC6" t="n">
        <v>0</v>
      </c>
      <c r="ED6" t="n">
        <v>0</v>
      </c>
      <c r="EF6" t="n">
        <v>9.137</v>
      </c>
      <c r="EG6" t="n">
        <v>0</v>
      </c>
      <c r="EH6" t="n">
        <v>0</v>
      </c>
      <c r="EI6" t="n">
        <v>0.03</v>
      </c>
      <c r="EJ6" t="n">
        <v>0.03</v>
      </c>
      <c r="EL6" t="n">
        <v>0.365</v>
      </c>
      <c r="EM6" t="n">
        <v>0.365</v>
      </c>
      <c r="FI6" t="n">
        <v>0</v>
      </c>
      <c r="FJ6" t="n">
        <v>0</v>
      </c>
      <c r="FK6" t="n">
        <v>0</v>
      </c>
      <c r="FM6" t="n">
        <v>3</v>
      </c>
      <c r="FN6" t="n">
        <v>241</v>
      </c>
      <c r="FO6" t="n">
        <v>413</v>
      </c>
    </row>
    <row r="7">
      <c r="A7" t="n">
        <v>748366</v>
      </c>
      <c r="B7" t="inlineStr">
        <is>
          <t>Oil, soybean</t>
        </is>
      </c>
      <c r="C7" t="inlineStr"/>
      <c r="D7" t="inlineStr">
        <is>
          <t>Foundation</t>
        </is>
      </c>
      <c r="E7" s="9" t="n">
        <v>5</v>
      </c>
      <c r="F7" s="10">
        <f>E7/SUM($E$3:$E$9)</f>
        <v/>
      </c>
      <c r="L7" t="n">
        <v>94.59999999999999</v>
      </c>
      <c r="M7" t="n">
        <v>94.59999999999999</v>
      </c>
      <c r="CD7" t="n">
        <v>12.2</v>
      </c>
      <c r="CG7" t="n">
        <v>1.8</v>
      </c>
      <c r="CH7" t="n">
        <v>70.40000000000001</v>
      </c>
      <c r="CI7" t="n">
        <v>22</v>
      </c>
      <c r="CJ7" t="n">
        <v>0</v>
      </c>
      <c r="CK7" t="n">
        <v>1.6</v>
      </c>
      <c r="CL7" t="n">
        <v>0</v>
      </c>
      <c r="CM7" t="n">
        <v>0</v>
      </c>
      <c r="CP7" t="n">
        <v>14.9</v>
      </c>
      <c r="CQ7" t="n">
        <v>0.075</v>
      </c>
      <c r="CR7" t="n">
        <v>10.3</v>
      </c>
      <c r="CS7" t="n">
        <v>3.71</v>
      </c>
      <c r="CT7" t="n">
        <v>22.1</v>
      </c>
      <c r="CU7" t="n">
        <v>0.08</v>
      </c>
      <c r="CV7" t="n">
        <v>21.4</v>
      </c>
      <c r="CW7" t="n">
        <v>57.6</v>
      </c>
      <c r="CX7" t="n">
        <v>50.9</v>
      </c>
      <c r="CY7" t="n">
        <v>50.9</v>
      </c>
      <c r="CZ7" t="n">
        <v>6.62</v>
      </c>
      <c r="DB7" t="n">
        <v>0</v>
      </c>
      <c r="DC7" t="n">
        <v>0</v>
      </c>
      <c r="DW7" t="n">
        <v>0.014</v>
      </c>
      <c r="DX7" t="n">
        <v>0.08599999999999999</v>
      </c>
      <c r="DY7" t="n">
        <v>0.294</v>
      </c>
      <c r="DZ7" t="n">
        <v>0.306</v>
      </c>
      <c r="EA7" t="n">
        <v>0.124</v>
      </c>
      <c r="EF7" t="n">
        <v>6.62</v>
      </c>
      <c r="EN7" t="n">
        <v>0.025</v>
      </c>
      <c r="EO7" t="n">
        <v>0.6</v>
      </c>
      <c r="FM7" t="n">
        <v>55.4</v>
      </c>
      <c r="FN7" t="n">
        <v>58</v>
      </c>
      <c r="FO7" t="n">
        <v>153</v>
      </c>
      <c r="FP7" t="n">
        <v>0</v>
      </c>
      <c r="FQ7" t="n">
        <v>2.15</v>
      </c>
      <c r="FR7" t="n">
        <v>5.62</v>
      </c>
      <c r="FS7" t="n">
        <v>10.5</v>
      </c>
      <c r="FT7" t="n">
        <v>20.8</v>
      </c>
    </row>
    <row r="8">
      <c r="A8" t="n">
        <v>173468</v>
      </c>
      <c r="B8" t="inlineStr">
        <is>
          <t>Salt, table</t>
        </is>
      </c>
      <c r="C8" t="inlineStr"/>
      <c r="D8" t="inlineStr">
        <is>
          <t>SR Legacy</t>
        </is>
      </c>
      <c r="E8" s="9" t="n">
        <v>3.130147163880557</v>
      </c>
      <c r="F8" s="10">
        <f>E8/SUM($E$3:$E$9)</f>
        <v/>
      </c>
      <c r="G8" t="n">
        <v>0.2</v>
      </c>
      <c r="H8" t="n">
        <v>0</v>
      </c>
      <c r="I8" t="n">
        <v>0</v>
      </c>
      <c r="K8" t="n">
        <v>0</v>
      </c>
      <c r="L8" t="n">
        <v>0</v>
      </c>
      <c r="M8" t="n">
        <v>0</v>
      </c>
      <c r="N8" t="n">
        <v>99.8</v>
      </c>
      <c r="Q8" t="n">
        <v>0</v>
      </c>
      <c r="S8" t="n">
        <v>0</v>
      </c>
      <c r="AA8" t="n">
        <v>0</v>
      </c>
      <c r="AD8" t="n">
        <v>24</v>
      </c>
      <c r="AE8" t="n">
        <v>0.33</v>
      </c>
      <c r="AF8" t="n">
        <v>1</v>
      </c>
      <c r="AG8" t="n">
        <v>0</v>
      </c>
      <c r="AH8" t="n">
        <v>8</v>
      </c>
      <c r="AI8" t="n">
        <v>38758</v>
      </c>
      <c r="AJ8" t="n">
        <v>0.1</v>
      </c>
      <c r="AK8" t="n">
        <v>0.03</v>
      </c>
      <c r="AL8" t="n">
        <v>0.1</v>
      </c>
      <c r="AN8" t="n">
        <v>0.1</v>
      </c>
      <c r="AO8" t="n">
        <v>2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BB8" t="n">
        <v>0</v>
      </c>
      <c r="BC8" t="n">
        <v>0</v>
      </c>
      <c r="BD8" t="n">
        <v>0</v>
      </c>
      <c r="BE8" t="n">
        <v>0</v>
      </c>
      <c r="BH8" t="n">
        <v>0</v>
      </c>
      <c r="BI8" t="n">
        <v>0</v>
      </c>
      <c r="BK8" t="n">
        <v>0</v>
      </c>
      <c r="BQ8" t="n">
        <v>0</v>
      </c>
      <c r="BR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W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EK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  <c r="FE8" t="n">
        <v>0</v>
      </c>
      <c r="FF8" t="n">
        <v>0</v>
      </c>
      <c r="FI8" t="n">
        <v>0</v>
      </c>
      <c r="FJ8" t="n">
        <v>0</v>
      </c>
      <c r="FK8" t="n">
        <v>0</v>
      </c>
      <c r="FL8" t="n">
        <v>0</v>
      </c>
    </row>
    <row r="9">
      <c r="A9" t="n">
        <v>2644283</v>
      </c>
      <c r="B9" t="inlineStr">
        <is>
          <t>Lentils, dry</t>
        </is>
      </c>
      <c r="C9" t="inlineStr"/>
      <c r="D9" t="inlineStr">
        <is>
          <t>Foundation</t>
        </is>
      </c>
      <c r="E9" s="9" t="n">
        <v>32.80000000000001</v>
      </c>
      <c r="F9" s="10">
        <f>E9/SUM($E$3:$E$9)</f>
        <v/>
      </c>
      <c r="G9" t="n">
        <v>9.451000000000001</v>
      </c>
      <c r="J9" t="n">
        <v>3.771</v>
      </c>
      <c r="K9" t="n">
        <v>23.56875</v>
      </c>
      <c r="L9" t="n">
        <v>1.925</v>
      </c>
      <c r="M9" t="n">
        <v>1.925</v>
      </c>
      <c r="N9" t="n">
        <v>2.884</v>
      </c>
      <c r="O9" t="n">
        <v>360.285</v>
      </c>
      <c r="P9" t="n">
        <v>350.9328</v>
      </c>
      <c r="Q9" t="n">
        <v>62.17125</v>
      </c>
      <c r="Z9" t="n">
        <v>37.13</v>
      </c>
      <c r="AC9" t="n">
        <v>16</v>
      </c>
      <c r="AD9" t="n">
        <v>61.85</v>
      </c>
      <c r="AE9" t="n">
        <v>7.158</v>
      </c>
      <c r="AF9" t="n">
        <v>106.7</v>
      </c>
      <c r="AG9" t="n">
        <v>373.6</v>
      </c>
      <c r="AH9" t="n">
        <v>948.9</v>
      </c>
      <c r="AI9" t="n">
        <v>0</v>
      </c>
      <c r="AJ9" t="n">
        <v>3.863</v>
      </c>
      <c r="AK9" t="n">
        <v>0.8376</v>
      </c>
      <c r="AL9" t="n">
        <v>1.569</v>
      </c>
    </row>
    <row r="10">
      <c r="A10" t="inlineStr">
        <is>
          <t>Total</t>
        </is>
      </c>
      <c r="B10" t="inlineStr">
        <is>
          <t>Formulado</t>
        </is>
      </c>
      <c r="C10" t="inlineStr">
        <is>
          <t>Formulado</t>
        </is>
      </c>
      <c r="D10" t="inlineStr">
        <is>
          <t>Formulado</t>
        </is>
      </c>
      <c r="E10" s="11">
        <f>SUBTOTAL(9,E3:E9)</f>
        <v/>
      </c>
      <c r="F10" s="12" t="inlineStr">
        <is>
          <t>100%</t>
        </is>
      </c>
      <c r="G10" s="13">
        <f>SUMPRODUCT($F$3:$F$9,$G$3:$G$9)</f>
        <v/>
      </c>
      <c r="H10" s="13">
        <f>SUMPRODUCT($F$3:$F$9,$H$3:$H$9)</f>
        <v/>
      </c>
      <c r="I10" s="13">
        <f>SUMPRODUCT($F$3:$F$9,$I$3:$I$9)</f>
        <v/>
      </c>
      <c r="J10" s="13">
        <f>SUMPRODUCT($F$3:$F$9,$J$3:$J$9)</f>
        <v/>
      </c>
      <c r="K10" s="13">
        <f>SUMPRODUCT($F$3:$F$9,$K$3:$K$9)</f>
        <v/>
      </c>
      <c r="L10" s="13">
        <f>SUMPRODUCT($F$3:$F$9,$L$3:$L$9)</f>
        <v/>
      </c>
      <c r="M10" s="13">
        <f>SUMPRODUCT($F$3:$F$9,$M$3:$M$9)</f>
        <v/>
      </c>
      <c r="N10" s="13">
        <f>SUMPRODUCT($F$3:$F$9,$N$3:$N$9)</f>
        <v/>
      </c>
      <c r="O10" s="13">
        <f>SUMPRODUCT($F$3:$F$9,$O$3:$O$9)</f>
        <v/>
      </c>
      <c r="P10" s="13">
        <f>SUMPRODUCT($F$3:$F$9,$P$3:$P$9)</f>
        <v/>
      </c>
      <c r="Q10" s="13">
        <f>SUMPRODUCT($F$3:$F$9,$Q$3:$Q$9)</f>
        <v/>
      </c>
      <c r="R10" s="13">
        <f>SUMPRODUCT($F$3:$F$9,$R$3:$R$9)</f>
        <v/>
      </c>
      <c r="S10" s="13">
        <f>SUMPRODUCT($F$3:$F$9,$S$3:$S$9)</f>
        <v/>
      </c>
      <c r="T10" s="13">
        <f>SUMPRODUCT($F$3:$F$9,$T$3:$T$9)</f>
        <v/>
      </c>
      <c r="U10" s="13">
        <f>SUMPRODUCT($F$3:$F$9,$U$3:$U$9)</f>
        <v/>
      </c>
      <c r="V10" s="13">
        <f>SUMPRODUCT($F$3:$F$9,$V$3:$V$9)</f>
        <v/>
      </c>
      <c r="W10" s="13">
        <f>SUMPRODUCT($F$3:$F$9,$W$3:$W$9)</f>
        <v/>
      </c>
      <c r="X10" s="13">
        <f>SUMPRODUCT($F$3:$F$9,$X$3:$X$9)</f>
        <v/>
      </c>
      <c r="Y10" s="13">
        <f>SUMPRODUCT($F$3:$F$9,$Y$3:$Y$9)</f>
        <v/>
      </c>
      <c r="Z10" s="13">
        <f>SUMPRODUCT($F$3:$F$9,$Z$3:$Z$9)</f>
        <v/>
      </c>
      <c r="AA10" s="13">
        <f>SUMPRODUCT($F$3:$F$9,$AA$3:$AA$9)</f>
        <v/>
      </c>
      <c r="AB10" s="13">
        <f>SUMPRODUCT($F$3:$F$9,$AB$3:$AB$9)</f>
        <v/>
      </c>
      <c r="AC10" s="13">
        <f>SUMPRODUCT($F$3:$F$9,$AC$3:$AC$9)</f>
        <v/>
      </c>
      <c r="AD10" s="13">
        <f>SUMPRODUCT($F$3:$F$9,$AD$3:$AD$9)</f>
        <v/>
      </c>
      <c r="AE10" s="13">
        <f>SUMPRODUCT($F$3:$F$9,$AE$3:$AE$9)</f>
        <v/>
      </c>
      <c r="AF10" s="13">
        <f>SUMPRODUCT($F$3:$F$9,$AF$3:$AF$9)</f>
        <v/>
      </c>
      <c r="AG10" s="13">
        <f>SUMPRODUCT($F$3:$F$9,$AG$3:$AG$9)</f>
        <v/>
      </c>
      <c r="AH10" s="13">
        <f>SUMPRODUCT($F$3:$F$9,$AH$3:$AH$9)</f>
        <v/>
      </c>
      <c r="AI10" s="13">
        <f>SUMPRODUCT($F$3:$F$9,$AI$3:$AI$9)</f>
        <v/>
      </c>
      <c r="AJ10" s="13">
        <f>SUMPRODUCT($F$3:$F$9,$AJ$3:$AJ$9)</f>
        <v/>
      </c>
      <c r="AK10" s="13">
        <f>SUMPRODUCT($F$3:$F$9,$AK$3:$AK$9)</f>
        <v/>
      </c>
      <c r="AL10" s="13">
        <f>SUMPRODUCT($F$3:$F$9,$AL$3:$AL$9)</f>
        <v/>
      </c>
      <c r="AM10" s="13">
        <f>SUMPRODUCT($F$3:$F$9,$AM$3:$AM$9)</f>
        <v/>
      </c>
      <c r="AN10" s="13">
        <f>SUMPRODUCT($F$3:$F$9,$AN$3:$AN$9)</f>
        <v/>
      </c>
      <c r="AO10" s="13">
        <f>SUMPRODUCT($F$3:$F$9,$AO$3:$AO$9)</f>
        <v/>
      </c>
      <c r="AP10" s="13">
        <f>SUMPRODUCT($F$3:$F$9,$AP$3:$AP$9)</f>
        <v/>
      </c>
      <c r="AQ10" s="13">
        <f>SUMPRODUCT($F$3:$F$9,$AQ$3:$AQ$9)</f>
        <v/>
      </c>
      <c r="AR10" s="13">
        <f>SUMPRODUCT($F$3:$F$9,$AR$3:$AR$9)</f>
        <v/>
      </c>
      <c r="AS10" s="13">
        <f>SUMPRODUCT($F$3:$F$9,$AS$3:$AS$9)</f>
        <v/>
      </c>
      <c r="AT10" s="13">
        <f>SUMPRODUCT($F$3:$F$9,$AT$3:$AT$9)</f>
        <v/>
      </c>
      <c r="AU10" s="13">
        <f>SUMPRODUCT($F$3:$F$9,$AU$3:$AU$9)</f>
        <v/>
      </c>
      <c r="AV10" s="13">
        <f>SUMPRODUCT($F$3:$F$9,$AV$3:$AV$9)</f>
        <v/>
      </c>
      <c r="AW10" s="13">
        <f>SUMPRODUCT($F$3:$F$9,$AW$3:$AW$9)</f>
        <v/>
      </c>
      <c r="AX10" s="13">
        <f>SUMPRODUCT($F$3:$F$9,$AX$3:$AX$9)</f>
        <v/>
      </c>
      <c r="AY10" s="13">
        <f>SUMPRODUCT($F$3:$F$9,$AY$3:$AY$9)</f>
        <v/>
      </c>
      <c r="AZ10" s="13">
        <f>SUMPRODUCT($F$3:$F$9,$AZ$3:$AZ$9)</f>
        <v/>
      </c>
      <c r="BA10" s="13">
        <f>SUMPRODUCT($F$3:$F$9,$BA$3:$BA$9)</f>
        <v/>
      </c>
      <c r="BB10" s="13">
        <f>SUMPRODUCT($F$3:$F$9,$BB$3:$BB$9)</f>
        <v/>
      </c>
      <c r="BC10" s="13">
        <f>SUMPRODUCT($F$3:$F$9,$BC$3:$BC$9)</f>
        <v/>
      </c>
      <c r="BD10" s="13">
        <f>SUMPRODUCT($F$3:$F$9,$BD$3:$BD$9)</f>
        <v/>
      </c>
      <c r="BE10" s="13">
        <f>SUMPRODUCT($F$3:$F$9,$BE$3:$BE$9)</f>
        <v/>
      </c>
      <c r="BF10" s="13">
        <f>SUMPRODUCT($F$3:$F$9,$BF$3:$BF$9)</f>
        <v/>
      </c>
      <c r="BG10" s="13">
        <f>SUMPRODUCT($F$3:$F$9,$BG$3:$BG$9)</f>
        <v/>
      </c>
      <c r="BH10" s="13">
        <f>SUMPRODUCT($F$3:$F$9,$BH$3:$BH$9)</f>
        <v/>
      </c>
      <c r="BI10" s="13">
        <f>SUMPRODUCT($F$3:$F$9,$BI$3:$BI$9)</f>
        <v/>
      </c>
      <c r="BJ10" s="13">
        <f>SUMPRODUCT($F$3:$F$9,$BJ$3:$BJ$9)</f>
        <v/>
      </c>
      <c r="BK10" s="13">
        <f>SUMPRODUCT($F$3:$F$9,$BK$3:$BK$9)</f>
        <v/>
      </c>
      <c r="BL10" s="13">
        <f>SUMPRODUCT($F$3:$F$9,$BL$3:$BL$9)</f>
        <v/>
      </c>
      <c r="BM10" s="13">
        <f>SUMPRODUCT($F$3:$F$9,$BM$3:$BM$9)</f>
        <v/>
      </c>
      <c r="BN10" s="13">
        <f>SUMPRODUCT($F$3:$F$9,$BN$3:$BN$9)</f>
        <v/>
      </c>
      <c r="BO10" s="13">
        <f>SUMPRODUCT($F$3:$F$9,$BO$3:$BO$9)</f>
        <v/>
      </c>
      <c r="BP10" s="13">
        <f>SUMPRODUCT($F$3:$F$9,$BP$3:$BP$9)</f>
        <v/>
      </c>
      <c r="BQ10" s="13">
        <f>SUMPRODUCT($F$3:$F$9,$BQ$3:$BQ$9)</f>
        <v/>
      </c>
      <c r="BR10" s="13">
        <f>SUMPRODUCT($F$3:$F$9,$BR$3:$BR$9)</f>
        <v/>
      </c>
      <c r="BS10" s="13">
        <f>SUMPRODUCT($F$3:$F$9,$BS$3:$BS$9)</f>
        <v/>
      </c>
      <c r="BT10" s="13">
        <f>SUMPRODUCT($F$3:$F$9,$BT$3:$BT$9)</f>
        <v/>
      </c>
      <c r="BU10" s="13">
        <f>SUMPRODUCT($F$3:$F$9,$BU$3:$BU$9)</f>
        <v/>
      </c>
      <c r="BV10" s="13">
        <f>SUMPRODUCT($F$3:$F$9,$BV$3:$BV$9)</f>
        <v/>
      </c>
      <c r="BW10" s="13">
        <f>SUMPRODUCT($F$3:$F$9,$BW$3:$BW$9)</f>
        <v/>
      </c>
      <c r="BX10" s="13">
        <f>SUMPRODUCT($F$3:$F$9,$BX$3:$BX$9)</f>
        <v/>
      </c>
      <c r="BY10" s="13">
        <f>SUMPRODUCT($F$3:$F$9,$BY$3:$BY$9)</f>
        <v/>
      </c>
      <c r="BZ10" s="13">
        <f>SUMPRODUCT($F$3:$F$9,$BZ$3:$BZ$9)</f>
        <v/>
      </c>
      <c r="CA10" s="13">
        <f>SUMPRODUCT($F$3:$F$9,$CA$3:$CA$9)</f>
        <v/>
      </c>
      <c r="CB10" s="13">
        <f>SUMPRODUCT($F$3:$F$9,$CB$3:$CB$9)</f>
        <v/>
      </c>
      <c r="CC10" s="13">
        <f>SUMPRODUCT($F$3:$F$9,$CC$3:$CC$9)</f>
        <v/>
      </c>
      <c r="CD10" s="13">
        <f>SUMPRODUCT($F$3:$F$9,$CD$3:$CD$9)</f>
        <v/>
      </c>
      <c r="CE10" s="13">
        <f>SUMPRODUCT($F$3:$F$9,$CE$3:$CE$9)</f>
        <v/>
      </c>
      <c r="CF10" s="13">
        <f>SUMPRODUCT($F$3:$F$9,$CF$3:$CF$9)</f>
        <v/>
      </c>
      <c r="CG10" s="13">
        <f>SUMPRODUCT($F$3:$F$9,$CG$3:$CG$9)</f>
        <v/>
      </c>
      <c r="CH10" s="13">
        <f>SUMPRODUCT($F$3:$F$9,$CH$3:$CH$9)</f>
        <v/>
      </c>
      <c r="CI10" s="13">
        <f>SUMPRODUCT($F$3:$F$9,$CI$3:$CI$9)</f>
        <v/>
      </c>
      <c r="CJ10" s="13">
        <f>SUMPRODUCT($F$3:$F$9,$CJ$3:$CJ$9)</f>
        <v/>
      </c>
      <c r="CK10" s="13">
        <f>SUMPRODUCT($F$3:$F$9,$CK$3:$CK$9)</f>
        <v/>
      </c>
      <c r="CL10" s="13">
        <f>SUMPRODUCT($F$3:$F$9,$CL$3:$CL$9)</f>
        <v/>
      </c>
      <c r="CM10" s="13">
        <f>SUMPRODUCT($F$3:$F$9,$CM$3:$CM$9)</f>
        <v/>
      </c>
      <c r="CN10" s="13">
        <f>SUMPRODUCT($F$3:$F$9,$CN$3:$CN$9)</f>
        <v/>
      </c>
      <c r="CO10" s="13">
        <f>SUMPRODUCT($F$3:$F$9,$CO$3:$CO$9)</f>
        <v/>
      </c>
      <c r="CP10" s="13">
        <f>SUMPRODUCT($F$3:$F$9,$CP$3:$CP$9)</f>
        <v/>
      </c>
      <c r="CQ10" s="13">
        <f>SUMPRODUCT($F$3:$F$9,$CQ$3:$CQ$9)</f>
        <v/>
      </c>
      <c r="CR10" s="13">
        <f>SUMPRODUCT($F$3:$F$9,$CR$3:$CR$9)</f>
        <v/>
      </c>
      <c r="CS10" s="13">
        <f>SUMPRODUCT($F$3:$F$9,$CS$3:$CS$9)</f>
        <v/>
      </c>
      <c r="CT10" s="13">
        <f>SUMPRODUCT($F$3:$F$9,$CT$3:$CT$9)</f>
        <v/>
      </c>
      <c r="CU10" s="13">
        <f>SUMPRODUCT($F$3:$F$9,$CU$3:$CU$9)</f>
        <v/>
      </c>
      <c r="CV10" s="13">
        <f>SUMPRODUCT($F$3:$F$9,$CV$3:$CV$9)</f>
        <v/>
      </c>
      <c r="CW10" s="13">
        <f>SUMPRODUCT($F$3:$F$9,$CW$3:$CW$9)</f>
        <v/>
      </c>
      <c r="CX10" s="13">
        <f>SUMPRODUCT($F$3:$F$9,$CX$3:$CX$9)</f>
        <v/>
      </c>
      <c r="CY10" s="13">
        <f>SUMPRODUCT($F$3:$F$9,$CY$3:$CY$9)</f>
        <v/>
      </c>
      <c r="CZ10" s="13">
        <f>SUMPRODUCT($F$3:$F$9,$CZ$3:$CZ$9)</f>
        <v/>
      </c>
      <c r="DA10" s="13">
        <f>SUMPRODUCT($F$3:$F$9,$DA$3:$DA$9)</f>
        <v/>
      </c>
      <c r="DB10" s="13">
        <f>SUMPRODUCT($F$3:$F$9,$DB$3:$DB$9)</f>
        <v/>
      </c>
      <c r="DC10" s="13">
        <f>SUMPRODUCT($F$3:$F$9,$DC$3:$DC$9)</f>
        <v/>
      </c>
      <c r="DD10" s="13">
        <f>SUMPRODUCT($F$3:$F$9,$DD$3:$DD$9)</f>
        <v/>
      </c>
      <c r="DE10" s="13">
        <f>SUMPRODUCT($F$3:$F$9,$DE$3:$DE$9)</f>
        <v/>
      </c>
      <c r="DF10" s="13">
        <f>SUMPRODUCT($F$3:$F$9,$DF$3:$DF$9)</f>
        <v/>
      </c>
      <c r="DG10" s="13">
        <f>SUMPRODUCT($F$3:$F$9,$DG$3:$DG$9)</f>
        <v/>
      </c>
      <c r="DH10" s="13">
        <f>SUMPRODUCT($F$3:$F$9,$DH$3:$DH$9)</f>
        <v/>
      </c>
      <c r="DI10" s="13">
        <f>SUMPRODUCT($F$3:$F$9,$DI$3:$DI$9)</f>
        <v/>
      </c>
      <c r="DJ10" s="13">
        <f>SUMPRODUCT($F$3:$F$9,$DJ$3:$DJ$9)</f>
        <v/>
      </c>
      <c r="DK10" s="13">
        <f>SUMPRODUCT($F$3:$F$9,$DK$3:$DK$9)</f>
        <v/>
      </c>
      <c r="DL10" s="13">
        <f>SUMPRODUCT($F$3:$F$9,$DL$3:$DL$9)</f>
        <v/>
      </c>
      <c r="DM10" s="13">
        <f>SUMPRODUCT($F$3:$F$9,$DM$3:$DM$9)</f>
        <v/>
      </c>
      <c r="DN10" s="13">
        <f>SUMPRODUCT($F$3:$F$9,$DN$3:$DN$9)</f>
        <v/>
      </c>
      <c r="DO10" s="13">
        <f>SUMPRODUCT($F$3:$F$9,$DO$3:$DO$9)</f>
        <v/>
      </c>
      <c r="DP10" s="13">
        <f>SUMPRODUCT($F$3:$F$9,$DP$3:$DP$9)</f>
        <v/>
      </c>
      <c r="DQ10" s="13">
        <f>SUMPRODUCT($F$3:$F$9,$DQ$3:$DQ$9)</f>
        <v/>
      </c>
      <c r="DR10" s="13">
        <f>SUMPRODUCT($F$3:$F$9,$DR$3:$DR$9)</f>
        <v/>
      </c>
      <c r="DS10" s="13">
        <f>SUMPRODUCT($F$3:$F$9,$DS$3:$DS$9)</f>
        <v/>
      </c>
      <c r="DT10" s="13">
        <f>SUMPRODUCT($F$3:$F$9,$DT$3:$DT$9)</f>
        <v/>
      </c>
      <c r="DU10" s="13">
        <f>SUMPRODUCT($F$3:$F$9,$DU$3:$DU$9)</f>
        <v/>
      </c>
      <c r="DV10" s="13">
        <f>SUMPRODUCT($F$3:$F$9,$DV$3:$DV$9)</f>
        <v/>
      </c>
      <c r="DW10" s="13">
        <f>SUMPRODUCT($F$3:$F$9,$DW$3:$DW$9)</f>
        <v/>
      </c>
      <c r="DX10" s="13">
        <f>SUMPRODUCT($F$3:$F$9,$DX$3:$DX$9)</f>
        <v/>
      </c>
      <c r="DY10" s="13">
        <f>SUMPRODUCT($F$3:$F$9,$DY$3:$DY$9)</f>
        <v/>
      </c>
      <c r="DZ10" s="13">
        <f>SUMPRODUCT($F$3:$F$9,$DZ$3:$DZ$9)</f>
        <v/>
      </c>
      <c r="EA10" s="13">
        <f>SUMPRODUCT($F$3:$F$9,$EA$3:$EA$9)</f>
        <v/>
      </c>
      <c r="EB10" s="13">
        <f>SUMPRODUCT($F$3:$F$9,$EB$3:$EB$9)</f>
        <v/>
      </c>
      <c r="EC10" s="13">
        <f>SUMPRODUCT($F$3:$F$9,$EC$3:$EC$9)</f>
        <v/>
      </c>
      <c r="ED10" s="13">
        <f>SUMPRODUCT($F$3:$F$9,$ED$3:$ED$9)</f>
        <v/>
      </c>
      <c r="EE10" s="13">
        <f>SUMPRODUCT($F$3:$F$9,$EE$3:$EE$9)</f>
        <v/>
      </c>
      <c r="EF10" s="13">
        <f>SUMPRODUCT($F$3:$F$9,$EF$3:$EF$9)</f>
        <v/>
      </c>
      <c r="EG10" s="13">
        <f>SUMPRODUCT($F$3:$F$9,$EG$3:$EG$9)</f>
        <v/>
      </c>
      <c r="EH10" s="13">
        <f>SUMPRODUCT($F$3:$F$9,$EH$3:$EH$9)</f>
        <v/>
      </c>
      <c r="EI10" s="13">
        <f>SUMPRODUCT($F$3:$F$9,$EI$3:$EI$9)</f>
        <v/>
      </c>
      <c r="EJ10" s="13">
        <f>SUMPRODUCT($F$3:$F$9,$EJ$3:$EJ$9)</f>
        <v/>
      </c>
      <c r="EK10" s="13">
        <f>SUMPRODUCT($F$3:$F$9,$EK$3:$EK$9)</f>
        <v/>
      </c>
      <c r="EL10" s="13">
        <f>SUMPRODUCT($F$3:$F$9,$EL$3:$EL$9)</f>
        <v/>
      </c>
      <c r="EM10" s="13">
        <f>SUMPRODUCT($F$3:$F$9,$EM$3:$EM$9)</f>
        <v/>
      </c>
      <c r="EN10" s="13">
        <f>SUMPRODUCT($F$3:$F$9,$EN$3:$EN$9)</f>
        <v/>
      </c>
      <c r="EO10" s="13">
        <f>SUMPRODUCT($F$3:$F$9,$EO$3:$EO$9)</f>
        <v/>
      </c>
      <c r="EP10" s="13">
        <f>SUMPRODUCT($F$3:$F$9,$EP$3:$EP$9)</f>
        <v/>
      </c>
      <c r="EQ10" s="13">
        <f>SUMPRODUCT($F$3:$F$9,$EQ$3:$EQ$9)</f>
        <v/>
      </c>
      <c r="ER10" s="13">
        <f>SUMPRODUCT($F$3:$F$9,$ER$3:$ER$9)</f>
        <v/>
      </c>
      <c r="ES10" s="13">
        <f>SUMPRODUCT($F$3:$F$9,$ES$3:$ES$9)</f>
        <v/>
      </c>
      <c r="ET10" s="13">
        <f>SUMPRODUCT($F$3:$F$9,$ET$3:$ET$9)</f>
        <v/>
      </c>
      <c r="EU10" s="13">
        <f>SUMPRODUCT($F$3:$F$9,$EU$3:$EU$9)</f>
        <v/>
      </c>
      <c r="EV10" s="13">
        <f>SUMPRODUCT($F$3:$F$9,$EV$3:$EV$9)</f>
        <v/>
      </c>
      <c r="EW10" s="13">
        <f>SUMPRODUCT($F$3:$F$9,$EW$3:$EW$9)</f>
        <v/>
      </c>
      <c r="EX10" s="13">
        <f>SUMPRODUCT($F$3:$F$9,$EX$3:$EX$9)</f>
        <v/>
      </c>
      <c r="EY10" s="13">
        <f>SUMPRODUCT($F$3:$F$9,$EY$3:$EY$9)</f>
        <v/>
      </c>
      <c r="EZ10" s="13">
        <f>SUMPRODUCT($F$3:$F$9,$EZ$3:$EZ$9)</f>
        <v/>
      </c>
      <c r="FA10" s="13">
        <f>SUMPRODUCT($F$3:$F$9,$FA$3:$FA$9)</f>
        <v/>
      </c>
      <c r="FB10" s="13">
        <f>SUMPRODUCT($F$3:$F$9,$FB$3:$FB$9)</f>
        <v/>
      </c>
      <c r="FC10" s="13">
        <f>SUMPRODUCT($F$3:$F$9,$FC$3:$FC$9)</f>
        <v/>
      </c>
      <c r="FD10" s="13">
        <f>SUMPRODUCT($F$3:$F$9,$FD$3:$FD$9)</f>
        <v/>
      </c>
      <c r="FE10" s="13">
        <f>SUMPRODUCT($F$3:$F$9,$FE$3:$FE$9)</f>
        <v/>
      </c>
      <c r="FF10" s="13">
        <f>SUMPRODUCT($F$3:$F$9,$FF$3:$FF$9)</f>
        <v/>
      </c>
      <c r="FG10" s="13">
        <f>SUMPRODUCT($F$3:$F$9,$FG$3:$FG$9)</f>
        <v/>
      </c>
      <c r="FH10" s="13">
        <f>SUMPRODUCT($F$3:$F$9,$FH$3:$FH$9)</f>
        <v/>
      </c>
      <c r="FI10" s="13">
        <f>SUMPRODUCT($F$3:$F$9,$FI$3:$FI$9)</f>
        <v/>
      </c>
      <c r="FJ10" s="13">
        <f>SUMPRODUCT($F$3:$F$9,$FJ$3:$FJ$9)</f>
        <v/>
      </c>
      <c r="FK10" s="13">
        <f>SUMPRODUCT($F$3:$F$9,$FK$3:$FK$9)</f>
        <v/>
      </c>
      <c r="FL10" s="13">
        <f>SUMPRODUCT($F$3:$F$9,$FL$3:$FL$9)</f>
        <v/>
      </c>
      <c r="FM10" s="13">
        <f>SUMPRODUCT($F$3:$F$9,$FM$3:$FM$9)</f>
        <v/>
      </c>
      <c r="FN10" s="13">
        <f>SUMPRODUCT($F$3:$F$9,$FN$3:$FN$9)</f>
        <v/>
      </c>
      <c r="FO10" s="13">
        <f>SUMPRODUCT($F$3:$F$9,$FO$3:$FO$9)</f>
        <v/>
      </c>
      <c r="FP10" s="13">
        <f>SUMPRODUCT($F$3:$F$9,$FP$3:$FP$9)</f>
        <v/>
      </c>
      <c r="FQ10" s="13">
        <f>SUMPRODUCT($F$3:$F$9,$FQ$3:$FQ$9)</f>
        <v/>
      </c>
      <c r="FR10" s="13">
        <f>SUMPRODUCT($F$3:$F$9,$FR$3:$FR$9)</f>
        <v/>
      </c>
      <c r="FS10" s="13">
        <f>SUMPRODUCT($F$3:$F$9,$FS$3:$FS$9)</f>
        <v/>
      </c>
      <c r="FT10" s="13">
        <f>SUMPRODUCT($F$3:$F$9,$FT$3:$FT$9)</f>
        <v/>
      </c>
    </row>
  </sheetData>
  <mergeCells count="8">
    <mergeCell ref="AP1:CO1"/>
    <mergeCell ref="G1:P1"/>
    <mergeCell ref="CP1:EO1"/>
    <mergeCell ref="AD1:AO1"/>
    <mergeCell ref="A1:F1"/>
    <mergeCell ref="FM1:FT1"/>
    <mergeCell ref="EP1:FL1"/>
    <mergeCell ref="Q1:A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Ingredientes!G10</f>
        <v/>
      </c>
      <c r="C2" t="inlineStr">
        <is>
          <t>g</t>
        </is>
      </c>
    </row>
    <row r="3">
      <c r="A3" t="inlineStr">
        <is>
          <t>Energy</t>
        </is>
      </c>
      <c r="B3">
        <f>Ingredientes!H10</f>
        <v/>
      </c>
      <c r="C3" t="inlineStr">
        <is>
          <t>kcal</t>
        </is>
      </c>
    </row>
    <row r="4">
      <c r="A4" t="inlineStr">
        <is>
          <t>Energy</t>
        </is>
      </c>
      <c r="B4">
        <f>Ingredientes!I10</f>
        <v/>
      </c>
      <c r="C4" t="inlineStr">
        <is>
          <t>kJ</t>
        </is>
      </c>
    </row>
    <row r="5">
      <c r="A5" t="inlineStr">
        <is>
          <t>Nitrogen</t>
        </is>
      </c>
      <c r="B5">
        <f>Ingredientes!J10</f>
        <v/>
      </c>
      <c r="C5" t="inlineStr">
        <is>
          <t>g</t>
        </is>
      </c>
    </row>
    <row r="6">
      <c r="A6" t="inlineStr">
        <is>
          <t>Protein</t>
        </is>
      </c>
      <c r="B6">
        <f>Ingredientes!K10</f>
        <v/>
      </c>
      <c r="C6" t="inlineStr">
        <is>
          <t>g</t>
        </is>
      </c>
    </row>
    <row r="7">
      <c r="A7" t="inlineStr">
        <is>
          <t>Total lipid (fat)</t>
        </is>
      </c>
      <c r="B7">
        <f>Ingredientes!L10</f>
        <v/>
      </c>
      <c r="C7" t="inlineStr">
        <is>
          <t>g</t>
        </is>
      </c>
    </row>
    <row r="8">
      <c r="A8" t="inlineStr">
        <is>
          <t>Total fat (NLEA)</t>
        </is>
      </c>
      <c r="B8">
        <f>Ingredientes!M10</f>
        <v/>
      </c>
      <c r="C8" t="inlineStr">
        <is>
          <t>g</t>
        </is>
      </c>
    </row>
    <row r="9">
      <c r="A9" t="inlineStr">
        <is>
          <t>Ash</t>
        </is>
      </c>
      <c r="B9">
        <f>Ingredientes!N10</f>
        <v/>
      </c>
      <c r="C9" t="inlineStr">
        <is>
          <t>g</t>
        </is>
      </c>
    </row>
    <row r="10">
      <c r="A10" t="inlineStr">
        <is>
          <t>Energy (Atwater General Factors)</t>
        </is>
      </c>
      <c r="B10">
        <f>Ingredientes!O10</f>
        <v/>
      </c>
      <c r="C10" t="inlineStr">
        <is>
          <t>kcal</t>
        </is>
      </c>
    </row>
    <row r="11">
      <c r="A11" t="inlineStr">
        <is>
          <t>Energy (Atwater Specific Factors)</t>
        </is>
      </c>
      <c r="B11">
        <f>Ingredientes!P10</f>
        <v/>
      </c>
      <c r="C11" t="inlineStr">
        <is>
          <t>kcal</t>
        </is>
      </c>
    </row>
    <row r="12">
      <c r="A12" t="inlineStr">
        <is>
          <t>Carbohydrate, by difference</t>
        </is>
      </c>
      <c r="B12">
        <f>Ingredientes!Q10</f>
        <v/>
      </c>
      <c r="C12" t="inlineStr">
        <is>
          <t>g</t>
        </is>
      </c>
    </row>
    <row r="13">
      <c r="A13" t="inlineStr">
        <is>
          <t>Carbohydrate, by summation</t>
        </is>
      </c>
      <c r="B13">
        <f>Ingredientes!R10</f>
        <v/>
      </c>
      <c r="C13" t="inlineStr">
        <is>
          <t>g</t>
        </is>
      </c>
    </row>
    <row r="14">
      <c r="A14" t="inlineStr">
        <is>
          <t>Fiber, total dietary</t>
        </is>
      </c>
      <c r="B14">
        <f>Ingredientes!S10</f>
        <v/>
      </c>
      <c r="C14" t="inlineStr">
        <is>
          <t>g</t>
        </is>
      </c>
    </row>
    <row r="15">
      <c r="A15" t="inlineStr">
        <is>
          <t>Sugars, Total</t>
        </is>
      </c>
      <c r="B15">
        <f>Ingredientes!T10</f>
        <v/>
      </c>
      <c r="C15" t="inlineStr">
        <is>
          <t>g</t>
        </is>
      </c>
    </row>
    <row r="16">
      <c r="A16" t="inlineStr">
        <is>
          <t>Sucrose</t>
        </is>
      </c>
      <c r="B16">
        <f>Ingredientes!U10</f>
        <v/>
      </c>
      <c r="C16" t="inlineStr">
        <is>
          <t>g</t>
        </is>
      </c>
    </row>
    <row r="17">
      <c r="A17" t="inlineStr">
        <is>
          <t>Glucose</t>
        </is>
      </c>
      <c r="B17">
        <f>Ingredientes!V10</f>
        <v/>
      </c>
      <c r="C17" t="inlineStr">
        <is>
          <t>g</t>
        </is>
      </c>
    </row>
    <row r="18">
      <c r="A18" t="inlineStr">
        <is>
          <t>Fructose</t>
        </is>
      </c>
      <c r="B18">
        <f>Ingredientes!W10</f>
        <v/>
      </c>
      <c r="C18" t="inlineStr">
        <is>
          <t>g</t>
        </is>
      </c>
    </row>
    <row r="19">
      <c r="A19" t="inlineStr">
        <is>
          <t>Lactose</t>
        </is>
      </c>
      <c r="B19">
        <f>Ingredientes!X10</f>
        <v/>
      </c>
      <c r="C19" t="inlineStr">
        <is>
          <t>g</t>
        </is>
      </c>
    </row>
    <row r="20">
      <c r="A20" t="inlineStr">
        <is>
          <t>Maltose</t>
        </is>
      </c>
      <c r="B20">
        <f>Ingredientes!Y10</f>
        <v/>
      </c>
      <c r="C20" t="inlineStr">
        <is>
          <t>g</t>
        </is>
      </c>
    </row>
    <row r="21">
      <c r="A21" t="inlineStr">
        <is>
          <t>Starch</t>
        </is>
      </c>
      <c r="B21">
        <f>Ingredientes!Z10</f>
        <v/>
      </c>
      <c r="C21" t="inlineStr">
        <is>
          <t>g</t>
        </is>
      </c>
    </row>
    <row r="22">
      <c r="A22" t="inlineStr">
        <is>
          <t>Total Sugars</t>
        </is>
      </c>
      <c r="B22">
        <f>Ingredientes!AA10</f>
        <v/>
      </c>
      <c r="C22" t="inlineStr">
        <is>
          <t>g</t>
        </is>
      </c>
    </row>
    <row r="23">
      <c r="A23" t="inlineStr">
        <is>
          <t>Galactose</t>
        </is>
      </c>
      <c r="B23">
        <f>Ingredientes!AB10</f>
        <v/>
      </c>
      <c r="C23" t="inlineStr">
        <is>
          <t>g</t>
        </is>
      </c>
    </row>
    <row r="24">
      <c r="A24" t="inlineStr">
        <is>
          <t>Resistant starch</t>
        </is>
      </c>
      <c r="B24">
        <f>Ingredientes!AC10</f>
        <v/>
      </c>
      <c r="C24" t="inlineStr">
        <is>
          <t>g</t>
        </is>
      </c>
    </row>
    <row r="25">
      <c r="A25" t="inlineStr">
        <is>
          <t>Calcium, Ca</t>
        </is>
      </c>
      <c r="B25">
        <f>Ingredientes!AD10</f>
        <v/>
      </c>
      <c r="C25" t="inlineStr">
        <is>
          <t>mg</t>
        </is>
      </c>
    </row>
    <row r="26">
      <c r="A26" t="inlineStr">
        <is>
          <t>Iron, Fe</t>
        </is>
      </c>
      <c r="B26">
        <f>Ingredientes!AE10</f>
        <v/>
      </c>
      <c r="C26" t="inlineStr">
        <is>
          <t>mg</t>
        </is>
      </c>
    </row>
    <row r="27">
      <c r="A27" t="inlineStr">
        <is>
          <t>Magnesium, Mg</t>
        </is>
      </c>
      <c r="B27">
        <f>Ingredientes!AF10</f>
        <v/>
      </c>
      <c r="C27" t="inlineStr">
        <is>
          <t>mg</t>
        </is>
      </c>
    </row>
    <row r="28">
      <c r="A28" t="inlineStr">
        <is>
          <t>Phosphorus, P</t>
        </is>
      </c>
      <c r="B28">
        <f>Ingredientes!AG10</f>
        <v/>
      </c>
      <c r="C28" t="inlineStr">
        <is>
          <t>mg</t>
        </is>
      </c>
    </row>
    <row r="29">
      <c r="A29" t="inlineStr">
        <is>
          <t>Potassium, K</t>
        </is>
      </c>
      <c r="B29">
        <f>Ingredientes!AH10</f>
        <v/>
      </c>
      <c r="C29" t="inlineStr">
        <is>
          <t>mg</t>
        </is>
      </c>
    </row>
    <row r="30">
      <c r="A30" t="inlineStr">
        <is>
          <t>Sodium, Na</t>
        </is>
      </c>
      <c r="B30">
        <f>Ingredientes!AI10</f>
        <v/>
      </c>
      <c r="C30" t="inlineStr">
        <is>
          <t>mg</t>
        </is>
      </c>
    </row>
    <row r="31">
      <c r="A31" t="inlineStr">
        <is>
          <t>Zinc, Zn</t>
        </is>
      </c>
      <c r="B31">
        <f>Ingredientes!AJ10</f>
        <v/>
      </c>
      <c r="C31" t="inlineStr">
        <is>
          <t>mg</t>
        </is>
      </c>
    </row>
    <row r="32">
      <c r="A32" t="inlineStr">
        <is>
          <t>Copper, Cu</t>
        </is>
      </c>
      <c r="B32">
        <f>Ingredientes!AK10</f>
        <v/>
      </c>
      <c r="C32" t="inlineStr">
        <is>
          <t>mg</t>
        </is>
      </c>
    </row>
    <row r="33">
      <c r="A33" t="inlineStr">
        <is>
          <t>Manganese, Mn</t>
        </is>
      </c>
      <c r="B33">
        <f>Ingredientes!AL10</f>
        <v/>
      </c>
      <c r="C33" t="inlineStr">
        <is>
          <t>mg</t>
        </is>
      </c>
    </row>
    <row r="34">
      <c r="A34" t="inlineStr">
        <is>
          <t>Iodine, I</t>
        </is>
      </c>
      <c r="B34">
        <f>Ingredientes!AM10</f>
        <v/>
      </c>
      <c r="C34" t="inlineStr">
        <is>
          <t>µg</t>
        </is>
      </c>
    </row>
    <row r="35">
      <c r="A35" t="inlineStr">
        <is>
          <t>Selenium, Se</t>
        </is>
      </c>
      <c r="B35">
        <f>Ingredientes!AN10</f>
        <v/>
      </c>
      <c r="C35" t="inlineStr">
        <is>
          <t>µg</t>
        </is>
      </c>
    </row>
    <row r="36">
      <c r="A36" t="inlineStr">
        <is>
          <t>Fluoride, F</t>
        </is>
      </c>
      <c r="B36">
        <f>Ingredientes!AO10</f>
        <v/>
      </c>
      <c r="C36" t="inlineStr">
        <is>
          <t>µg</t>
        </is>
      </c>
    </row>
    <row r="37">
      <c r="A37" t="inlineStr">
        <is>
          <t>Thiamin</t>
        </is>
      </c>
      <c r="B37">
        <f>Ingredientes!AP10</f>
        <v/>
      </c>
      <c r="C37" t="inlineStr">
        <is>
          <t>mg</t>
        </is>
      </c>
    </row>
    <row r="38">
      <c r="A38" t="inlineStr">
        <is>
          <t>Riboflavin</t>
        </is>
      </c>
      <c r="B38">
        <f>Ingredientes!AQ10</f>
        <v/>
      </c>
      <c r="C38" t="inlineStr">
        <is>
          <t>mg</t>
        </is>
      </c>
    </row>
    <row r="39">
      <c r="A39" t="inlineStr">
        <is>
          <t>Niacin</t>
        </is>
      </c>
      <c r="B39">
        <f>Ingredientes!AR10</f>
        <v/>
      </c>
      <c r="C39" t="inlineStr">
        <is>
          <t>mg</t>
        </is>
      </c>
    </row>
    <row r="40">
      <c r="A40" t="inlineStr">
        <is>
          <t>Vitamin B-6</t>
        </is>
      </c>
      <c r="B40">
        <f>Ingredientes!AS10</f>
        <v/>
      </c>
      <c r="C40" t="inlineStr">
        <is>
          <t>mg</t>
        </is>
      </c>
    </row>
    <row r="41">
      <c r="A41" t="inlineStr">
        <is>
          <t>Folate, total</t>
        </is>
      </c>
      <c r="B41">
        <f>Ingredientes!AT10</f>
        <v/>
      </c>
      <c r="C41" t="inlineStr">
        <is>
          <t>µg</t>
        </is>
      </c>
    </row>
    <row r="42">
      <c r="A42" t="inlineStr">
        <is>
          <t>Choline, total</t>
        </is>
      </c>
      <c r="B42">
        <f>Ingredientes!AU10</f>
        <v/>
      </c>
      <c r="C42" t="inlineStr">
        <is>
          <t>mg</t>
        </is>
      </c>
    </row>
    <row r="43">
      <c r="A43" t="inlineStr">
        <is>
          <t>Choline, free</t>
        </is>
      </c>
      <c r="B43">
        <f>Ingredientes!AV10</f>
        <v/>
      </c>
      <c r="C43" t="inlineStr">
        <is>
          <t>mg</t>
        </is>
      </c>
    </row>
    <row r="44">
      <c r="A44" t="inlineStr">
        <is>
          <t>Choline, from phosphocholine</t>
        </is>
      </c>
      <c r="B44">
        <f>Ingredientes!AW10</f>
        <v/>
      </c>
      <c r="C44" t="inlineStr">
        <is>
          <t>mg</t>
        </is>
      </c>
    </row>
    <row r="45">
      <c r="A45" t="inlineStr">
        <is>
          <t>Choline, from phosphotidyl choline</t>
        </is>
      </c>
      <c r="B45">
        <f>Ingredientes!AX10</f>
        <v/>
      </c>
      <c r="C45" t="inlineStr">
        <is>
          <t>mg</t>
        </is>
      </c>
    </row>
    <row r="46">
      <c r="A46" t="inlineStr">
        <is>
          <t>Choline, from glycerophosphocholine</t>
        </is>
      </c>
      <c r="B46">
        <f>Ingredientes!AY10</f>
        <v/>
      </c>
      <c r="C46" t="inlineStr">
        <is>
          <t>mg</t>
        </is>
      </c>
    </row>
    <row r="47">
      <c r="A47" t="inlineStr">
        <is>
          <t>Choline, from sphingomyelin</t>
        </is>
      </c>
      <c r="B47">
        <f>Ingredientes!AZ10</f>
        <v/>
      </c>
      <c r="C47" t="inlineStr">
        <is>
          <t>mg</t>
        </is>
      </c>
    </row>
    <row r="48">
      <c r="A48" t="inlineStr">
        <is>
          <t>Betaine</t>
        </is>
      </c>
      <c r="B48">
        <f>Ingredientes!BA10</f>
        <v/>
      </c>
      <c r="C48" t="inlineStr">
        <is>
          <t>mg</t>
        </is>
      </c>
    </row>
    <row r="49">
      <c r="A49" t="inlineStr">
        <is>
          <t>Vitamin B-12</t>
        </is>
      </c>
      <c r="B49">
        <f>Ingredientes!BB10</f>
        <v/>
      </c>
      <c r="C49" t="inlineStr">
        <is>
          <t>µg</t>
        </is>
      </c>
    </row>
    <row r="50">
      <c r="A50" t="inlineStr">
        <is>
          <t>Vitamin A, RAE</t>
        </is>
      </c>
      <c r="B50">
        <f>Ingredientes!BC10</f>
        <v/>
      </c>
      <c r="C50" t="inlineStr">
        <is>
          <t>µg</t>
        </is>
      </c>
    </row>
    <row r="51">
      <c r="A51" t="inlineStr">
        <is>
          <t>Retinol</t>
        </is>
      </c>
      <c r="B51">
        <f>Ingredientes!BD10</f>
        <v/>
      </c>
      <c r="C51" t="inlineStr">
        <is>
          <t>µg</t>
        </is>
      </c>
    </row>
    <row r="52">
      <c r="A52" t="inlineStr">
        <is>
          <t>Carotene, beta</t>
        </is>
      </c>
      <c r="B52">
        <f>Ingredientes!BE10</f>
        <v/>
      </c>
      <c r="C52" t="inlineStr">
        <is>
          <t>µg</t>
        </is>
      </c>
    </row>
    <row r="53">
      <c r="A53" t="inlineStr">
        <is>
          <t>cis-beta-Carotene</t>
        </is>
      </c>
      <c r="B53">
        <f>Ingredientes!BF10</f>
        <v/>
      </c>
      <c r="C53" t="inlineStr">
        <is>
          <t>µg</t>
        </is>
      </c>
    </row>
    <row r="54">
      <c r="A54" t="inlineStr">
        <is>
          <t>trans-beta-Carotene</t>
        </is>
      </c>
      <c r="B54">
        <f>Ingredientes!BG10</f>
        <v/>
      </c>
      <c r="C54" t="inlineStr">
        <is>
          <t>µg</t>
        </is>
      </c>
    </row>
    <row r="55">
      <c r="A55" t="inlineStr">
        <is>
          <t>Carotene, alpha</t>
        </is>
      </c>
      <c r="B55">
        <f>Ingredientes!BH10</f>
        <v/>
      </c>
      <c r="C55" t="inlineStr">
        <is>
          <t>µg</t>
        </is>
      </c>
    </row>
    <row r="56">
      <c r="A56" t="inlineStr">
        <is>
          <t>Cryptoxanthin, beta</t>
        </is>
      </c>
      <c r="B56">
        <f>Ingredientes!BI10</f>
        <v/>
      </c>
      <c r="C56" t="inlineStr">
        <is>
          <t>µg</t>
        </is>
      </c>
    </row>
    <row r="57">
      <c r="A57" t="inlineStr">
        <is>
          <t>Cryptoxanthin, alpha</t>
        </is>
      </c>
      <c r="B57">
        <f>Ingredientes!BJ10</f>
        <v/>
      </c>
      <c r="C57" t="inlineStr">
        <is>
          <t>µg</t>
        </is>
      </c>
    </row>
    <row r="58">
      <c r="A58" t="inlineStr">
        <is>
          <t>Lycopene</t>
        </is>
      </c>
      <c r="B58">
        <f>Ingredientes!BK10</f>
        <v/>
      </c>
      <c r="C58" t="inlineStr">
        <is>
          <t>µg</t>
        </is>
      </c>
    </row>
    <row r="59">
      <c r="A59" t="inlineStr">
        <is>
          <t>cis-Lycopene</t>
        </is>
      </c>
      <c r="B59">
        <f>Ingredientes!BL10</f>
        <v/>
      </c>
      <c r="C59" t="inlineStr">
        <is>
          <t>µg</t>
        </is>
      </c>
    </row>
    <row r="60">
      <c r="A60" t="inlineStr">
        <is>
          <t>trans-Lycopene</t>
        </is>
      </c>
      <c r="B60">
        <f>Ingredientes!BM10</f>
        <v/>
      </c>
      <c r="C60" t="inlineStr">
        <is>
          <t>µg</t>
        </is>
      </c>
    </row>
    <row r="61">
      <c r="A61" t="inlineStr">
        <is>
          <t>cis-Lutein/Zeaxanthin</t>
        </is>
      </c>
      <c r="B61">
        <f>Ingredientes!BN10</f>
        <v/>
      </c>
      <c r="C61" t="inlineStr">
        <is>
          <t>µg</t>
        </is>
      </c>
    </row>
    <row r="62">
      <c r="A62" t="inlineStr">
        <is>
          <t>Lutein</t>
        </is>
      </c>
      <c r="B62">
        <f>Ingredientes!BO10</f>
        <v/>
      </c>
      <c r="C62" t="inlineStr">
        <is>
          <t>µg</t>
        </is>
      </c>
    </row>
    <row r="63">
      <c r="A63" t="inlineStr">
        <is>
          <t>Zeaxanthin</t>
        </is>
      </c>
      <c r="B63">
        <f>Ingredientes!BP10</f>
        <v/>
      </c>
      <c r="C63" t="inlineStr">
        <is>
          <t>µg</t>
        </is>
      </c>
    </row>
    <row r="64">
      <c r="A64" t="inlineStr">
        <is>
          <t>Vitamin D (D2 + D3), International Units</t>
        </is>
      </c>
      <c r="B64">
        <f>Ingredientes!BQ10</f>
        <v/>
      </c>
      <c r="C64" t="inlineStr">
        <is>
          <t>IU</t>
        </is>
      </c>
    </row>
    <row r="65">
      <c r="A65" t="inlineStr">
        <is>
          <t>Vitamin D (D2 + D3)</t>
        </is>
      </c>
      <c r="B65">
        <f>Ingredientes!BR10</f>
        <v/>
      </c>
      <c r="C65" t="inlineStr">
        <is>
          <t>µg</t>
        </is>
      </c>
    </row>
    <row r="66">
      <c r="A66" t="inlineStr">
        <is>
          <t>Vitamin D2 (ergocalciferol)</t>
        </is>
      </c>
      <c r="B66">
        <f>Ingredientes!BS10</f>
        <v/>
      </c>
      <c r="C66" t="inlineStr">
        <is>
          <t>µg</t>
        </is>
      </c>
    </row>
    <row r="67">
      <c r="A67" t="inlineStr">
        <is>
          <t>Vitamin D3 (cholecalciferol)</t>
        </is>
      </c>
      <c r="B67">
        <f>Ingredientes!BT10</f>
        <v/>
      </c>
      <c r="C67" t="inlineStr">
        <is>
          <t>µg</t>
        </is>
      </c>
    </row>
    <row r="68">
      <c r="A68" t="inlineStr">
        <is>
          <t>25-hydroxycholecalciferol</t>
        </is>
      </c>
      <c r="B68">
        <f>Ingredientes!BU10</f>
        <v/>
      </c>
      <c r="C68" t="inlineStr">
        <is>
          <t>µg</t>
        </is>
      </c>
    </row>
    <row r="69">
      <c r="A69" t="inlineStr">
        <is>
          <t>Vitamin C, total ascorbic acid</t>
        </is>
      </c>
      <c r="B69">
        <f>Ingredientes!BV10</f>
        <v/>
      </c>
      <c r="C69" t="inlineStr">
        <is>
          <t>mg</t>
        </is>
      </c>
    </row>
    <row r="70">
      <c r="A70" t="inlineStr">
        <is>
          <t>Pantothenic acid</t>
        </is>
      </c>
      <c r="B70">
        <f>Ingredientes!BW10</f>
        <v/>
      </c>
      <c r="C70" t="inlineStr">
        <is>
          <t>mg</t>
        </is>
      </c>
    </row>
    <row r="71">
      <c r="A71" t="inlineStr">
        <is>
          <t>Folic acid</t>
        </is>
      </c>
      <c r="B71">
        <f>Ingredientes!BX10</f>
        <v/>
      </c>
      <c r="C71" t="inlineStr">
        <is>
          <t>µg</t>
        </is>
      </c>
    </row>
    <row r="72">
      <c r="A72" t="inlineStr">
        <is>
          <t>Folate, food</t>
        </is>
      </c>
      <c r="B72">
        <f>Ingredientes!BY10</f>
        <v/>
      </c>
      <c r="C72" t="inlineStr">
        <is>
          <t>µg</t>
        </is>
      </c>
    </row>
    <row r="73">
      <c r="A73" t="inlineStr">
        <is>
          <t>Folate, DFE</t>
        </is>
      </c>
      <c r="B73">
        <f>Ingredientes!BZ10</f>
        <v/>
      </c>
      <c r="C73" t="inlineStr">
        <is>
          <t>µg</t>
        </is>
      </c>
    </row>
    <row r="74">
      <c r="A74" t="inlineStr">
        <is>
          <t>Vitamin B-12, added</t>
        </is>
      </c>
      <c r="B74">
        <f>Ingredientes!CA10</f>
        <v/>
      </c>
      <c r="C74" t="inlineStr">
        <is>
          <t>µg</t>
        </is>
      </c>
    </row>
    <row r="75">
      <c r="A75" t="inlineStr">
        <is>
          <t>Vitamin A, IU</t>
        </is>
      </c>
      <c r="B75">
        <f>Ingredientes!CB10</f>
        <v/>
      </c>
      <c r="C75" t="inlineStr">
        <is>
          <t>IU</t>
        </is>
      </c>
    </row>
    <row r="76">
      <c r="A76" t="inlineStr">
        <is>
          <t>Lutein + zeaxanthin</t>
        </is>
      </c>
      <c r="B76">
        <f>Ingredientes!CC10</f>
        <v/>
      </c>
      <c r="C76" t="inlineStr">
        <is>
          <t>µg</t>
        </is>
      </c>
    </row>
    <row r="77">
      <c r="A77" t="inlineStr">
        <is>
          <t>Vitamin E (alpha-tocopherol)</t>
        </is>
      </c>
      <c r="B77">
        <f>Ingredientes!CD10</f>
        <v/>
      </c>
      <c r="C77" t="inlineStr">
        <is>
          <t>mg</t>
        </is>
      </c>
    </row>
    <row r="78">
      <c r="A78" t="inlineStr">
        <is>
          <t>Vitamin E, added</t>
        </is>
      </c>
      <c r="B78">
        <f>Ingredientes!CE10</f>
        <v/>
      </c>
      <c r="C78" t="inlineStr">
        <is>
          <t>mg</t>
        </is>
      </c>
    </row>
    <row r="79">
      <c r="A79" t="inlineStr">
        <is>
          <t>Vitamin K (phylloquinone)</t>
        </is>
      </c>
      <c r="B79">
        <f>Ingredientes!CF10</f>
        <v/>
      </c>
      <c r="C79" t="inlineStr">
        <is>
          <t>µg</t>
        </is>
      </c>
    </row>
    <row r="80">
      <c r="A80" t="inlineStr">
        <is>
          <t>Tocopherol, beta</t>
        </is>
      </c>
      <c r="B80">
        <f>Ingredientes!CG10</f>
        <v/>
      </c>
      <c r="C80" t="inlineStr">
        <is>
          <t>mg</t>
        </is>
      </c>
    </row>
    <row r="81">
      <c r="A81" t="inlineStr">
        <is>
          <t>Tocopherol, gamma</t>
        </is>
      </c>
      <c r="B81">
        <f>Ingredientes!CH10</f>
        <v/>
      </c>
      <c r="C81" t="inlineStr">
        <is>
          <t>mg</t>
        </is>
      </c>
    </row>
    <row r="82">
      <c r="A82" t="inlineStr">
        <is>
          <t>Tocopherol, delta</t>
        </is>
      </c>
      <c r="B82">
        <f>Ingredientes!CI10</f>
        <v/>
      </c>
      <c r="C82" t="inlineStr">
        <is>
          <t>mg</t>
        </is>
      </c>
    </row>
    <row r="83">
      <c r="A83" t="inlineStr">
        <is>
          <t>Tocotrienol, alpha</t>
        </is>
      </c>
      <c r="B83">
        <f>Ingredientes!CJ10</f>
        <v/>
      </c>
      <c r="C83" t="inlineStr">
        <is>
          <t>mg</t>
        </is>
      </c>
    </row>
    <row r="84">
      <c r="A84" t="inlineStr">
        <is>
          <t>Tocotrienol, beta</t>
        </is>
      </c>
      <c r="B84">
        <f>Ingredientes!CK10</f>
        <v/>
      </c>
      <c r="C84" t="inlineStr">
        <is>
          <t>mg</t>
        </is>
      </c>
    </row>
    <row r="85">
      <c r="A85" t="inlineStr">
        <is>
          <t>Tocotrienol, gamma</t>
        </is>
      </c>
      <c r="B85">
        <f>Ingredientes!CL10</f>
        <v/>
      </c>
      <c r="C85" t="inlineStr">
        <is>
          <t>mg</t>
        </is>
      </c>
    </row>
    <row r="86">
      <c r="A86" t="inlineStr">
        <is>
          <t>Tocotrienol, delta</t>
        </is>
      </c>
      <c r="B86">
        <f>Ingredientes!CM10</f>
        <v/>
      </c>
      <c r="C86" t="inlineStr">
        <is>
          <t>mg</t>
        </is>
      </c>
    </row>
    <row r="87">
      <c r="A87" t="inlineStr">
        <is>
          <t>Vitamin K (Dihydrophylloquinone)</t>
        </is>
      </c>
      <c r="B87">
        <f>Ingredientes!CN10</f>
        <v/>
      </c>
      <c r="C87" t="inlineStr">
        <is>
          <t>µg</t>
        </is>
      </c>
    </row>
    <row r="88">
      <c r="A88" t="inlineStr">
        <is>
          <t>Vitamin K (Menaquinone-4)</t>
        </is>
      </c>
      <c r="B88">
        <f>Ingredientes!CO10</f>
        <v/>
      </c>
      <c r="C88" t="inlineStr">
        <is>
          <t>µg</t>
        </is>
      </c>
    </row>
    <row r="89">
      <c r="A89" t="inlineStr">
        <is>
          <t>Fatty acids, total saturated</t>
        </is>
      </c>
      <c r="B89">
        <f>Ingredientes!CP10</f>
        <v/>
      </c>
      <c r="C89" t="inlineStr">
        <is>
          <t>g</t>
        </is>
      </c>
    </row>
    <row r="90">
      <c r="A90" t="inlineStr">
        <is>
          <t>SFA 14:0</t>
        </is>
      </c>
      <c r="B90">
        <f>Ingredientes!CQ10</f>
        <v/>
      </c>
      <c r="C90" t="inlineStr">
        <is>
          <t>g</t>
        </is>
      </c>
    </row>
    <row r="91">
      <c r="A91" t="inlineStr">
        <is>
          <t>SFA 16:0</t>
        </is>
      </c>
      <c r="B91">
        <f>Ingredientes!CR10</f>
        <v/>
      </c>
      <c r="C91" t="inlineStr">
        <is>
          <t>g</t>
        </is>
      </c>
    </row>
    <row r="92">
      <c r="A92" t="inlineStr">
        <is>
          <t>SFA 18:0</t>
        </is>
      </c>
      <c r="B92">
        <f>Ingredientes!CS10</f>
        <v/>
      </c>
      <c r="C92" t="inlineStr">
        <is>
          <t>g</t>
        </is>
      </c>
    </row>
    <row r="93">
      <c r="A93" t="inlineStr">
        <is>
          <t>Fatty acids, total monounsaturated</t>
        </is>
      </c>
      <c r="B93">
        <f>Ingredientes!CT10</f>
        <v/>
      </c>
      <c r="C93" t="inlineStr">
        <is>
          <t>g</t>
        </is>
      </c>
    </row>
    <row r="94">
      <c r="A94" t="inlineStr">
        <is>
          <t>MUFA 16:1 c</t>
        </is>
      </c>
      <c r="B94">
        <f>Ingredientes!CU10</f>
        <v/>
      </c>
      <c r="C94" t="inlineStr">
        <is>
          <t>g</t>
        </is>
      </c>
    </row>
    <row r="95">
      <c r="A95" t="inlineStr">
        <is>
          <t>MUFA 18:1 c</t>
        </is>
      </c>
      <c r="B95">
        <f>Ingredientes!CV10</f>
        <v/>
      </c>
      <c r="C95" t="inlineStr">
        <is>
          <t>g</t>
        </is>
      </c>
    </row>
    <row r="96">
      <c r="A96" t="inlineStr">
        <is>
          <t>Fatty acids, total polyunsaturated</t>
        </is>
      </c>
      <c r="B96">
        <f>Ingredientes!CW10</f>
        <v/>
      </c>
      <c r="C96" t="inlineStr">
        <is>
          <t>g</t>
        </is>
      </c>
    </row>
    <row r="97">
      <c r="A97" t="inlineStr">
        <is>
          <t>PUFA 18:2 c</t>
        </is>
      </c>
      <c r="B97">
        <f>Ingredientes!CX10</f>
        <v/>
      </c>
      <c r="C97" t="inlineStr">
        <is>
          <t>g</t>
        </is>
      </c>
    </row>
    <row r="98">
      <c r="A98" t="inlineStr">
        <is>
          <t>PUFA 18:2 n-6 c,c</t>
        </is>
      </c>
      <c r="B98">
        <f>Ingredientes!CY10</f>
        <v/>
      </c>
      <c r="C98" t="inlineStr">
        <is>
          <t>g</t>
        </is>
      </c>
    </row>
    <row r="99">
      <c r="A99" t="inlineStr">
        <is>
          <t>PUFA 18:3 c</t>
        </is>
      </c>
      <c r="B99">
        <f>Ingredientes!CZ10</f>
        <v/>
      </c>
      <c r="C99" t="inlineStr">
        <is>
          <t>g</t>
        </is>
      </c>
    </row>
    <row r="100">
      <c r="A100" t="inlineStr">
        <is>
          <t>PUFA 18:3 n-6 c,c,c</t>
        </is>
      </c>
      <c r="B100">
        <f>Ingredientes!DA10</f>
        <v/>
      </c>
      <c r="C100" t="inlineStr">
        <is>
          <t>g</t>
        </is>
      </c>
    </row>
    <row r="101">
      <c r="A101" t="inlineStr">
        <is>
          <t>PUFA 20:3 c</t>
        </is>
      </c>
      <c r="B101">
        <f>Ingredientes!DB10</f>
        <v/>
      </c>
      <c r="C101" t="inlineStr">
        <is>
          <t>g</t>
        </is>
      </c>
    </row>
    <row r="102">
      <c r="A102" t="inlineStr">
        <is>
          <t>PUFA 20:3 n-6</t>
        </is>
      </c>
      <c r="B102">
        <f>Ingredientes!DC10</f>
        <v/>
      </c>
      <c r="C102" t="inlineStr">
        <is>
          <t>g</t>
        </is>
      </c>
    </row>
    <row r="103">
      <c r="A103" t="inlineStr">
        <is>
          <t>Cholesterol</t>
        </is>
      </c>
      <c r="B103">
        <f>Ingredientes!DD10</f>
        <v/>
      </c>
      <c r="C103" t="inlineStr">
        <is>
          <t>mg</t>
        </is>
      </c>
    </row>
    <row r="104">
      <c r="A104" t="inlineStr">
        <is>
          <t>SFA 4:0</t>
        </is>
      </c>
      <c r="B104">
        <f>Ingredientes!DE10</f>
        <v/>
      </c>
      <c r="C104" t="inlineStr">
        <is>
          <t>g</t>
        </is>
      </c>
    </row>
    <row r="105">
      <c r="A105" t="inlineStr">
        <is>
          <t>SFA 6:0</t>
        </is>
      </c>
      <c r="B105">
        <f>Ingredientes!DF10</f>
        <v/>
      </c>
      <c r="C105" t="inlineStr">
        <is>
          <t>g</t>
        </is>
      </c>
    </row>
    <row r="106">
      <c r="A106" t="inlineStr">
        <is>
          <t>SFA 8:0</t>
        </is>
      </c>
      <c r="B106">
        <f>Ingredientes!DG10</f>
        <v/>
      </c>
      <c r="C106" t="inlineStr">
        <is>
          <t>g</t>
        </is>
      </c>
    </row>
    <row r="107">
      <c r="A107" t="inlineStr">
        <is>
          <t>SFA 10:0</t>
        </is>
      </c>
      <c r="B107">
        <f>Ingredientes!DH10</f>
        <v/>
      </c>
      <c r="C107" t="inlineStr">
        <is>
          <t>g</t>
        </is>
      </c>
    </row>
    <row r="108">
      <c r="A108" t="inlineStr">
        <is>
          <t>SFA 12:0</t>
        </is>
      </c>
      <c r="B108">
        <f>Ingredientes!DI10</f>
        <v/>
      </c>
      <c r="C108" t="inlineStr">
        <is>
          <t>g</t>
        </is>
      </c>
    </row>
    <row r="109">
      <c r="A109" t="inlineStr">
        <is>
          <t>MUFA 16:1</t>
        </is>
      </c>
      <c r="B109">
        <f>Ingredientes!DJ10</f>
        <v/>
      </c>
      <c r="C109" t="inlineStr">
        <is>
          <t>g</t>
        </is>
      </c>
    </row>
    <row r="110">
      <c r="A110" t="inlineStr">
        <is>
          <t>MUFA 18:1</t>
        </is>
      </c>
      <c r="B110">
        <f>Ingredientes!DK10</f>
        <v/>
      </c>
      <c r="C110" t="inlineStr">
        <is>
          <t>g</t>
        </is>
      </c>
    </row>
    <row r="111">
      <c r="A111" t="inlineStr">
        <is>
          <t>MUFA 20:1</t>
        </is>
      </c>
      <c r="B111">
        <f>Ingredientes!DL10</f>
        <v/>
      </c>
      <c r="C111" t="inlineStr">
        <is>
          <t>g</t>
        </is>
      </c>
    </row>
    <row r="112">
      <c r="A112" t="inlineStr">
        <is>
          <t>MUFA 22:1</t>
        </is>
      </c>
      <c r="B112">
        <f>Ingredientes!DM10</f>
        <v/>
      </c>
      <c r="C112" t="inlineStr">
        <is>
          <t>g</t>
        </is>
      </c>
    </row>
    <row r="113">
      <c r="A113" t="inlineStr">
        <is>
          <t>PUFA 18:2</t>
        </is>
      </c>
      <c r="B113">
        <f>Ingredientes!DN10</f>
        <v/>
      </c>
      <c r="C113" t="inlineStr">
        <is>
          <t>g</t>
        </is>
      </c>
    </row>
    <row r="114">
      <c r="A114" t="inlineStr">
        <is>
          <t>PUFA 18:3</t>
        </is>
      </c>
      <c r="B114">
        <f>Ingredientes!DO10</f>
        <v/>
      </c>
      <c r="C114" t="inlineStr">
        <is>
          <t>g</t>
        </is>
      </c>
    </row>
    <row r="115">
      <c r="A115" t="inlineStr">
        <is>
          <t>PUFA 18:4</t>
        </is>
      </c>
      <c r="B115">
        <f>Ingredientes!DP10</f>
        <v/>
      </c>
      <c r="C115" t="inlineStr">
        <is>
          <t>g</t>
        </is>
      </c>
    </row>
    <row r="116">
      <c r="A116" t="inlineStr">
        <is>
          <t>PUFA 20:4</t>
        </is>
      </c>
      <c r="B116">
        <f>Ingredientes!DQ10</f>
        <v/>
      </c>
      <c r="C116" t="inlineStr">
        <is>
          <t>g</t>
        </is>
      </c>
    </row>
    <row r="117">
      <c r="A117" t="inlineStr">
        <is>
          <t>PUFA 20:5 n-3 (EPA)</t>
        </is>
      </c>
      <c r="B117">
        <f>Ingredientes!DR10</f>
        <v/>
      </c>
      <c r="C117" t="inlineStr">
        <is>
          <t>g</t>
        </is>
      </c>
    </row>
    <row r="118">
      <c r="A118" t="inlineStr">
        <is>
          <t>PUFA 22:5 n-3 (DPA)</t>
        </is>
      </c>
      <c r="B118">
        <f>Ingredientes!DS10</f>
        <v/>
      </c>
      <c r="C118" t="inlineStr">
        <is>
          <t>g</t>
        </is>
      </c>
    </row>
    <row r="119">
      <c r="A119" t="inlineStr">
        <is>
          <t>PUFA 22:6 n-3 (DHA)</t>
        </is>
      </c>
      <c r="B119">
        <f>Ingredientes!DT10</f>
        <v/>
      </c>
      <c r="C119" t="inlineStr">
        <is>
          <t>g</t>
        </is>
      </c>
    </row>
    <row r="120">
      <c r="A120" t="inlineStr">
        <is>
          <t>Fatty acids, total trans</t>
        </is>
      </c>
      <c r="B120">
        <f>Ingredientes!DU10</f>
        <v/>
      </c>
      <c r="C120" t="inlineStr">
        <is>
          <t>g</t>
        </is>
      </c>
    </row>
    <row r="121">
      <c r="A121" t="inlineStr">
        <is>
          <t>SFA 13:0</t>
        </is>
      </c>
      <c r="B121">
        <f>Ingredientes!DV10</f>
        <v/>
      </c>
      <c r="C121" t="inlineStr">
        <is>
          <t>g</t>
        </is>
      </c>
    </row>
    <row r="122">
      <c r="A122" t="inlineStr">
        <is>
          <t>SFA 15:0</t>
        </is>
      </c>
      <c r="B122">
        <f>Ingredientes!DW10</f>
        <v/>
      </c>
      <c r="C122" t="inlineStr">
        <is>
          <t>g</t>
        </is>
      </c>
    </row>
    <row r="123">
      <c r="A123" t="inlineStr">
        <is>
          <t>SFA 17:0</t>
        </is>
      </c>
      <c r="B123">
        <f>Ingredientes!DX10</f>
        <v/>
      </c>
      <c r="C123" t="inlineStr">
        <is>
          <t>g</t>
        </is>
      </c>
    </row>
    <row r="124">
      <c r="A124" t="inlineStr">
        <is>
          <t>SFA 20:0</t>
        </is>
      </c>
      <c r="B124">
        <f>Ingredientes!DY10</f>
        <v/>
      </c>
      <c r="C124" t="inlineStr">
        <is>
          <t>g</t>
        </is>
      </c>
    </row>
    <row r="125">
      <c r="A125" t="inlineStr">
        <is>
          <t>SFA 22:0</t>
        </is>
      </c>
      <c r="B125">
        <f>Ingredientes!DZ10</f>
        <v/>
      </c>
      <c r="C125" t="inlineStr">
        <is>
          <t>g</t>
        </is>
      </c>
    </row>
    <row r="126">
      <c r="A126" t="inlineStr">
        <is>
          <t>SFA 24:0</t>
        </is>
      </c>
      <c r="B126">
        <f>Ingredientes!EA10</f>
        <v/>
      </c>
      <c r="C126" t="inlineStr">
        <is>
          <t>g</t>
        </is>
      </c>
    </row>
    <row r="127">
      <c r="A127" t="inlineStr">
        <is>
          <t>MUFA 14:1</t>
        </is>
      </c>
      <c r="B127">
        <f>Ingredientes!EB10</f>
        <v/>
      </c>
      <c r="C127" t="inlineStr">
        <is>
          <t>g</t>
        </is>
      </c>
    </row>
    <row r="128">
      <c r="A128" t="inlineStr">
        <is>
          <t>MUFA 15:1</t>
        </is>
      </c>
      <c r="B128">
        <f>Ingredientes!EC10</f>
        <v/>
      </c>
      <c r="C128" t="inlineStr">
        <is>
          <t>g</t>
        </is>
      </c>
    </row>
    <row r="129">
      <c r="A129" t="inlineStr">
        <is>
          <t>MUFA 17:1</t>
        </is>
      </c>
      <c r="B129">
        <f>Ingredientes!ED10</f>
        <v/>
      </c>
      <c r="C129" t="inlineStr">
        <is>
          <t>g</t>
        </is>
      </c>
    </row>
    <row r="130">
      <c r="A130" t="inlineStr">
        <is>
          <t>MUFA 24:1 c</t>
        </is>
      </c>
      <c r="B130">
        <f>Ingredientes!EE10</f>
        <v/>
      </c>
      <c r="C130" t="inlineStr">
        <is>
          <t>g</t>
        </is>
      </c>
    </row>
    <row r="131">
      <c r="A131" t="inlineStr">
        <is>
          <t>PUFA 18:3 n-3 c,c,c (ALA)</t>
        </is>
      </c>
      <c r="B131">
        <f>Ingredientes!EF10</f>
        <v/>
      </c>
      <c r="C131" t="inlineStr">
        <is>
          <t>g</t>
        </is>
      </c>
    </row>
    <row r="132">
      <c r="A132" t="inlineStr">
        <is>
          <t>PUFA 20:2 n-6 c,c</t>
        </is>
      </c>
      <c r="B132">
        <f>Ingredientes!EG10</f>
        <v/>
      </c>
      <c r="C132" t="inlineStr">
        <is>
          <t>g</t>
        </is>
      </c>
    </row>
    <row r="133">
      <c r="A133" t="inlineStr">
        <is>
          <t>PUFA 20:3</t>
        </is>
      </c>
      <c r="B133">
        <f>Ingredientes!EH10</f>
        <v/>
      </c>
      <c r="C133" t="inlineStr">
        <is>
          <t>g</t>
        </is>
      </c>
    </row>
    <row r="134">
      <c r="A134" t="inlineStr">
        <is>
          <t>Fatty acids, total trans-monoenoic</t>
        </is>
      </c>
      <c r="B134">
        <f>Ingredientes!EI10</f>
        <v/>
      </c>
      <c r="C134" t="inlineStr">
        <is>
          <t>g</t>
        </is>
      </c>
    </row>
    <row r="135">
      <c r="A135" t="inlineStr">
        <is>
          <t>TFA 18:1 t</t>
        </is>
      </c>
      <c r="B135">
        <f>Ingredientes!EJ10</f>
        <v/>
      </c>
      <c r="C135" t="inlineStr">
        <is>
          <t>g</t>
        </is>
      </c>
    </row>
    <row r="136">
      <c r="A136" t="inlineStr">
        <is>
          <t>Phytosterols</t>
        </is>
      </c>
      <c r="B136">
        <f>Ingredientes!EK10</f>
        <v/>
      </c>
      <c r="C136" t="inlineStr">
        <is>
          <t>mg</t>
        </is>
      </c>
    </row>
    <row r="137">
      <c r="A137" t="inlineStr">
        <is>
          <t>TFA 18:2 t,t</t>
        </is>
      </c>
      <c r="B137">
        <f>Ingredientes!EL10</f>
        <v/>
      </c>
      <c r="C137" t="inlineStr">
        <is>
          <t>g</t>
        </is>
      </c>
    </row>
    <row r="138">
      <c r="A138" t="inlineStr">
        <is>
          <t>Fatty acids, total trans-polyenoic</t>
        </is>
      </c>
      <c r="B138">
        <f>Ingredientes!EM10</f>
        <v/>
      </c>
      <c r="C138" t="inlineStr">
        <is>
          <t>g</t>
        </is>
      </c>
    </row>
    <row r="139">
      <c r="A139" t="inlineStr">
        <is>
          <t>SFA 21:0</t>
        </is>
      </c>
      <c r="B139">
        <f>Ingredientes!EN10</f>
        <v/>
      </c>
      <c r="C139" t="inlineStr">
        <is>
          <t>g</t>
        </is>
      </c>
    </row>
    <row r="140">
      <c r="A140" t="inlineStr">
        <is>
          <t>MUFA 20:1 c</t>
        </is>
      </c>
      <c r="B140">
        <f>Ingredientes!EO10</f>
        <v/>
      </c>
      <c r="C140" t="inlineStr">
        <is>
          <t>g</t>
        </is>
      </c>
    </row>
    <row r="141">
      <c r="A141" t="inlineStr">
        <is>
          <t>Tryptophan</t>
        </is>
      </c>
      <c r="B141">
        <f>Ingredientes!EP10</f>
        <v/>
      </c>
      <c r="C141" t="inlineStr">
        <is>
          <t>g</t>
        </is>
      </c>
    </row>
    <row r="142">
      <c r="A142" t="inlineStr">
        <is>
          <t>Threonine</t>
        </is>
      </c>
      <c r="B142">
        <f>Ingredientes!EQ10</f>
        <v/>
      </c>
      <c r="C142" t="inlineStr">
        <is>
          <t>g</t>
        </is>
      </c>
    </row>
    <row r="143">
      <c r="A143" t="inlineStr">
        <is>
          <t>Isoleucine</t>
        </is>
      </c>
      <c r="B143">
        <f>Ingredientes!ER10</f>
        <v/>
      </c>
      <c r="C143" t="inlineStr">
        <is>
          <t>g</t>
        </is>
      </c>
    </row>
    <row r="144">
      <c r="A144" t="inlineStr">
        <is>
          <t>Leucine</t>
        </is>
      </c>
      <c r="B144">
        <f>Ingredientes!ES10</f>
        <v/>
      </c>
      <c r="C144" t="inlineStr">
        <is>
          <t>g</t>
        </is>
      </c>
    </row>
    <row r="145">
      <c r="A145" t="inlineStr">
        <is>
          <t>Lysine</t>
        </is>
      </c>
      <c r="B145">
        <f>Ingredientes!ET10</f>
        <v/>
      </c>
      <c r="C145" t="inlineStr">
        <is>
          <t>g</t>
        </is>
      </c>
    </row>
    <row r="146">
      <c r="A146" t="inlineStr">
        <is>
          <t>Methionine</t>
        </is>
      </c>
      <c r="B146">
        <f>Ingredientes!EU10</f>
        <v/>
      </c>
      <c r="C146" t="inlineStr">
        <is>
          <t>g</t>
        </is>
      </c>
    </row>
    <row r="147">
      <c r="A147" t="inlineStr">
        <is>
          <t>Phenylalanine</t>
        </is>
      </c>
      <c r="B147">
        <f>Ingredientes!EV10</f>
        <v/>
      </c>
      <c r="C147" t="inlineStr">
        <is>
          <t>g</t>
        </is>
      </c>
    </row>
    <row r="148">
      <c r="A148" t="inlineStr">
        <is>
          <t>Tyrosine</t>
        </is>
      </c>
      <c r="B148">
        <f>Ingredientes!EW10</f>
        <v/>
      </c>
      <c r="C148" t="inlineStr">
        <is>
          <t>g</t>
        </is>
      </c>
    </row>
    <row r="149">
      <c r="A149" t="inlineStr">
        <is>
          <t>Valine</t>
        </is>
      </c>
      <c r="B149">
        <f>Ingredientes!EX10</f>
        <v/>
      </c>
      <c r="C149" t="inlineStr">
        <is>
          <t>g</t>
        </is>
      </c>
    </row>
    <row r="150">
      <c r="A150" t="inlineStr">
        <is>
          <t>Arginine</t>
        </is>
      </c>
      <c r="B150">
        <f>Ingredientes!EY10</f>
        <v/>
      </c>
      <c r="C150" t="inlineStr">
        <is>
          <t>g</t>
        </is>
      </c>
    </row>
    <row r="151">
      <c r="A151" t="inlineStr">
        <is>
          <t>Histidine</t>
        </is>
      </c>
      <c r="B151">
        <f>Ingredientes!EZ10</f>
        <v/>
      </c>
      <c r="C151" t="inlineStr">
        <is>
          <t>g</t>
        </is>
      </c>
    </row>
    <row r="152">
      <c r="A152" t="inlineStr">
        <is>
          <t>Alanine</t>
        </is>
      </c>
      <c r="B152">
        <f>Ingredientes!FA10</f>
        <v/>
      </c>
      <c r="C152" t="inlineStr">
        <is>
          <t>g</t>
        </is>
      </c>
    </row>
    <row r="153">
      <c r="A153" t="inlineStr">
        <is>
          <t>Aspartic acid</t>
        </is>
      </c>
      <c r="B153">
        <f>Ingredientes!FB10</f>
        <v/>
      </c>
      <c r="C153" t="inlineStr">
        <is>
          <t>g</t>
        </is>
      </c>
    </row>
    <row r="154">
      <c r="A154" t="inlineStr">
        <is>
          <t>Glutamic acid</t>
        </is>
      </c>
      <c r="B154">
        <f>Ingredientes!FC10</f>
        <v/>
      </c>
      <c r="C154" t="inlineStr">
        <is>
          <t>g</t>
        </is>
      </c>
    </row>
    <row r="155">
      <c r="A155" t="inlineStr">
        <is>
          <t>Glycine</t>
        </is>
      </c>
      <c r="B155">
        <f>Ingredientes!FD10</f>
        <v/>
      </c>
      <c r="C155" t="inlineStr">
        <is>
          <t>g</t>
        </is>
      </c>
    </row>
    <row r="156">
      <c r="A156" t="inlineStr">
        <is>
          <t>Proline</t>
        </is>
      </c>
      <c r="B156">
        <f>Ingredientes!FE10</f>
        <v/>
      </c>
      <c r="C156" t="inlineStr">
        <is>
          <t>g</t>
        </is>
      </c>
    </row>
    <row r="157">
      <c r="A157" t="inlineStr">
        <is>
          <t>Serine</t>
        </is>
      </c>
      <c r="B157">
        <f>Ingredientes!FF10</f>
        <v/>
      </c>
      <c r="C157" t="inlineStr">
        <is>
          <t>g</t>
        </is>
      </c>
    </row>
    <row r="158">
      <c r="A158" t="inlineStr">
        <is>
          <t>Hydroxyproline</t>
        </is>
      </c>
      <c r="B158">
        <f>Ingredientes!FG10</f>
        <v/>
      </c>
      <c r="C158" t="inlineStr">
        <is>
          <t>g</t>
        </is>
      </c>
    </row>
    <row r="159">
      <c r="A159" t="inlineStr">
        <is>
          <t>Cysteine</t>
        </is>
      </c>
      <c r="B159">
        <f>Ingredientes!FH10</f>
        <v/>
      </c>
      <c r="C159" t="inlineStr">
        <is>
          <t>g</t>
        </is>
      </c>
    </row>
    <row r="160">
      <c r="A160" t="inlineStr">
        <is>
          <t>Alcohol, ethyl</t>
        </is>
      </c>
      <c r="B160">
        <f>Ingredientes!FI10</f>
        <v/>
      </c>
      <c r="C160" t="inlineStr">
        <is>
          <t>g</t>
        </is>
      </c>
    </row>
    <row r="161">
      <c r="A161" t="inlineStr">
        <is>
          <t>Caffeine</t>
        </is>
      </c>
      <c r="B161">
        <f>Ingredientes!FJ10</f>
        <v/>
      </c>
      <c r="C161" t="inlineStr">
        <is>
          <t>mg</t>
        </is>
      </c>
    </row>
    <row r="162">
      <c r="A162" t="inlineStr">
        <is>
          <t>Theobromine</t>
        </is>
      </c>
      <c r="B162">
        <f>Ingredientes!FK10</f>
        <v/>
      </c>
      <c r="C162" t="inlineStr">
        <is>
          <t>mg</t>
        </is>
      </c>
    </row>
    <row r="163">
      <c r="A163" t="inlineStr">
        <is>
          <t>Cystine</t>
        </is>
      </c>
      <c r="B163">
        <f>Ingredientes!FL10</f>
        <v/>
      </c>
      <c r="C163" t="inlineStr">
        <is>
          <t>g</t>
        </is>
      </c>
    </row>
    <row r="164">
      <c r="A164" t="inlineStr">
        <is>
          <t>Stigmasterol</t>
        </is>
      </c>
      <c r="B164">
        <f>Ingredientes!FM10</f>
        <v/>
      </c>
      <c r="C164" t="inlineStr">
        <is>
          <t>mg</t>
        </is>
      </c>
    </row>
    <row r="165">
      <c r="A165" t="inlineStr">
        <is>
          <t>Campesterol</t>
        </is>
      </c>
      <c r="B165">
        <f>Ingredientes!FN10</f>
        <v/>
      </c>
      <c r="C165" t="inlineStr">
        <is>
          <t>mg</t>
        </is>
      </c>
    </row>
    <row r="166">
      <c r="A166" t="inlineStr">
        <is>
          <t>Beta-sitosterol</t>
        </is>
      </c>
      <c r="B166">
        <f>Ingredientes!FO10</f>
        <v/>
      </c>
      <c r="C166" t="inlineStr">
        <is>
          <t>mg</t>
        </is>
      </c>
    </row>
    <row r="167">
      <c r="A167" t="inlineStr">
        <is>
          <t>Brassicasterol</t>
        </is>
      </c>
      <c r="B167">
        <f>Ingredientes!FP10</f>
        <v/>
      </c>
      <c r="C167" t="inlineStr">
        <is>
          <t>mg</t>
        </is>
      </c>
    </row>
    <row r="168">
      <c r="A168" t="inlineStr">
        <is>
          <t>Campestanol</t>
        </is>
      </c>
      <c r="B168">
        <f>Ingredientes!FQ10</f>
        <v/>
      </c>
      <c r="C168" t="inlineStr">
        <is>
          <t>mg</t>
        </is>
      </c>
    </row>
    <row r="169">
      <c r="A169" t="inlineStr">
        <is>
          <t>Beta-sitostanol</t>
        </is>
      </c>
      <c r="B169">
        <f>Ingredientes!FR10</f>
        <v/>
      </c>
      <c r="C169" t="inlineStr">
        <is>
          <t>mg</t>
        </is>
      </c>
    </row>
    <row r="170">
      <c r="A170" t="inlineStr">
        <is>
          <t>Delta-5-avenasterol</t>
        </is>
      </c>
      <c r="B170">
        <f>Ingredientes!FS10</f>
        <v/>
      </c>
      <c r="C170" t="inlineStr">
        <is>
          <t>mg</t>
        </is>
      </c>
    </row>
    <row r="171">
      <c r="A171" t="inlineStr">
        <is>
          <t>Phytosterols, other</t>
        </is>
      </c>
      <c r="B171">
        <f>Ingredientes!FT10</f>
        <v/>
      </c>
      <c r="C171" t="inlineStr">
        <is>
          <t>mg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2025-12-05T01:24:14Z</dcterms:created>
  <dcterms:modified xsi:type="dcterms:W3CDTF">2025-12-05T01:24:14Z</dcterms:modified>
</cp:coreProperties>
</file>