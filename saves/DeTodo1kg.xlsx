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Detalles de formulación</t>
        </is>
      </c>
      <c r="G1" s="2" t="inlineStr">
        <is>
          <t>Proximates</t>
        </is>
      </c>
      <c r="L1" s="3" t="inlineStr">
        <is>
          <t>Carbohydrates</t>
        </is>
      </c>
    </row>
    <row r="2">
      <c r="A2" s="4" t="inlineStr">
        <is>
          <t>FDC ID</t>
        </is>
      </c>
      <c r="B2" s="4" t="inlineStr">
        <is>
          <t>Ingrediente</t>
        </is>
      </c>
      <c r="C2" s="4" t="inlineStr">
        <is>
          <t>Marca / Origen</t>
        </is>
      </c>
      <c r="D2" s="4" t="inlineStr">
        <is>
          <t>Tipo de dato</t>
        </is>
      </c>
      <c r="E2" s="4" t="inlineStr">
        <is>
          <t>Cantidad (g)</t>
        </is>
      </c>
      <c r="F2" s="4" t="inlineStr">
        <is>
          <t>Cantidad (%)</t>
        </is>
      </c>
      <c r="G2" s="2" t="inlineStr">
        <is>
          <t>Water (g)</t>
        </is>
      </c>
      <c r="H2" s="2" t="inlineStr">
        <is>
          <t>Energy (kcal)</t>
        </is>
      </c>
      <c r="I2" s="2" t="inlineStr">
        <is>
          <t>Protein (g)</t>
        </is>
      </c>
      <c r="J2" s="2" t="inlineStr">
        <is>
          <t>Total lipid (fat) (g)</t>
        </is>
      </c>
      <c r="K2" s="2" t="inlineStr">
        <is>
          <t>Carbohydrate, by difference (g)</t>
        </is>
      </c>
      <c r="L2" s="3" t="inlineStr">
        <is>
          <t>Fiber, total dietary (g)</t>
        </is>
      </c>
    </row>
    <row r="3">
      <c r="A3" t="n">
        <v>169758</v>
      </c>
      <c r="B3" t="inlineStr">
        <is>
          <t>Rice, white, long-grain, parboiled, unenriched, dry</t>
        </is>
      </c>
      <c r="C3" t="inlineStr"/>
      <c r="D3" t="inlineStr">
        <is>
          <t>SR Legacy</t>
        </is>
      </c>
      <c r="E3" s="5" t="n">
        <v>1750</v>
      </c>
      <c r="F3" s="6">
        <f>E3/SUM($E$3:$E$4)</f>
        <v/>
      </c>
      <c r="G3" t="n">
        <v>9.859999999999999</v>
      </c>
      <c r="H3" t="n">
        <v>362.91</v>
      </c>
      <c r="I3" t="n">
        <v>7.51</v>
      </c>
      <c r="J3" t="n">
        <v>1.03</v>
      </c>
      <c r="K3" t="n">
        <v>80.90000000000001</v>
      </c>
      <c r="L3" t="n">
        <v>1.8</v>
      </c>
    </row>
    <row r="4">
      <c r="A4" t="n">
        <v>2512381</v>
      </c>
      <c r="B4" t="inlineStr">
        <is>
          <t>Rice, white, long grain, unenriched, raw</t>
        </is>
      </c>
      <c r="C4" t="inlineStr"/>
      <c r="D4" t="inlineStr">
        <is>
          <t>Foundation</t>
        </is>
      </c>
      <c r="E4" s="5" t="n">
        <v>5250</v>
      </c>
      <c r="F4" s="6">
        <f>E4/SUM($E$3:$E$4)</f>
        <v/>
      </c>
      <c r="G4" t="n">
        <v>11.2</v>
      </c>
      <c r="H4" t="n">
        <v>358.63</v>
      </c>
      <c r="I4" t="n">
        <v>7.04</v>
      </c>
      <c r="J4" t="n">
        <v>1.03</v>
      </c>
      <c r="K4" t="n">
        <v>80.3</v>
      </c>
      <c r="L4" t="n">
        <v>0.149</v>
      </c>
    </row>
    <row r="5">
      <c r="A5" t="inlineStr">
        <is>
          <t>Total</t>
        </is>
      </c>
      <c r="B5" t="inlineStr">
        <is>
          <t>Formulado</t>
        </is>
      </c>
      <c r="C5" t="inlineStr">
        <is>
          <t>Formulado</t>
        </is>
      </c>
      <c r="D5" t="inlineStr">
        <is>
          <t>Formulado</t>
        </is>
      </c>
      <c r="E5" s="7">
        <f>SUBTOTAL(9,E3:E4)</f>
        <v/>
      </c>
      <c r="F5" s="8" t="inlineStr">
        <is>
          <t>100%</t>
        </is>
      </c>
      <c r="G5" s="9">
        <f>SUMPRODUCT($F$3:$F$4,$G$3:$G$4)</f>
        <v/>
      </c>
      <c r="H5" s="9">
        <f>SUMPRODUCT($F$3:$F$4,$H$3:$H$4)</f>
        <v/>
      </c>
      <c r="I5" s="9">
        <f>SUMPRODUCT($F$3:$F$4,$I$3:$I$4)</f>
        <v/>
      </c>
      <c r="J5" s="9">
        <f>SUMPRODUCT($F$3:$F$4,$J$3:$J$4)</f>
        <v/>
      </c>
      <c r="K5" s="9">
        <f>SUMPRODUCT($F$3:$F$4,$K$3:$K$4)</f>
        <v/>
      </c>
      <c r="L5" s="9">
        <f>SUMPRODUCT($F$3:$F$4,$L$3:$L$4)</f>
        <v/>
      </c>
    </row>
  </sheetData>
  <mergeCells count="3">
    <mergeCell ref="A1:F1"/>
    <mergeCell ref="L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Nutriente</t>
        </is>
      </c>
      <c r="B1" s="4" t="inlineStr">
        <is>
          <t>Total</t>
        </is>
      </c>
      <c r="C1" s="4" t="inlineStr">
        <is>
          <t>Unidad</t>
        </is>
      </c>
    </row>
    <row r="2">
      <c r="A2" t="inlineStr">
        <is>
          <t>Water</t>
        </is>
      </c>
      <c r="B2">
        <f>Ingredientes!G5</f>
        <v/>
      </c>
      <c r="C2" t="inlineStr">
        <is>
          <t>g</t>
        </is>
      </c>
    </row>
    <row r="3">
      <c r="A3" t="inlineStr">
        <is>
          <t>Energy</t>
        </is>
      </c>
      <c r="B3">
        <f>Ingredientes!H5</f>
        <v/>
      </c>
      <c r="C3" t="inlineStr">
        <is>
          <t>kcal</t>
        </is>
      </c>
    </row>
    <row r="4">
      <c r="A4" t="inlineStr">
        <is>
          <t>Protein</t>
        </is>
      </c>
      <c r="B4">
        <f>Ingredientes!I5</f>
        <v/>
      </c>
      <c r="C4" t="inlineStr">
        <is>
          <t>g</t>
        </is>
      </c>
    </row>
    <row r="5">
      <c r="A5" t="inlineStr">
        <is>
          <t>Total lipid (fat)</t>
        </is>
      </c>
      <c r="B5">
        <f>Ingredientes!J5</f>
        <v/>
      </c>
      <c r="C5" t="inlineStr">
        <is>
          <t>g</t>
        </is>
      </c>
    </row>
    <row r="6">
      <c r="A6" t="inlineStr">
        <is>
          <t>Carbohydrate, by difference</t>
        </is>
      </c>
      <c r="B6">
        <f>Ingredientes!K5</f>
        <v/>
      </c>
      <c r="C6" t="inlineStr">
        <is>
          <t>g</t>
        </is>
      </c>
    </row>
    <row r="7">
      <c r="A7" t="inlineStr">
        <is>
          <t>Fiber, total dietary</t>
        </is>
      </c>
      <c r="B7">
        <f>Ingredientes!L5</f>
        <v/>
      </c>
      <c r="C7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2026-01-04T21:47:56Z</dcterms:created>
  <dcterms:modified xsi:type="dcterms:W3CDTF">2026-01-04T21:47:56Z</dcterms:modified>
</cp:coreProperties>
</file>