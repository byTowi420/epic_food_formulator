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saves/"/>
    </mc:Choice>
  </mc:AlternateContent>
  <xr:revisionPtr revIDLastSave="2" documentId="11_E9D18EE3F01C551ED55EE6B4205BDA163643B85A" xr6:coauthVersionLast="47" xr6:coauthVersionMax="47" xr10:uidLastSave="{5DF5C621-A20D-4BCF-ABF6-5845A282D07B}"/>
  <bookViews>
    <workbookView xWindow="28680" yWindow="-120" windowWidth="29040" windowHeight="15720" xr2:uid="{00000000-000D-0000-FFFF-FFFF00000000}"/>
  </bookViews>
  <sheets>
    <sheet name="Ingredientes" sheetId="1" r:id="rId1"/>
    <sheet name="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F11" i="1"/>
  <c r="F10" i="1"/>
  <c r="F9" i="1"/>
  <c r="F8" i="1"/>
  <c r="F7" i="1"/>
  <c r="F6" i="1"/>
  <c r="F5" i="1"/>
  <c r="F4" i="1"/>
  <c r="F3" i="1"/>
  <c r="FL12" i="1" l="1"/>
  <c r="B163" i="2" s="1"/>
  <c r="I12" i="1"/>
  <c r="B4" i="2" s="1"/>
  <c r="Q12" i="1"/>
  <c r="B12" i="2" s="1"/>
  <c r="Y12" i="1"/>
  <c r="B20" i="2" s="1"/>
  <c r="AG12" i="1"/>
  <c r="B28" i="2" s="1"/>
  <c r="AO12" i="1"/>
  <c r="B36" i="2" s="1"/>
  <c r="AW12" i="1"/>
  <c r="B44" i="2" s="1"/>
  <c r="BE12" i="1"/>
  <c r="B52" i="2" s="1"/>
  <c r="BM12" i="1"/>
  <c r="B60" i="2" s="1"/>
  <c r="BU12" i="1"/>
  <c r="B68" i="2" s="1"/>
  <c r="CC12" i="1"/>
  <c r="B76" i="2" s="1"/>
  <c r="CK12" i="1"/>
  <c r="B84" i="2" s="1"/>
  <c r="CS12" i="1"/>
  <c r="B92" i="2" s="1"/>
  <c r="DA12" i="1"/>
  <c r="B100" i="2" s="1"/>
  <c r="DI12" i="1"/>
  <c r="B108" i="2" s="1"/>
  <c r="DQ12" i="1"/>
  <c r="B116" i="2" s="1"/>
  <c r="DY12" i="1"/>
  <c r="B124" i="2" s="1"/>
  <c r="EG12" i="1"/>
  <c r="B132" i="2" s="1"/>
  <c r="EO12" i="1"/>
  <c r="B140" i="2" s="1"/>
  <c r="EW12" i="1"/>
  <c r="B148" i="2" s="1"/>
  <c r="FE12" i="1"/>
  <c r="B156" i="2" s="1"/>
  <c r="FM12" i="1"/>
  <c r="B164" i="2" s="1"/>
  <c r="J12" i="1"/>
  <c r="B5" i="2" s="1"/>
  <c r="R12" i="1"/>
  <c r="B13" i="2" s="1"/>
  <c r="Z12" i="1"/>
  <c r="B21" i="2" s="1"/>
  <c r="AH12" i="1"/>
  <c r="B29" i="2" s="1"/>
  <c r="AP12" i="1"/>
  <c r="B37" i="2" s="1"/>
  <c r="AX12" i="1"/>
  <c r="B45" i="2" s="1"/>
  <c r="BF12" i="1"/>
  <c r="B53" i="2" s="1"/>
  <c r="BN12" i="1"/>
  <c r="B61" i="2" s="1"/>
  <c r="BV12" i="1"/>
  <c r="B69" i="2" s="1"/>
  <c r="CD12" i="1"/>
  <c r="B77" i="2" s="1"/>
  <c r="CL12" i="1"/>
  <c r="B85" i="2" s="1"/>
  <c r="CT12" i="1"/>
  <c r="B93" i="2" s="1"/>
  <c r="DB12" i="1"/>
  <c r="B101" i="2" s="1"/>
  <c r="DJ12" i="1"/>
  <c r="B109" i="2" s="1"/>
  <c r="DR12" i="1"/>
  <c r="B117" i="2" s="1"/>
  <c r="DZ12" i="1"/>
  <c r="B125" i="2" s="1"/>
  <c r="EH12" i="1"/>
  <c r="B133" i="2" s="1"/>
  <c r="EP12" i="1"/>
  <c r="B141" i="2" s="1"/>
  <c r="EX12" i="1"/>
  <c r="B149" i="2" s="1"/>
  <c r="FF12" i="1"/>
  <c r="B157" i="2" s="1"/>
  <c r="FN12" i="1"/>
  <c r="B165" i="2" s="1"/>
  <c r="K12" i="1"/>
  <c r="B6" i="2" s="1"/>
  <c r="S12" i="1"/>
  <c r="B14" i="2" s="1"/>
  <c r="AA12" i="1"/>
  <c r="B22" i="2" s="1"/>
  <c r="AI12" i="1"/>
  <c r="B30" i="2" s="1"/>
  <c r="AQ12" i="1"/>
  <c r="B38" i="2" s="1"/>
  <c r="AY12" i="1"/>
  <c r="B46" i="2" s="1"/>
  <c r="BG12" i="1"/>
  <c r="B54" i="2" s="1"/>
  <c r="BO12" i="1"/>
  <c r="B62" i="2" s="1"/>
  <c r="BW12" i="1"/>
  <c r="B70" i="2" s="1"/>
  <c r="CE12" i="1"/>
  <c r="B78" i="2" s="1"/>
  <c r="CM12" i="1"/>
  <c r="B86" i="2" s="1"/>
  <c r="CU12" i="1"/>
  <c r="B94" i="2" s="1"/>
  <c r="DC12" i="1"/>
  <c r="B102" i="2" s="1"/>
  <c r="DK12" i="1"/>
  <c r="B110" i="2" s="1"/>
  <c r="DS12" i="1"/>
  <c r="B118" i="2" s="1"/>
  <c r="EA12" i="1"/>
  <c r="B126" i="2" s="1"/>
  <c r="EI12" i="1"/>
  <c r="B134" i="2" s="1"/>
  <c r="EQ12" i="1"/>
  <c r="B142" i="2" s="1"/>
  <c r="EY12" i="1"/>
  <c r="B150" i="2" s="1"/>
  <c r="FG12" i="1"/>
  <c r="B158" i="2" s="1"/>
  <c r="FO12" i="1"/>
  <c r="B166" i="2" s="1"/>
  <c r="L12" i="1"/>
  <c r="B7" i="2" s="1"/>
  <c r="T12" i="1"/>
  <c r="B15" i="2" s="1"/>
  <c r="AB12" i="1"/>
  <c r="B23" i="2" s="1"/>
  <c r="AJ12" i="1"/>
  <c r="B31" i="2" s="1"/>
  <c r="AR12" i="1"/>
  <c r="B39" i="2" s="1"/>
  <c r="AZ12" i="1"/>
  <c r="B47" i="2" s="1"/>
  <c r="BH12" i="1"/>
  <c r="B55" i="2" s="1"/>
  <c r="BP12" i="1"/>
  <c r="B63" i="2" s="1"/>
  <c r="BX12" i="1"/>
  <c r="B71" i="2" s="1"/>
  <c r="CF12" i="1"/>
  <c r="B79" i="2" s="1"/>
  <c r="CN12" i="1"/>
  <c r="B87" i="2" s="1"/>
  <c r="CV12" i="1"/>
  <c r="B95" i="2" s="1"/>
  <c r="DD12" i="1"/>
  <c r="B103" i="2" s="1"/>
  <c r="DL12" i="1"/>
  <c r="B111" i="2" s="1"/>
  <c r="DT12" i="1"/>
  <c r="B119" i="2" s="1"/>
  <c r="EB12" i="1"/>
  <c r="B127" i="2" s="1"/>
  <c r="EJ12" i="1"/>
  <c r="B135" i="2" s="1"/>
  <c r="ER12" i="1"/>
  <c r="B143" i="2" s="1"/>
  <c r="EZ12" i="1"/>
  <c r="B151" i="2" s="1"/>
  <c r="FH12" i="1"/>
  <c r="B159" i="2" s="1"/>
  <c r="FP12" i="1"/>
  <c r="B167" i="2" s="1"/>
  <c r="M12" i="1"/>
  <c r="B8" i="2" s="1"/>
  <c r="U12" i="1"/>
  <c r="B16" i="2" s="1"/>
  <c r="AC12" i="1"/>
  <c r="B24" i="2" s="1"/>
  <c r="AK12" i="1"/>
  <c r="B32" i="2" s="1"/>
  <c r="AS12" i="1"/>
  <c r="B40" i="2" s="1"/>
  <c r="BA12" i="1"/>
  <c r="B48" i="2" s="1"/>
  <c r="BI12" i="1"/>
  <c r="B56" i="2" s="1"/>
  <c r="BQ12" i="1"/>
  <c r="B64" i="2" s="1"/>
  <c r="BY12" i="1"/>
  <c r="B72" i="2" s="1"/>
  <c r="CG12" i="1"/>
  <c r="B80" i="2" s="1"/>
  <c r="CO12" i="1"/>
  <c r="B88" i="2" s="1"/>
  <c r="CW12" i="1"/>
  <c r="B96" i="2" s="1"/>
  <c r="DE12" i="1"/>
  <c r="B104" i="2" s="1"/>
  <c r="DM12" i="1"/>
  <c r="B112" i="2" s="1"/>
  <c r="DU12" i="1"/>
  <c r="B120" i="2" s="1"/>
  <c r="EC12" i="1"/>
  <c r="B128" i="2" s="1"/>
  <c r="EK12" i="1"/>
  <c r="B136" i="2" s="1"/>
  <c r="ES12" i="1"/>
  <c r="B144" i="2" s="1"/>
  <c r="FA12" i="1"/>
  <c r="B152" i="2" s="1"/>
  <c r="FI12" i="1"/>
  <c r="B160" i="2" s="1"/>
  <c r="FQ12" i="1"/>
  <c r="B168" i="2" s="1"/>
  <c r="N12" i="1"/>
  <c r="B9" i="2" s="1"/>
  <c r="V12" i="1"/>
  <c r="B17" i="2" s="1"/>
  <c r="AD12" i="1"/>
  <c r="B25" i="2" s="1"/>
  <c r="AL12" i="1"/>
  <c r="B33" i="2" s="1"/>
  <c r="AT12" i="1"/>
  <c r="B41" i="2" s="1"/>
  <c r="BB12" i="1"/>
  <c r="B49" i="2" s="1"/>
  <c r="BJ12" i="1"/>
  <c r="B57" i="2" s="1"/>
  <c r="BR12" i="1"/>
  <c r="B65" i="2" s="1"/>
  <c r="BZ12" i="1"/>
  <c r="B73" i="2" s="1"/>
  <c r="CH12" i="1"/>
  <c r="B81" i="2" s="1"/>
  <c r="CP12" i="1"/>
  <c r="B89" i="2" s="1"/>
  <c r="CX12" i="1"/>
  <c r="B97" i="2" s="1"/>
  <c r="DF12" i="1"/>
  <c r="B105" i="2" s="1"/>
  <c r="DN12" i="1"/>
  <c r="B113" i="2" s="1"/>
  <c r="DV12" i="1"/>
  <c r="B121" i="2" s="1"/>
  <c r="ED12" i="1"/>
  <c r="B129" i="2" s="1"/>
  <c r="EL12" i="1"/>
  <c r="B137" i="2" s="1"/>
  <c r="ET12" i="1"/>
  <c r="B145" i="2" s="1"/>
  <c r="FB12" i="1"/>
  <c r="B153" i="2" s="1"/>
  <c r="FJ12" i="1"/>
  <c r="B161" i="2" s="1"/>
  <c r="FR12" i="1"/>
  <c r="B169" i="2" s="1"/>
  <c r="G12" i="1"/>
  <c r="B2" i="2" s="1"/>
  <c r="O12" i="1"/>
  <c r="B10" i="2" s="1"/>
  <c r="W12" i="1"/>
  <c r="B18" i="2" s="1"/>
  <c r="AE12" i="1"/>
  <c r="B26" i="2" s="1"/>
  <c r="AM12" i="1"/>
  <c r="B34" i="2" s="1"/>
  <c r="AU12" i="1"/>
  <c r="B42" i="2" s="1"/>
  <c r="BC12" i="1"/>
  <c r="B50" i="2" s="1"/>
  <c r="BK12" i="1"/>
  <c r="B58" i="2" s="1"/>
  <c r="BS12" i="1"/>
  <c r="B66" i="2" s="1"/>
  <c r="CA12" i="1"/>
  <c r="B74" i="2" s="1"/>
  <c r="CI12" i="1"/>
  <c r="B82" i="2" s="1"/>
  <c r="CQ12" i="1"/>
  <c r="B90" i="2" s="1"/>
  <c r="CY12" i="1"/>
  <c r="B98" i="2" s="1"/>
  <c r="DG12" i="1"/>
  <c r="B106" i="2" s="1"/>
  <c r="DO12" i="1"/>
  <c r="B114" i="2" s="1"/>
  <c r="DW12" i="1"/>
  <c r="B122" i="2" s="1"/>
  <c r="EE12" i="1"/>
  <c r="B130" i="2" s="1"/>
  <c r="EM12" i="1"/>
  <c r="B138" i="2" s="1"/>
  <c r="EU12" i="1"/>
  <c r="B146" i="2" s="1"/>
  <c r="FC12" i="1"/>
  <c r="B154" i="2" s="1"/>
  <c r="FK12" i="1"/>
  <c r="B162" i="2" s="1"/>
  <c r="FS12" i="1"/>
  <c r="B170" i="2" s="1"/>
  <c r="H12" i="1"/>
  <c r="B3" i="2" s="1"/>
  <c r="P12" i="1"/>
  <c r="B11" i="2" s="1"/>
  <c r="X12" i="1"/>
  <c r="B19" i="2" s="1"/>
  <c r="AF12" i="1"/>
  <c r="B27" i="2" s="1"/>
  <c r="AN12" i="1"/>
  <c r="B35" i="2" s="1"/>
  <c r="AV12" i="1"/>
  <c r="B43" i="2" s="1"/>
  <c r="BD12" i="1"/>
  <c r="B51" i="2" s="1"/>
  <c r="BL12" i="1"/>
  <c r="B59" i="2" s="1"/>
  <c r="BT12" i="1"/>
  <c r="B67" i="2" s="1"/>
  <c r="CB12" i="1"/>
  <c r="B75" i="2" s="1"/>
  <c r="CJ12" i="1"/>
  <c r="B83" i="2" s="1"/>
  <c r="CR12" i="1"/>
  <c r="B91" i="2" s="1"/>
  <c r="CZ12" i="1"/>
  <c r="B99" i="2" s="1"/>
  <c r="DH12" i="1"/>
  <c r="B107" i="2" s="1"/>
  <c r="DP12" i="1"/>
  <c r="B115" i="2" s="1"/>
  <c r="DX12" i="1"/>
  <c r="B123" i="2" s="1"/>
  <c r="EF12" i="1"/>
  <c r="B131" i="2" s="1"/>
  <c r="EN12" i="1"/>
  <c r="B139" i="2" s="1"/>
  <c r="EV12" i="1"/>
  <c r="B147" i="2" s="1"/>
  <c r="FD12" i="1"/>
  <c r="B155" i="2" s="1"/>
</calcChain>
</file>

<file path=xl/sharedStrings.xml><?xml version="1.0" encoding="utf-8"?>
<sst xmlns="http://schemas.openxmlformats.org/spreadsheetml/2006/main" count="549" uniqueCount="376">
  <si>
    <t>Detalles de formulación</t>
  </si>
  <si>
    <t>Proximates</t>
  </si>
  <si>
    <t>Carbohydrates</t>
  </si>
  <si>
    <t>Minerals</t>
  </si>
  <si>
    <t>Vitamins and Other Components</t>
  </si>
  <si>
    <t>Lipids</t>
  </si>
  <si>
    <t>Amino acids</t>
  </si>
  <si>
    <t>Nutrientes</t>
  </si>
  <si>
    <t>Phytosterols</t>
  </si>
  <si>
    <t>FDC ID</t>
  </si>
  <si>
    <t>Ingrediente</t>
  </si>
  <si>
    <t>Marca / Origen</t>
  </si>
  <si>
    <t>Tipo de dato</t>
  </si>
  <si>
    <t>Cantidad (g)</t>
  </si>
  <si>
    <t>Cantidad (%)</t>
  </si>
  <si>
    <t>Water (g)</t>
  </si>
  <si>
    <t>Energy (kcal)</t>
  </si>
  <si>
    <t>Energy (kJ)</t>
  </si>
  <si>
    <t>Energy (Atwater General Factors) (kcal)</t>
  </si>
  <si>
    <t>Energy (Atwater Specific Factors) (kcal)</t>
  </si>
  <si>
    <t>Nitrogen (g)</t>
  </si>
  <si>
    <t>Protein (g)</t>
  </si>
  <si>
    <t>Total fat (NLEA) (g)</t>
  </si>
  <si>
    <t>Total lipid (fat) (g)</t>
  </si>
  <si>
    <t>Ash (g)</t>
  </si>
  <si>
    <t>Carbohydrate, by difference (g)</t>
  </si>
  <si>
    <t>Fiber, total dietary (g)</t>
  </si>
  <si>
    <t>Sugars, Total (g)</t>
  </si>
  <si>
    <t>Sucrose (g)</t>
  </si>
  <si>
    <t>Glucose (g)</t>
  </si>
  <si>
    <t>Fructose (g)</t>
  </si>
  <si>
    <t>Lactose (g)</t>
  </si>
  <si>
    <t>Maltose (g)</t>
  </si>
  <si>
    <t>Galactose (g)</t>
  </si>
  <si>
    <t>Starch (g)</t>
  </si>
  <si>
    <t>Resistant starch (g)</t>
  </si>
  <si>
    <t>Calcium, Ca (mg)</t>
  </si>
  <si>
    <t>Iron, Fe (mg)</t>
  </si>
  <si>
    <t>Magnesium, Mg (mg)</t>
  </si>
  <si>
    <t>Phosphorus, P (mg)</t>
  </si>
  <si>
    <t>Potassium, K (mg)</t>
  </si>
  <si>
    <t>Sodium, Na (mg)</t>
  </si>
  <si>
    <t>Zinc, Zn (mg)</t>
  </si>
  <si>
    <t>Copper, Cu (mg)</t>
  </si>
  <si>
    <t>Manganese, Mn (mg)</t>
  </si>
  <si>
    <t>Iodine, I (µg)</t>
  </si>
  <si>
    <t>Selenium, Se (µg)</t>
  </si>
  <si>
    <t>Fluoride, F (µg)</t>
  </si>
  <si>
    <t>Vitamin C, total ascorbic acid (mg)</t>
  </si>
  <si>
    <t>Thiamin (mg)</t>
  </si>
  <si>
    <t>Riboflavin (mg)</t>
  </si>
  <si>
    <t>Niacin (mg)</t>
  </si>
  <si>
    <t>Pantothenic acid (mg)</t>
  </si>
  <si>
    <t>Vitamin B-6 (mg)</t>
  </si>
  <si>
    <t>Folate, total (µg)</t>
  </si>
  <si>
    <t>Folic acid (µg)</t>
  </si>
  <si>
    <t>Folate, food (µg)</t>
  </si>
  <si>
    <t>Folate, DFE (µg)</t>
  </si>
  <si>
    <t>Choline, total (mg)</t>
  </si>
  <si>
    <t>Choline, free (mg)</t>
  </si>
  <si>
    <t>Choline, from phosphocholine (mg)</t>
  </si>
  <si>
    <t>Choline, from phosphotidyl choline (mg)</t>
  </si>
  <si>
    <t>Choline, from glycerophosphocholine (mg)</t>
  </si>
  <si>
    <t>Choline, from sphingomyelin (mg)</t>
  </si>
  <si>
    <t>Betaine (mg)</t>
  </si>
  <si>
    <t>Vitamin B-12 (µg)</t>
  </si>
  <si>
    <t>Vitamin B-12, added (µg)</t>
  </si>
  <si>
    <t>Vitamin A, RAE (µg)</t>
  </si>
  <si>
    <t>Retinol (µg)</t>
  </si>
  <si>
    <t>Carotene, beta (µg)</t>
  </si>
  <si>
    <t>cis-beta-Carotene (µg)</t>
  </si>
  <si>
    <t>trans-beta-Carotene (µg)</t>
  </si>
  <si>
    <t>Carotene, alpha (µg)</t>
  </si>
  <si>
    <t>Cryptoxanthin, beta (µg)</t>
  </si>
  <si>
    <t>Cryptoxanthin, alpha (µg)</t>
  </si>
  <si>
    <t>Vitamin A, IU (IU)</t>
  </si>
  <si>
    <t>Lycopene (µg)</t>
  </si>
  <si>
    <t>cis-Lycopene (µg)</t>
  </si>
  <si>
    <t>trans-Lycopene (µg)</t>
  </si>
  <si>
    <t>Lutein + zeaxanthin (µg)</t>
  </si>
  <si>
    <t>cis-Lutein/Zeaxanthin (µg)</t>
  </si>
  <si>
    <t>Lutein (µg)</t>
  </si>
  <si>
    <t>Zeaxanthin (µg)</t>
  </si>
  <si>
    <t>Vitamin E (alpha-tocopherol) (mg)</t>
  </si>
  <si>
    <t>Vitamin E, added (mg)</t>
  </si>
  <si>
    <t>Tocopherol, beta (mg)</t>
  </si>
  <si>
    <t>Tocopherol, gamma (mg)</t>
  </si>
  <si>
    <t>Tocopherol, delta (mg)</t>
  </si>
  <si>
    <t>Tocotrienol, alpha (mg)</t>
  </si>
  <si>
    <t>Tocotrienol, beta (mg)</t>
  </si>
  <si>
    <t>Tocotrienol, gamma (mg)</t>
  </si>
  <si>
    <t>Tocotrienol, delta (mg)</t>
  </si>
  <si>
    <t>Vitamin D (D2 + D3), International Units (IU)</t>
  </si>
  <si>
    <t>Vitamin D (D2 + D3) (µg)</t>
  </si>
  <si>
    <t>Vitamin D2 (ergocalciferol) (µg)</t>
  </si>
  <si>
    <t>Vitamin D3 (cholecalciferol) (µg)</t>
  </si>
  <si>
    <t>25-hydroxycholecalciferol (µg)</t>
  </si>
  <si>
    <t>Vitamin K (phylloquinone) (µg)</t>
  </si>
  <si>
    <t>Vitamin K (Dihydrophylloquinone) (µg)</t>
  </si>
  <si>
    <t>Vitamin K (Menaquinone-4) (µg)</t>
  </si>
  <si>
    <t>Fatty acids, total saturated (g)</t>
  </si>
  <si>
    <t>SFA 4:0 (g)</t>
  </si>
  <si>
    <t>SFA 6:0 (g)</t>
  </si>
  <si>
    <t>SFA 8:0 (g)</t>
  </si>
  <si>
    <t>SFA 10:0 (g)</t>
  </si>
  <si>
    <t>SFA 12:0 (g)</t>
  </si>
  <si>
    <t>SFA 13:0 (g)</t>
  </si>
  <si>
    <t>SFA 14:0 (g)</t>
  </si>
  <si>
    <t>SFA 15:0 (g)</t>
  </si>
  <si>
    <t>SFA 16:0 (g)</t>
  </si>
  <si>
    <t>SFA 17:0 (g)</t>
  </si>
  <si>
    <t>SFA 18:0 (g)</t>
  </si>
  <si>
    <t>SFA 20:0 (g)</t>
  </si>
  <si>
    <t>SFA 21:0 (g)</t>
  </si>
  <si>
    <t>SFA 22:0 (g)</t>
  </si>
  <si>
    <t>SFA 24:0 (g)</t>
  </si>
  <si>
    <t>Fatty acids, total monounsaturated (g)</t>
  </si>
  <si>
    <t>MUFA 14:1 (g)</t>
  </si>
  <si>
    <t>MUFA 15:1 (g)</t>
  </si>
  <si>
    <t>MUFA 16:1 (g)</t>
  </si>
  <si>
    <t>MUFA 16:1 c (g)</t>
  </si>
  <si>
    <t>MUFA 17:1 (g)</t>
  </si>
  <si>
    <t>MUFA 18:1 (g)</t>
  </si>
  <si>
    <t>MUFA 18:1 c (g)</t>
  </si>
  <si>
    <t>MUFA 20:1 (g)</t>
  </si>
  <si>
    <t>MUFA 20:1 c (g)</t>
  </si>
  <si>
    <t>MUFA 22:1 (g)</t>
  </si>
  <si>
    <t>MUFA 24:1 c (g)</t>
  </si>
  <si>
    <t>Fatty acids, total polyunsaturated (g)</t>
  </si>
  <si>
    <t>PUFA 18:2 (g)</t>
  </si>
  <si>
    <t>PUFA 18:2 c (g)</t>
  </si>
  <si>
    <t>PUFA 18:2 n-6 c,c (g)</t>
  </si>
  <si>
    <t>PUFA 18:3 (g)</t>
  </si>
  <si>
    <t>PUFA 18:3 c (g)</t>
  </si>
  <si>
    <t>PUFA 18:3 n-3 c,c,c (ALA) (g)</t>
  </si>
  <si>
    <t>PUFA 18:3 n-6 c,c,c (g)</t>
  </si>
  <si>
    <t>PUFA 18:4 (g)</t>
  </si>
  <si>
    <t>PUFA 20:2 n-6 c,c (g)</t>
  </si>
  <si>
    <t>PUFA 20:3 (g)</t>
  </si>
  <si>
    <t>PUFA 20:3 c (g)</t>
  </si>
  <si>
    <t>PUFA 20:3 n-6 (g)</t>
  </si>
  <si>
    <t>PUFA 20:4 (g)</t>
  </si>
  <si>
    <t>PUFA 20:5 n-3 (EPA) (g)</t>
  </si>
  <si>
    <t>PUFA 22:5 n-3 (DPA) (g)</t>
  </si>
  <si>
    <t>PUFA 22:6 n-3 (DHA) (g)</t>
  </si>
  <si>
    <t>Fatty acids, total trans (g)</t>
  </si>
  <si>
    <t>Fatty acids, total trans-monoenoic (g)</t>
  </si>
  <si>
    <t>TFA 18:1 t (g)</t>
  </si>
  <si>
    <t>TFA 18:2 t,t (g)</t>
  </si>
  <si>
    <t>Fatty acids, total trans-polyenoic (g)</t>
  </si>
  <si>
    <t>Cholesterol (mg)</t>
  </si>
  <si>
    <t>Phytosterols (mg)</t>
  </si>
  <si>
    <t>Tryptophan (g)</t>
  </si>
  <si>
    <t>Threonine (g)</t>
  </si>
  <si>
    <t>Isoleucine (g)</t>
  </si>
  <si>
    <t>Leucine (g)</t>
  </si>
  <si>
    <t>Lysine (g)</t>
  </si>
  <si>
    <t>Methionine (g)</t>
  </si>
  <si>
    <t>Cystine (g)</t>
  </si>
  <si>
    <t>Phenylalanine (g)</t>
  </si>
  <si>
    <t>Tyrosine (g)</t>
  </si>
  <si>
    <t>Valine (g)</t>
  </si>
  <si>
    <t>Arginine (g)</t>
  </si>
  <si>
    <t>Histidine (g)</t>
  </si>
  <si>
    <t>Alanine (g)</t>
  </si>
  <si>
    <t>Aspartic acid (g)</t>
  </si>
  <si>
    <t>Glutamic acid (g)</t>
  </si>
  <si>
    <t>Glycine (g)</t>
  </si>
  <si>
    <t>Proline (g)</t>
  </si>
  <si>
    <t>Serine (g)</t>
  </si>
  <si>
    <t>Hydroxyproline (g)</t>
  </si>
  <si>
    <t>Cysteine (g)</t>
  </si>
  <si>
    <t>Alcohol, ethyl (g)</t>
  </si>
  <si>
    <t>Caffeine (mg)</t>
  </si>
  <si>
    <t>Theobromine (mg)</t>
  </si>
  <si>
    <t>Sugars, added (g)</t>
  </si>
  <si>
    <t>Stigmasterol (mg)</t>
  </si>
  <si>
    <t>Campesterol (mg)</t>
  </si>
  <si>
    <t>Brassicasterol (mg)</t>
  </si>
  <si>
    <t>Beta-sitosterol (mg)</t>
  </si>
  <si>
    <t>Campestanol (mg)</t>
  </si>
  <si>
    <t>Beta-sitostanol (mg)</t>
  </si>
  <si>
    <t>Delta-5-avenasterol (mg)</t>
  </si>
  <si>
    <t>Phytosterols, other (mg)</t>
  </si>
  <si>
    <t>Eggs, Grade A, Large, egg whole</t>
  </si>
  <si>
    <t>Foundation</t>
  </si>
  <si>
    <t>Water, bottled, generic</t>
  </si>
  <si>
    <t>SR Legacy</t>
  </si>
  <si>
    <t>Spices, cinnamon, ground</t>
  </si>
  <si>
    <t>Oil, canola</t>
  </si>
  <si>
    <t>Oil, soybean</t>
  </si>
  <si>
    <t>Salt, table</t>
  </si>
  <si>
    <t>Lentils, dry</t>
  </si>
  <si>
    <t>Cookie, chocolate sandwich</t>
  </si>
  <si>
    <t>Survey (FNDDS)</t>
  </si>
  <si>
    <t>Pringles Crisps Bbq 16.9oz</t>
  </si>
  <si>
    <t>Kellogg Company US</t>
  </si>
  <si>
    <t>Branded</t>
  </si>
  <si>
    <t>Total</t>
  </si>
  <si>
    <t>Formulado</t>
  </si>
  <si>
    <t>100%</t>
  </si>
  <si>
    <t>Nutriente</t>
  </si>
  <si>
    <t>Unidad</t>
  </si>
  <si>
    <t>Water</t>
  </si>
  <si>
    <t>g</t>
  </si>
  <si>
    <t>Energy</t>
  </si>
  <si>
    <t>kcal</t>
  </si>
  <si>
    <t>kJ</t>
  </si>
  <si>
    <t>Energy (Atwater General Factors)</t>
  </si>
  <si>
    <t>Energy (Atwater Specific Factors)</t>
  </si>
  <si>
    <t>Nitrogen</t>
  </si>
  <si>
    <t>Protein</t>
  </si>
  <si>
    <t>Total fat (NLEA)</t>
  </si>
  <si>
    <t>Total lipid (fat)</t>
  </si>
  <si>
    <t>Ash</t>
  </si>
  <si>
    <t>Carbohydrate, by difference</t>
  </si>
  <si>
    <t>Fiber, total dietary</t>
  </si>
  <si>
    <t>Sugars, Total</t>
  </si>
  <si>
    <t>Sucrose</t>
  </si>
  <si>
    <t>Glucose</t>
  </si>
  <si>
    <t>Fructose</t>
  </si>
  <si>
    <t>Lactose</t>
  </si>
  <si>
    <t>Maltose</t>
  </si>
  <si>
    <t>Galactose</t>
  </si>
  <si>
    <t>Starch</t>
  </si>
  <si>
    <t>Resistant starch</t>
  </si>
  <si>
    <t>Calcium, Ca</t>
  </si>
  <si>
    <t>mg</t>
  </si>
  <si>
    <t>Iron, Fe</t>
  </si>
  <si>
    <t>Magnesium, Mg</t>
  </si>
  <si>
    <t>Phosphorus, P</t>
  </si>
  <si>
    <t>Potassium, K</t>
  </si>
  <si>
    <t>Sodium, Na</t>
  </si>
  <si>
    <t>Zinc, Zn</t>
  </si>
  <si>
    <t>Copper, Cu</t>
  </si>
  <si>
    <t>Manganese, Mn</t>
  </si>
  <si>
    <t>Iodine, I</t>
  </si>
  <si>
    <t>µg</t>
  </si>
  <si>
    <t>Selenium, Se</t>
  </si>
  <si>
    <t>Fluoride, F</t>
  </si>
  <si>
    <t>Vitamin C, total ascorbic acid</t>
  </si>
  <si>
    <t>Thiamin</t>
  </si>
  <si>
    <t>Riboflavin</t>
  </si>
  <si>
    <t>Niacin</t>
  </si>
  <si>
    <t>Pantothenic acid</t>
  </si>
  <si>
    <t>Vitamin B-6</t>
  </si>
  <si>
    <t>Folate, total</t>
  </si>
  <si>
    <t>Folic acid</t>
  </si>
  <si>
    <t>Folate, food</t>
  </si>
  <si>
    <t>Folate, DFE</t>
  </si>
  <si>
    <t>Choline, total</t>
  </si>
  <si>
    <t>Choline, free</t>
  </si>
  <si>
    <t>Choline, from phosphocholine</t>
  </si>
  <si>
    <t>Choline, from phosphotidyl choline</t>
  </si>
  <si>
    <t>Choline, from glycerophosphocholine</t>
  </si>
  <si>
    <t>Choline, from sphingomyelin</t>
  </si>
  <si>
    <t>Betaine</t>
  </si>
  <si>
    <t>Vitamin B-12</t>
  </si>
  <si>
    <t>Vitamin B-12, added</t>
  </si>
  <si>
    <t>Vitamin A, RAE</t>
  </si>
  <si>
    <t>Retinol</t>
  </si>
  <si>
    <t>Carotene, beta</t>
  </si>
  <si>
    <t>cis-beta-Carotene</t>
  </si>
  <si>
    <t>trans-beta-Carotene</t>
  </si>
  <si>
    <t>Carotene, alpha</t>
  </si>
  <si>
    <t>Cryptoxanthin, beta</t>
  </si>
  <si>
    <t>Cryptoxanthin, alpha</t>
  </si>
  <si>
    <t>Vitamin A, IU</t>
  </si>
  <si>
    <t>IU</t>
  </si>
  <si>
    <t>Lycopene</t>
  </si>
  <si>
    <t>cis-Lycopene</t>
  </si>
  <si>
    <t>trans-Lycopene</t>
  </si>
  <si>
    <t>Lutein + zeaxanthin</t>
  </si>
  <si>
    <t>cis-Lutein/Zeaxanthin</t>
  </si>
  <si>
    <t>Lutein</t>
  </si>
  <si>
    <t>Zeaxanthin</t>
  </si>
  <si>
    <t>Vitamin E (alpha-tocopherol)</t>
  </si>
  <si>
    <t>Vitamin E, added</t>
  </si>
  <si>
    <t>Tocopherol, beta</t>
  </si>
  <si>
    <t>Tocopherol, gamma</t>
  </si>
  <si>
    <t>Tocopherol, delta</t>
  </si>
  <si>
    <t>Tocotrienol, alpha</t>
  </si>
  <si>
    <t>Tocotrienol, beta</t>
  </si>
  <si>
    <t>Tocotrienol, gamma</t>
  </si>
  <si>
    <t>Tocotrienol, delta</t>
  </si>
  <si>
    <t>Vitamin D (D2 + D3), International Units</t>
  </si>
  <si>
    <t>Vitamin D (D2 + D3)</t>
  </si>
  <si>
    <t>Vitamin D2 (ergocalciferol)</t>
  </si>
  <si>
    <t>Vitamin D3 (cholecalciferol)</t>
  </si>
  <si>
    <t>25-hydroxycholecalciferol</t>
  </si>
  <si>
    <t>Vitamin K (phylloquinone)</t>
  </si>
  <si>
    <t>Vitamin K (Dihydrophylloquinone)</t>
  </si>
  <si>
    <t>Vitamin K (Menaquinone-4)</t>
  </si>
  <si>
    <t>Fatty acids, total saturated</t>
  </si>
  <si>
    <t>SFA 4:0</t>
  </si>
  <si>
    <t>SFA 6:0</t>
  </si>
  <si>
    <t>SFA 8:0</t>
  </si>
  <si>
    <t>SFA 10:0</t>
  </si>
  <si>
    <t>SFA 12:0</t>
  </si>
  <si>
    <t>SFA 13:0</t>
  </si>
  <si>
    <t>SFA 14:0</t>
  </si>
  <si>
    <t>SFA 15:0</t>
  </si>
  <si>
    <t>SFA 16:0</t>
  </si>
  <si>
    <t>SFA 17:0</t>
  </si>
  <si>
    <t>SFA 18:0</t>
  </si>
  <si>
    <t>SFA 20:0</t>
  </si>
  <si>
    <t>SFA 21:0</t>
  </si>
  <si>
    <t>SFA 22:0</t>
  </si>
  <si>
    <t>SFA 24:0</t>
  </si>
  <si>
    <t>Fatty acids, total monounsaturated</t>
  </si>
  <si>
    <t>MUFA 14:1</t>
  </si>
  <si>
    <t>MUFA 15:1</t>
  </si>
  <si>
    <t>MUFA 16:1</t>
  </si>
  <si>
    <t>MUFA 16:1 c</t>
  </si>
  <si>
    <t>MUFA 17:1</t>
  </si>
  <si>
    <t>MUFA 18:1</t>
  </si>
  <si>
    <t>MUFA 18:1 c</t>
  </si>
  <si>
    <t>MUFA 20:1</t>
  </si>
  <si>
    <t>MUFA 20:1 c</t>
  </si>
  <si>
    <t>MUFA 22:1</t>
  </si>
  <si>
    <t>MUFA 24:1 c</t>
  </si>
  <si>
    <t>Fatty acids, total polyunsaturated</t>
  </si>
  <si>
    <t>PUFA 18:2</t>
  </si>
  <si>
    <t>PUFA 18:2 c</t>
  </si>
  <si>
    <t>PUFA 18:2 n-6 c,c</t>
  </si>
  <si>
    <t>PUFA 18:3</t>
  </si>
  <si>
    <t>PUFA 18:3 c</t>
  </si>
  <si>
    <t>PUFA 18:3 n-3 c,c,c (ALA)</t>
  </si>
  <si>
    <t>PUFA 18:3 n-6 c,c,c</t>
  </si>
  <si>
    <t>PUFA 18:4</t>
  </si>
  <si>
    <t>PUFA 20:2 n-6 c,c</t>
  </si>
  <si>
    <t>PUFA 20:3</t>
  </si>
  <si>
    <t>PUFA 20:3 c</t>
  </si>
  <si>
    <t>PUFA 20:3 n-6</t>
  </si>
  <si>
    <t>PUFA 20:4</t>
  </si>
  <si>
    <t>PUFA 20:5 n-3 (EPA)</t>
  </si>
  <si>
    <t>PUFA 22:5 n-3 (DPA)</t>
  </si>
  <si>
    <t>PUFA 22:6 n-3 (DHA)</t>
  </si>
  <si>
    <t>Fatty acids, total trans</t>
  </si>
  <si>
    <t>Fatty acids, total trans-monoenoic</t>
  </si>
  <si>
    <t>TFA 18:1 t</t>
  </si>
  <si>
    <t>TFA 18:2 t,t</t>
  </si>
  <si>
    <t>Fatty acids, total trans-polyenoic</t>
  </si>
  <si>
    <t>Cholesterol</t>
  </si>
  <si>
    <t>Tryptophan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</si>
  <si>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</si>
  <si>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</si>
  <si>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</si>
  <si>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</si>
  <si>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</si>
  <si>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</si>
  <si>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</si>
  <si>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</si>
  <si>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</si>
  <si>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</si>
  <si>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</si>
  <si>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</si>
  <si>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</si>
  <si>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</si>
  <si>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</si>
  <si>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</si>
  <si>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</si>
  <si>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</si>
  <si>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</t>
  </si>
  <si>
    <t>Alcohol, ethyl</t>
  </si>
  <si>
    <t>Caffeine</t>
  </si>
  <si>
    <t>Theobromine</t>
  </si>
  <si>
    <t>Sugars, added</t>
  </si>
  <si>
    <t>Stigmasterol</t>
  </si>
  <si>
    <t>Campesterol</t>
  </si>
  <si>
    <t>Brassicasterol</t>
  </si>
  <si>
    <t>Beta-sitosterol</t>
  </si>
  <si>
    <t>Campestanol</t>
  </si>
  <si>
    <t>Beta-sitostanol</t>
  </si>
  <si>
    <t>Delta-5-avenasterol</t>
  </si>
  <si>
    <t>Phytosterols,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</si>
</sst>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6B8B7"/>
      </patternFill>
    </fill>
    <fill>
      <patternFill patternType="solid">
        <fgColor rgb="FFC4D79B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4DFE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4" fontId="0" fillId="5" borderId="0" xfId="0" applyNumberFormat="1" applyFill="1"/>
    <xf numFmtId="10" fontId="0" fillId="5" borderId="0" xfId="0" applyNumberFormat="1" applyFill="1"/>
    <xf numFmtId="0" fontId="0" fillId="5" borderId="0" xfId="0" applyFill="1"/>
    <xf numFmtId="0" fontId="0" fillId="4" borderId="0" xfId="0" applyFill="1" applyAlignment="1">
      <alignment horizontal="center" vertical="center"/>
    </xf>
    <xf numFmtId="0" fontId="0" fillId="0" borderId="0" xfId="0"/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12"/>
  <sheetViews>
    <sheetView tabSelected="1" workbookViewId="0">
      <pane xSplit="6" ySplit="2" topLeftCell="DF3" activePane="bottomRight" state="frozen"/>
      <selection pane="topRight"/>
      <selection pane="bottomLeft"/>
      <selection pane="bottomRight" activeCell="E12" sqref="E12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18" customWidth="1"/>
    <col min="4" max="4" width="14" customWidth="1"/>
    <col min="5" max="6" width="12" customWidth="1"/>
  </cols>
  <sheetData>
    <row r="1" spans="1:175" x14ac:dyDescent="0.3">
      <c r="A1" s="18" t="s">
        <v>0</v>
      </c>
      <c r="B1" s="14"/>
      <c r="C1" s="14"/>
      <c r="D1" s="14"/>
      <c r="E1" s="14"/>
      <c r="F1" s="14"/>
      <c r="G1" s="20" t="s">
        <v>1</v>
      </c>
      <c r="H1" s="14"/>
      <c r="I1" s="14"/>
      <c r="J1" s="14"/>
      <c r="K1" s="14"/>
      <c r="L1" s="14"/>
      <c r="M1" s="14"/>
      <c r="N1" s="14"/>
      <c r="O1" s="14"/>
      <c r="P1" s="14"/>
      <c r="Q1" s="17" t="s">
        <v>2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3" t="s">
        <v>3</v>
      </c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21" t="s">
        <v>4</v>
      </c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5" t="s">
        <v>5</v>
      </c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9" t="s">
        <v>6</v>
      </c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6" t="s">
        <v>7</v>
      </c>
      <c r="FL1" s="16" t="s">
        <v>8</v>
      </c>
      <c r="FM1" s="14"/>
      <c r="FN1" s="14"/>
      <c r="FO1" s="14"/>
      <c r="FP1" s="14"/>
      <c r="FQ1" s="14"/>
      <c r="FR1" s="14"/>
      <c r="FS1" s="14"/>
    </row>
    <row r="2" spans="1:175" x14ac:dyDescent="0.3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3" t="s">
        <v>36</v>
      </c>
      <c r="AC2" s="3" t="s">
        <v>37</v>
      </c>
      <c r="AD2" s="3" t="s">
        <v>38</v>
      </c>
      <c r="AE2" s="3" t="s">
        <v>39</v>
      </c>
      <c r="AF2" s="3" t="s">
        <v>40</v>
      </c>
      <c r="AG2" s="3" t="s">
        <v>41</v>
      </c>
      <c r="AH2" s="3" t="s">
        <v>42</v>
      </c>
      <c r="AI2" s="3" t="s">
        <v>43</v>
      </c>
      <c r="AJ2" s="3" t="s">
        <v>44</v>
      </c>
      <c r="AK2" s="3" t="s">
        <v>45</v>
      </c>
      <c r="AL2" s="3" t="s">
        <v>46</v>
      </c>
      <c r="AM2" s="3" t="s">
        <v>47</v>
      </c>
      <c r="AN2" s="4" t="s">
        <v>48</v>
      </c>
      <c r="AO2" s="4" t="s">
        <v>49</v>
      </c>
      <c r="AP2" s="4" t="s">
        <v>50</v>
      </c>
      <c r="AQ2" s="4" t="s">
        <v>51</v>
      </c>
      <c r="AR2" s="4" t="s">
        <v>52</v>
      </c>
      <c r="AS2" s="4" t="s">
        <v>53</v>
      </c>
      <c r="AT2" s="4" t="s">
        <v>54</v>
      </c>
      <c r="AU2" s="4" t="s">
        <v>55</v>
      </c>
      <c r="AV2" s="4" t="s">
        <v>56</v>
      </c>
      <c r="AW2" s="4" t="s">
        <v>57</v>
      </c>
      <c r="AX2" s="4" t="s">
        <v>58</v>
      </c>
      <c r="AY2" s="4" t="s">
        <v>59</v>
      </c>
      <c r="AZ2" s="4" t="s">
        <v>60</v>
      </c>
      <c r="BA2" s="4" t="s">
        <v>61</v>
      </c>
      <c r="BB2" s="4" t="s">
        <v>62</v>
      </c>
      <c r="BC2" s="4" t="s">
        <v>63</v>
      </c>
      <c r="BD2" s="4" t="s">
        <v>64</v>
      </c>
      <c r="BE2" s="4" t="s">
        <v>65</v>
      </c>
      <c r="BF2" s="4" t="s">
        <v>66</v>
      </c>
      <c r="BG2" s="4" t="s">
        <v>67</v>
      </c>
      <c r="BH2" s="4" t="s">
        <v>68</v>
      </c>
      <c r="BI2" s="4" t="s">
        <v>69</v>
      </c>
      <c r="BJ2" s="4" t="s">
        <v>70</v>
      </c>
      <c r="BK2" s="4" t="s">
        <v>71</v>
      </c>
      <c r="BL2" s="4" t="s">
        <v>72</v>
      </c>
      <c r="BM2" s="4" t="s">
        <v>73</v>
      </c>
      <c r="BN2" s="4" t="s">
        <v>74</v>
      </c>
      <c r="BO2" s="4" t="s">
        <v>75</v>
      </c>
      <c r="BP2" s="4" t="s">
        <v>76</v>
      </c>
      <c r="BQ2" s="4" t="s">
        <v>77</v>
      </c>
      <c r="BR2" s="4" t="s">
        <v>78</v>
      </c>
      <c r="BS2" s="4" t="s">
        <v>79</v>
      </c>
      <c r="BT2" s="4" t="s">
        <v>80</v>
      </c>
      <c r="BU2" s="4" t="s">
        <v>81</v>
      </c>
      <c r="BV2" s="4" t="s">
        <v>82</v>
      </c>
      <c r="BW2" s="4" t="s">
        <v>83</v>
      </c>
      <c r="BX2" s="4" t="s">
        <v>84</v>
      </c>
      <c r="BY2" s="4" t="s">
        <v>85</v>
      </c>
      <c r="BZ2" s="4" t="s">
        <v>86</v>
      </c>
      <c r="CA2" s="4" t="s">
        <v>87</v>
      </c>
      <c r="CB2" s="4" t="s">
        <v>88</v>
      </c>
      <c r="CC2" s="4" t="s">
        <v>89</v>
      </c>
      <c r="CD2" s="4" t="s">
        <v>90</v>
      </c>
      <c r="CE2" s="4" t="s">
        <v>91</v>
      </c>
      <c r="CF2" s="4" t="s">
        <v>92</v>
      </c>
      <c r="CG2" s="4" t="s">
        <v>93</v>
      </c>
      <c r="CH2" s="4" t="s">
        <v>94</v>
      </c>
      <c r="CI2" s="4" t="s">
        <v>95</v>
      </c>
      <c r="CJ2" s="4" t="s">
        <v>96</v>
      </c>
      <c r="CK2" s="4" t="s">
        <v>97</v>
      </c>
      <c r="CL2" s="4" t="s">
        <v>98</v>
      </c>
      <c r="CM2" s="4" t="s">
        <v>99</v>
      </c>
      <c r="CN2" s="5" t="s">
        <v>100</v>
      </c>
      <c r="CO2" s="5" t="s">
        <v>101</v>
      </c>
      <c r="CP2" s="5" t="s">
        <v>102</v>
      </c>
      <c r="CQ2" s="5" t="s">
        <v>103</v>
      </c>
      <c r="CR2" s="5" t="s">
        <v>104</v>
      </c>
      <c r="CS2" s="5" t="s">
        <v>105</v>
      </c>
      <c r="CT2" s="5" t="s">
        <v>106</v>
      </c>
      <c r="CU2" s="5" t="s">
        <v>107</v>
      </c>
      <c r="CV2" s="5" t="s">
        <v>108</v>
      </c>
      <c r="CW2" s="5" t="s">
        <v>109</v>
      </c>
      <c r="CX2" s="5" t="s">
        <v>110</v>
      </c>
      <c r="CY2" s="5" t="s">
        <v>111</v>
      </c>
      <c r="CZ2" s="5" t="s">
        <v>112</v>
      </c>
      <c r="DA2" s="5" t="s">
        <v>113</v>
      </c>
      <c r="DB2" s="5" t="s">
        <v>114</v>
      </c>
      <c r="DC2" s="5" t="s">
        <v>115</v>
      </c>
      <c r="DD2" s="5" t="s">
        <v>116</v>
      </c>
      <c r="DE2" s="5" t="s">
        <v>117</v>
      </c>
      <c r="DF2" s="5" t="s">
        <v>118</v>
      </c>
      <c r="DG2" s="5" t="s">
        <v>119</v>
      </c>
      <c r="DH2" s="5" t="s">
        <v>120</v>
      </c>
      <c r="DI2" s="5" t="s">
        <v>121</v>
      </c>
      <c r="DJ2" s="5" t="s">
        <v>122</v>
      </c>
      <c r="DK2" s="5" t="s">
        <v>123</v>
      </c>
      <c r="DL2" s="5" t="s">
        <v>124</v>
      </c>
      <c r="DM2" s="5" t="s">
        <v>125</v>
      </c>
      <c r="DN2" s="5" t="s">
        <v>126</v>
      </c>
      <c r="DO2" s="5" t="s">
        <v>127</v>
      </c>
      <c r="DP2" s="5" t="s">
        <v>128</v>
      </c>
      <c r="DQ2" s="5" t="s">
        <v>129</v>
      </c>
      <c r="DR2" s="5" t="s">
        <v>130</v>
      </c>
      <c r="DS2" s="5" t="s">
        <v>131</v>
      </c>
      <c r="DT2" s="5" t="s">
        <v>132</v>
      </c>
      <c r="DU2" s="5" t="s">
        <v>133</v>
      </c>
      <c r="DV2" s="5" t="s">
        <v>134</v>
      </c>
      <c r="DW2" s="5" t="s">
        <v>135</v>
      </c>
      <c r="DX2" s="5" t="s">
        <v>136</v>
      </c>
      <c r="DY2" s="5" t="s">
        <v>137</v>
      </c>
      <c r="DZ2" s="5" t="s">
        <v>138</v>
      </c>
      <c r="EA2" s="5" t="s">
        <v>139</v>
      </c>
      <c r="EB2" s="5" t="s">
        <v>140</v>
      </c>
      <c r="EC2" s="5" t="s">
        <v>141</v>
      </c>
      <c r="ED2" s="5" t="s">
        <v>142</v>
      </c>
      <c r="EE2" s="5" t="s">
        <v>143</v>
      </c>
      <c r="EF2" s="5" t="s">
        <v>144</v>
      </c>
      <c r="EG2" s="5" t="s">
        <v>145</v>
      </c>
      <c r="EH2" s="5" t="s">
        <v>146</v>
      </c>
      <c r="EI2" s="5" t="s">
        <v>147</v>
      </c>
      <c r="EJ2" s="5" t="s">
        <v>148</v>
      </c>
      <c r="EK2" s="5" t="s">
        <v>149</v>
      </c>
      <c r="EL2" s="5" t="s">
        <v>150</v>
      </c>
      <c r="EM2" s="5" t="s">
        <v>151</v>
      </c>
      <c r="EN2" s="6" t="s">
        <v>152</v>
      </c>
      <c r="EO2" s="6" t="s">
        <v>153</v>
      </c>
      <c r="EP2" s="6" t="s">
        <v>154</v>
      </c>
      <c r="EQ2" s="6" t="s">
        <v>155</v>
      </c>
      <c r="ER2" s="6" t="s">
        <v>156</v>
      </c>
      <c r="ES2" s="6" t="s">
        <v>157</v>
      </c>
      <c r="ET2" s="6" t="s">
        <v>158</v>
      </c>
      <c r="EU2" s="6" t="s">
        <v>159</v>
      </c>
      <c r="EV2" s="6" t="s">
        <v>160</v>
      </c>
      <c r="EW2" s="6" t="s">
        <v>161</v>
      </c>
      <c r="EX2" s="6" t="s">
        <v>162</v>
      </c>
      <c r="EY2" s="6" t="s">
        <v>163</v>
      </c>
      <c r="EZ2" s="6" t="s">
        <v>164</v>
      </c>
      <c r="FA2" s="6" t="s">
        <v>165</v>
      </c>
      <c r="FB2" s="6" t="s">
        <v>166</v>
      </c>
      <c r="FC2" s="6" t="s">
        <v>167</v>
      </c>
      <c r="FD2" s="6" t="s">
        <v>168</v>
      </c>
      <c r="FE2" s="6" t="s">
        <v>169</v>
      </c>
      <c r="FF2" s="6" t="s">
        <v>170</v>
      </c>
      <c r="FG2" s="6" t="s">
        <v>171</v>
      </c>
      <c r="FH2" s="6" t="s">
        <v>172</v>
      </c>
      <c r="FI2" s="6" t="s">
        <v>173</v>
      </c>
      <c r="FJ2" s="6" t="s">
        <v>174</v>
      </c>
      <c r="FK2" s="7" t="s">
        <v>175</v>
      </c>
      <c r="FL2" s="7" t="s">
        <v>176</v>
      </c>
      <c r="FM2" s="7" t="s">
        <v>177</v>
      </c>
      <c r="FN2" s="7" t="s">
        <v>178</v>
      </c>
      <c r="FO2" s="7" t="s">
        <v>179</v>
      </c>
      <c r="FP2" s="7" t="s">
        <v>180</v>
      </c>
      <c r="FQ2" s="7" t="s">
        <v>181</v>
      </c>
      <c r="FR2" s="7" t="s">
        <v>182</v>
      </c>
      <c r="FS2" s="7" t="s">
        <v>183</v>
      </c>
    </row>
    <row r="3" spans="1:175" x14ac:dyDescent="0.3">
      <c r="A3">
        <v>748967</v>
      </c>
      <c r="B3" t="s">
        <v>184</v>
      </c>
      <c r="D3" t="s">
        <v>185</v>
      </c>
      <c r="E3" s="8">
        <v>150</v>
      </c>
      <c r="F3" s="9">
        <f t="shared" ref="F3:F11" si="0">E3/SUM($E$3:$E$11)</f>
        <v>0.35123059846970706</v>
      </c>
      <c r="G3">
        <v>75.8</v>
      </c>
      <c r="H3">
        <v>148</v>
      </c>
      <c r="I3">
        <v>617</v>
      </c>
      <c r="L3">
        <v>1.99</v>
      </c>
      <c r="M3">
        <v>12.4</v>
      </c>
      <c r="N3">
        <v>8.65</v>
      </c>
      <c r="O3">
        <v>9.9600000000000009</v>
      </c>
      <c r="P3">
        <v>0.85</v>
      </c>
      <c r="Q3">
        <v>0.96</v>
      </c>
      <c r="R3">
        <v>0</v>
      </c>
      <c r="S3">
        <v>0.2</v>
      </c>
      <c r="T3">
        <v>0</v>
      </c>
      <c r="U3">
        <v>0.2</v>
      </c>
      <c r="V3">
        <v>0</v>
      </c>
      <c r="W3">
        <v>0</v>
      </c>
      <c r="X3">
        <v>0</v>
      </c>
      <c r="Z3">
        <v>0</v>
      </c>
      <c r="AB3">
        <v>48</v>
      </c>
      <c r="AC3">
        <v>1.67</v>
      </c>
      <c r="AD3">
        <v>11.4</v>
      </c>
      <c r="AE3">
        <v>184</v>
      </c>
      <c r="AF3">
        <v>132</v>
      </c>
      <c r="AG3">
        <v>129</v>
      </c>
      <c r="AH3">
        <v>1.24</v>
      </c>
      <c r="AI3">
        <v>0</v>
      </c>
      <c r="AJ3">
        <v>0</v>
      </c>
      <c r="AK3">
        <v>49.1</v>
      </c>
      <c r="AL3">
        <v>31.1</v>
      </c>
      <c r="AO3">
        <v>7.6999999999999999E-2</v>
      </c>
      <c r="AP3">
        <v>0.41899999999999998</v>
      </c>
      <c r="AQ3">
        <v>0</v>
      </c>
      <c r="AS3">
        <v>6.3E-2</v>
      </c>
      <c r="AT3">
        <v>71</v>
      </c>
      <c r="AX3">
        <v>335</v>
      </c>
      <c r="AY3">
        <v>0.6</v>
      </c>
      <c r="AZ3">
        <v>309</v>
      </c>
      <c r="BA3">
        <v>0.2</v>
      </c>
      <c r="BB3">
        <v>0.2</v>
      </c>
      <c r="BC3">
        <v>25.1</v>
      </c>
      <c r="BD3">
        <v>0.3</v>
      </c>
      <c r="BE3">
        <v>1.02</v>
      </c>
      <c r="BG3">
        <v>180</v>
      </c>
      <c r="BH3">
        <v>179</v>
      </c>
      <c r="BI3">
        <v>0</v>
      </c>
      <c r="BJ3">
        <v>0</v>
      </c>
      <c r="BK3">
        <v>0</v>
      </c>
      <c r="BL3">
        <v>0</v>
      </c>
      <c r="BM3">
        <v>13</v>
      </c>
      <c r="BN3">
        <v>13</v>
      </c>
      <c r="BP3">
        <v>0</v>
      </c>
      <c r="BQ3">
        <v>0</v>
      </c>
      <c r="BR3">
        <v>0</v>
      </c>
      <c r="BT3">
        <v>57</v>
      </c>
      <c r="BU3">
        <v>230</v>
      </c>
      <c r="BV3">
        <v>229</v>
      </c>
      <c r="CF3">
        <v>98.4</v>
      </c>
      <c r="CG3">
        <v>2.46</v>
      </c>
      <c r="CH3">
        <v>0</v>
      </c>
      <c r="CI3">
        <v>2.46</v>
      </c>
      <c r="CJ3">
        <v>0.56000000000000005</v>
      </c>
      <c r="CN3">
        <v>3.2</v>
      </c>
      <c r="CU3">
        <v>3.2000000000000001E-2</v>
      </c>
      <c r="CW3">
        <v>2.3199999999999998</v>
      </c>
      <c r="CY3">
        <v>0.81299999999999994</v>
      </c>
      <c r="DD3">
        <v>3.63</v>
      </c>
      <c r="DH3">
        <v>0.23799999999999999</v>
      </c>
      <c r="DK3">
        <v>3.35</v>
      </c>
      <c r="DP3">
        <v>1.82</v>
      </c>
      <c r="DR3">
        <v>1.46</v>
      </c>
      <c r="DS3">
        <v>1.46</v>
      </c>
      <c r="DU3">
        <v>1.0999999999999999E-2</v>
      </c>
      <c r="DW3">
        <v>1.0999999999999999E-2</v>
      </c>
      <c r="EA3">
        <v>0.02</v>
      </c>
      <c r="EB3">
        <v>0.02</v>
      </c>
      <c r="EL3">
        <v>411</v>
      </c>
      <c r="EN3">
        <v>0.16600000000000001</v>
      </c>
      <c r="EO3">
        <v>0.59399999999999997</v>
      </c>
      <c r="EP3">
        <v>0.61599999999999999</v>
      </c>
      <c r="EQ3">
        <v>1.05</v>
      </c>
      <c r="ER3">
        <v>0.83199999999999996</v>
      </c>
      <c r="ES3">
        <v>0.41799999999999998</v>
      </c>
      <c r="EU3">
        <v>0.66</v>
      </c>
      <c r="EV3">
        <v>0.51200000000000001</v>
      </c>
      <c r="EW3">
        <v>0.73399999999999999</v>
      </c>
      <c r="EX3">
        <v>0.78700000000000003</v>
      </c>
      <c r="EY3">
        <v>0.28299999999999997</v>
      </c>
      <c r="EZ3">
        <v>0.66700000000000004</v>
      </c>
      <c r="FA3">
        <v>1.27</v>
      </c>
      <c r="FB3">
        <v>1.63</v>
      </c>
      <c r="FC3">
        <v>0.40799999999999997</v>
      </c>
      <c r="FD3">
        <v>0.56000000000000005</v>
      </c>
      <c r="FE3">
        <v>0.91900000000000004</v>
      </c>
      <c r="FF3">
        <v>0</v>
      </c>
      <c r="FG3">
        <v>0.38500000000000001</v>
      </c>
    </row>
    <row r="4" spans="1:175" x14ac:dyDescent="0.3">
      <c r="A4">
        <v>174158</v>
      </c>
      <c r="B4" t="s">
        <v>186</v>
      </c>
      <c r="D4" t="s">
        <v>187</v>
      </c>
      <c r="E4" s="8">
        <v>116.4730390055723</v>
      </c>
      <c r="F4" s="9">
        <f t="shared" si="0"/>
        <v>0.27272596797008464</v>
      </c>
      <c r="G4">
        <v>99.98</v>
      </c>
      <c r="H4">
        <v>0</v>
      </c>
      <c r="I4">
        <v>0</v>
      </c>
      <c r="M4">
        <v>0</v>
      </c>
      <c r="N4">
        <v>0</v>
      </c>
      <c r="O4">
        <v>0</v>
      </c>
      <c r="P4">
        <v>7.0000000000000007E-2</v>
      </c>
      <c r="Q4">
        <v>0</v>
      </c>
      <c r="R4">
        <v>0</v>
      </c>
      <c r="S4">
        <v>0</v>
      </c>
      <c r="AB4">
        <v>10</v>
      </c>
      <c r="AC4">
        <v>0</v>
      </c>
      <c r="AD4">
        <v>2</v>
      </c>
      <c r="AE4">
        <v>0</v>
      </c>
      <c r="AF4">
        <v>0</v>
      </c>
      <c r="AG4">
        <v>2</v>
      </c>
      <c r="AH4">
        <v>0</v>
      </c>
      <c r="AI4">
        <v>7.0000000000000001E-3</v>
      </c>
      <c r="AL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E4">
        <v>0</v>
      </c>
      <c r="BF4">
        <v>0</v>
      </c>
      <c r="BG4">
        <v>0</v>
      </c>
      <c r="BH4">
        <v>0</v>
      </c>
      <c r="BI4">
        <v>0</v>
      </c>
      <c r="BL4">
        <v>0</v>
      </c>
      <c r="BM4">
        <v>0</v>
      </c>
      <c r="BO4">
        <v>0</v>
      </c>
      <c r="BP4">
        <v>0</v>
      </c>
      <c r="BS4">
        <v>0</v>
      </c>
      <c r="BW4">
        <v>0</v>
      </c>
      <c r="BX4">
        <v>0</v>
      </c>
      <c r="CF4">
        <v>0</v>
      </c>
      <c r="CG4">
        <v>0</v>
      </c>
      <c r="CK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U4">
        <v>0</v>
      </c>
      <c r="CW4">
        <v>0</v>
      </c>
      <c r="CY4">
        <v>0</v>
      </c>
      <c r="DD4">
        <v>0</v>
      </c>
      <c r="DG4">
        <v>0</v>
      </c>
      <c r="DJ4">
        <v>0</v>
      </c>
      <c r="DL4">
        <v>0</v>
      </c>
      <c r="DN4">
        <v>0</v>
      </c>
      <c r="DP4">
        <v>0</v>
      </c>
      <c r="DQ4">
        <v>0</v>
      </c>
      <c r="DT4">
        <v>0</v>
      </c>
      <c r="DX4">
        <v>0</v>
      </c>
      <c r="EC4">
        <v>0</v>
      </c>
      <c r="ED4">
        <v>0</v>
      </c>
      <c r="EE4">
        <v>0</v>
      </c>
      <c r="EF4">
        <v>0</v>
      </c>
      <c r="EG4">
        <v>0</v>
      </c>
      <c r="EL4">
        <v>0</v>
      </c>
      <c r="FH4">
        <v>0</v>
      </c>
      <c r="FI4">
        <v>0</v>
      </c>
      <c r="FJ4">
        <v>0</v>
      </c>
    </row>
    <row r="5" spans="1:175" x14ac:dyDescent="0.3">
      <c r="A5">
        <v>171320</v>
      </c>
      <c r="B5" t="s">
        <v>188</v>
      </c>
      <c r="D5" t="s">
        <v>187</v>
      </c>
      <c r="E5" s="8">
        <v>39.666666666666693</v>
      </c>
      <c r="F5" s="9">
        <f t="shared" si="0"/>
        <v>9.2880980484211478E-2</v>
      </c>
      <c r="G5">
        <v>10.58</v>
      </c>
      <c r="H5">
        <v>247</v>
      </c>
      <c r="I5">
        <v>1035</v>
      </c>
      <c r="M5">
        <v>3.99</v>
      </c>
      <c r="N5">
        <v>1.24</v>
      </c>
      <c r="O5">
        <v>1.24</v>
      </c>
      <c r="P5">
        <v>3.6</v>
      </c>
      <c r="Q5">
        <v>80.59</v>
      </c>
      <c r="R5">
        <v>53.1</v>
      </c>
      <c r="S5">
        <v>2.17</v>
      </c>
      <c r="T5">
        <v>0.02</v>
      </c>
      <c r="U5">
        <v>1.04</v>
      </c>
      <c r="V5">
        <v>1.1100000000000001</v>
      </c>
      <c r="W5">
        <v>0</v>
      </c>
      <c r="X5">
        <v>0</v>
      </c>
      <c r="Y5">
        <v>0</v>
      </c>
      <c r="AB5">
        <v>1002</v>
      </c>
      <c r="AC5">
        <v>8.32</v>
      </c>
      <c r="AD5">
        <v>60</v>
      </c>
      <c r="AE5">
        <v>64</v>
      </c>
      <c r="AF5">
        <v>431</v>
      </c>
      <c r="AG5">
        <v>10</v>
      </c>
      <c r="AH5">
        <v>1.83</v>
      </c>
      <c r="AI5">
        <v>0.33900000000000002</v>
      </c>
      <c r="AJ5">
        <v>17.466000000000001</v>
      </c>
      <c r="AL5">
        <v>3.1</v>
      </c>
      <c r="AN5">
        <v>3.8</v>
      </c>
      <c r="AO5">
        <v>2.1999999999999999E-2</v>
      </c>
      <c r="AP5">
        <v>4.1000000000000002E-2</v>
      </c>
      <c r="AQ5">
        <v>1.3320000000000001</v>
      </c>
      <c r="AR5">
        <v>0.35799999999999998</v>
      </c>
      <c r="AS5">
        <v>0.158</v>
      </c>
      <c r="AT5">
        <v>6</v>
      </c>
      <c r="AU5">
        <v>0</v>
      </c>
      <c r="AV5">
        <v>6</v>
      </c>
      <c r="AW5">
        <v>6</v>
      </c>
      <c r="AX5">
        <v>11</v>
      </c>
      <c r="BD5">
        <v>3.9</v>
      </c>
      <c r="BE5">
        <v>0</v>
      </c>
      <c r="BF5">
        <v>0</v>
      </c>
      <c r="BG5">
        <v>15</v>
      </c>
      <c r="BH5">
        <v>0</v>
      </c>
      <c r="BI5">
        <v>112</v>
      </c>
      <c r="BL5">
        <v>1</v>
      </c>
      <c r="BM5">
        <v>129</v>
      </c>
      <c r="BO5">
        <v>295</v>
      </c>
      <c r="BP5">
        <v>15</v>
      </c>
      <c r="BS5">
        <v>222</v>
      </c>
      <c r="BW5">
        <v>2.3199999999999998</v>
      </c>
      <c r="BX5">
        <v>0</v>
      </c>
      <c r="BY5">
        <v>0</v>
      </c>
      <c r="BZ5">
        <v>10.44</v>
      </c>
      <c r="CA5">
        <v>0.26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K5">
        <v>31.2</v>
      </c>
      <c r="CL5">
        <v>0</v>
      </c>
      <c r="CN5">
        <v>0.34499999999999997</v>
      </c>
      <c r="CO5">
        <v>0</v>
      </c>
      <c r="CP5">
        <v>0</v>
      </c>
      <c r="CQ5">
        <v>0</v>
      </c>
      <c r="CR5">
        <v>3.0000000000000001E-3</v>
      </c>
      <c r="CS5">
        <v>6.0000000000000001E-3</v>
      </c>
      <c r="CT5">
        <v>0</v>
      </c>
      <c r="CU5">
        <v>8.9999999999999993E-3</v>
      </c>
      <c r="CV5">
        <v>0</v>
      </c>
      <c r="CW5">
        <v>0.104</v>
      </c>
      <c r="CX5">
        <v>0.13600000000000001</v>
      </c>
      <c r="CY5">
        <v>8.2000000000000003E-2</v>
      </c>
      <c r="CZ5">
        <v>0</v>
      </c>
      <c r="DB5">
        <v>0</v>
      </c>
      <c r="DC5">
        <v>0</v>
      </c>
      <c r="DD5">
        <v>0.246</v>
      </c>
      <c r="DE5">
        <v>0</v>
      </c>
      <c r="DF5">
        <v>0</v>
      </c>
      <c r="DG5">
        <v>1E-3</v>
      </c>
      <c r="DI5">
        <v>0</v>
      </c>
      <c r="DJ5">
        <v>0.246</v>
      </c>
      <c r="DK5">
        <v>0.246</v>
      </c>
      <c r="DL5">
        <v>0</v>
      </c>
      <c r="DN5">
        <v>0</v>
      </c>
      <c r="DO5">
        <v>0</v>
      </c>
      <c r="DP5">
        <v>6.8000000000000005E-2</v>
      </c>
      <c r="DQ5">
        <v>4.3999999999999997E-2</v>
      </c>
      <c r="DT5">
        <v>1.0999999999999999E-2</v>
      </c>
      <c r="DV5">
        <v>1.0999999999999999E-2</v>
      </c>
      <c r="DW5">
        <v>0</v>
      </c>
      <c r="DX5">
        <v>0</v>
      </c>
      <c r="DY5">
        <v>0</v>
      </c>
      <c r="DZ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L5">
        <v>0</v>
      </c>
      <c r="EM5">
        <v>26</v>
      </c>
      <c r="EN5">
        <v>4.9000000000000002E-2</v>
      </c>
      <c r="EO5">
        <v>0.13600000000000001</v>
      </c>
      <c r="EP5">
        <v>0.14599999999999999</v>
      </c>
      <c r="EQ5">
        <v>0.253</v>
      </c>
      <c r="ER5">
        <v>0.24299999999999999</v>
      </c>
      <c r="ES5">
        <v>7.8E-2</v>
      </c>
      <c r="ET5">
        <v>5.8000000000000003E-2</v>
      </c>
      <c r="EU5">
        <v>0.14599999999999999</v>
      </c>
      <c r="EV5">
        <v>0.13600000000000001</v>
      </c>
      <c r="EW5">
        <v>0.224</v>
      </c>
      <c r="EX5">
        <v>0.16600000000000001</v>
      </c>
      <c r="EY5">
        <v>0.11700000000000001</v>
      </c>
      <c r="EZ5">
        <v>0.16600000000000001</v>
      </c>
      <c r="FA5">
        <v>0.438</v>
      </c>
      <c r="FB5">
        <v>0.37</v>
      </c>
      <c r="FC5">
        <v>0.19500000000000001</v>
      </c>
      <c r="FD5">
        <v>0.41899999999999998</v>
      </c>
      <c r="FE5">
        <v>0.19500000000000001</v>
      </c>
      <c r="FF5">
        <v>0</v>
      </c>
      <c r="FH5">
        <v>0</v>
      </c>
      <c r="FI5">
        <v>0</v>
      </c>
      <c r="FJ5">
        <v>0</v>
      </c>
    </row>
    <row r="6" spans="1:175" x14ac:dyDescent="0.3">
      <c r="A6">
        <v>172336</v>
      </c>
      <c r="B6" t="s">
        <v>189</v>
      </c>
      <c r="D6" t="s">
        <v>187</v>
      </c>
      <c r="E6" s="8">
        <v>30</v>
      </c>
      <c r="F6" s="9">
        <f t="shared" si="0"/>
        <v>7.0246119693941414E-2</v>
      </c>
      <c r="G6">
        <v>0</v>
      </c>
      <c r="H6">
        <v>884</v>
      </c>
      <c r="I6">
        <v>3699</v>
      </c>
      <c r="M6">
        <v>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L6">
        <v>0</v>
      </c>
      <c r="BM6">
        <v>0</v>
      </c>
      <c r="BO6">
        <v>0</v>
      </c>
      <c r="BP6">
        <v>0</v>
      </c>
      <c r="BS6">
        <v>0</v>
      </c>
      <c r="BW6">
        <v>17.46</v>
      </c>
      <c r="BX6">
        <v>0</v>
      </c>
      <c r="BY6">
        <v>0.01</v>
      </c>
      <c r="BZ6">
        <v>27.34</v>
      </c>
      <c r="CA6">
        <v>0.99</v>
      </c>
      <c r="CB6">
        <v>0.03</v>
      </c>
      <c r="CC6">
        <v>0</v>
      </c>
      <c r="CD6">
        <v>0</v>
      </c>
      <c r="CE6">
        <v>0.01</v>
      </c>
      <c r="CF6">
        <v>0</v>
      </c>
      <c r="CG6">
        <v>0</v>
      </c>
      <c r="CK6">
        <v>71.3</v>
      </c>
      <c r="CL6">
        <v>0</v>
      </c>
      <c r="CM6">
        <v>0</v>
      </c>
      <c r="CN6">
        <v>7.3650000000000002</v>
      </c>
      <c r="CO6">
        <v>0</v>
      </c>
      <c r="CP6">
        <v>0</v>
      </c>
      <c r="CQ6">
        <v>0</v>
      </c>
      <c r="CR6">
        <v>0</v>
      </c>
      <c r="CS6">
        <v>0</v>
      </c>
      <c r="CU6">
        <v>0</v>
      </c>
      <c r="CV6">
        <v>0</v>
      </c>
      <c r="CW6">
        <v>4.298</v>
      </c>
      <c r="CX6">
        <v>0</v>
      </c>
      <c r="CY6">
        <v>2.0870000000000002</v>
      </c>
      <c r="CZ6">
        <v>0.65</v>
      </c>
      <c r="DB6">
        <v>0.33</v>
      </c>
      <c r="DD6">
        <v>63.276000000000003</v>
      </c>
      <c r="DE6">
        <v>0</v>
      </c>
      <c r="DF6">
        <v>0</v>
      </c>
      <c r="DG6">
        <v>0.214</v>
      </c>
      <c r="DI6">
        <v>0</v>
      </c>
      <c r="DJ6">
        <v>61.744</v>
      </c>
      <c r="DK6">
        <v>61.713999999999999</v>
      </c>
      <c r="DL6">
        <v>1.3169999999999999</v>
      </c>
      <c r="DN6">
        <v>0</v>
      </c>
      <c r="DP6">
        <v>28.141999999999999</v>
      </c>
      <c r="DQ6">
        <v>19.004999999999999</v>
      </c>
      <c r="DS6">
        <v>18.64</v>
      </c>
      <c r="DT6">
        <v>9.1370000000000005</v>
      </c>
      <c r="DV6">
        <v>9.1370000000000005</v>
      </c>
      <c r="DW6">
        <v>0</v>
      </c>
      <c r="DX6">
        <v>0</v>
      </c>
      <c r="DY6">
        <v>0</v>
      </c>
      <c r="DZ6">
        <v>0</v>
      </c>
      <c r="EC6">
        <v>0</v>
      </c>
      <c r="ED6">
        <v>0</v>
      </c>
      <c r="EE6">
        <v>0</v>
      </c>
      <c r="EF6">
        <v>0</v>
      </c>
      <c r="EG6">
        <v>0.39500000000000002</v>
      </c>
      <c r="EH6">
        <v>0.03</v>
      </c>
      <c r="EI6">
        <v>0.03</v>
      </c>
      <c r="EJ6">
        <v>0.36499999999999999</v>
      </c>
      <c r="EK6">
        <v>0.36499999999999999</v>
      </c>
      <c r="EL6">
        <v>0</v>
      </c>
      <c r="FH6">
        <v>0</v>
      </c>
      <c r="FI6">
        <v>0</v>
      </c>
      <c r="FJ6">
        <v>0</v>
      </c>
      <c r="FL6">
        <v>3</v>
      </c>
      <c r="FM6">
        <v>241</v>
      </c>
      <c r="FO6">
        <v>413</v>
      </c>
    </row>
    <row r="7" spans="1:175" x14ac:dyDescent="0.3">
      <c r="A7">
        <v>748366</v>
      </c>
      <c r="B7" t="s">
        <v>190</v>
      </c>
      <c r="D7" t="s">
        <v>185</v>
      </c>
      <c r="E7" s="8">
        <v>5</v>
      </c>
      <c r="F7" s="9">
        <f t="shared" si="0"/>
        <v>1.1707686615656902E-2</v>
      </c>
      <c r="H7">
        <v>851.4</v>
      </c>
      <c r="I7">
        <v>3562.2575999999999</v>
      </c>
      <c r="N7">
        <v>94.6</v>
      </c>
      <c r="O7">
        <v>94.6</v>
      </c>
      <c r="BW7">
        <v>12.2</v>
      </c>
      <c r="BY7">
        <v>1.8</v>
      </c>
      <c r="BZ7">
        <v>70.400000000000006</v>
      </c>
      <c r="CA7">
        <v>22</v>
      </c>
      <c r="CB7">
        <v>0</v>
      </c>
      <c r="CC7">
        <v>1.6</v>
      </c>
      <c r="CD7">
        <v>0</v>
      </c>
      <c r="CE7">
        <v>0</v>
      </c>
      <c r="CN7">
        <v>14.9</v>
      </c>
      <c r="CU7">
        <v>7.4999999999999997E-2</v>
      </c>
      <c r="CV7">
        <v>1.4E-2</v>
      </c>
      <c r="CW7">
        <v>10.3</v>
      </c>
      <c r="CX7">
        <v>8.5999999999999993E-2</v>
      </c>
      <c r="CY7">
        <v>3.71</v>
      </c>
      <c r="CZ7">
        <v>0.29399999999999998</v>
      </c>
      <c r="DA7">
        <v>2.5000000000000001E-2</v>
      </c>
      <c r="DB7">
        <v>0.30599999999999999</v>
      </c>
      <c r="DC7">
        <v>0.124</v>
      </c>
      <c r="DD7">
        <v>22.1</v>
      </c>
      <c r="DH7">
        <v>0.08</v>
      </c>
      <c r="DK7">
        <v>21.4</v>
      </c>
      <c r="DM7">
        <v>0.6</v>
      </c>
      <c r="DP7">
        <v>57.6</v>
      </c>
      <c r="DR7">
        <v>50.9</v>
      </c>
      <c r="DS7">
        <v>50.9</v>
      </c>
      <c r="DU7">
        <v>6.62</v>
      </c>
      <c r="DV7">
        <v>6.62</v>
      </c>
      <c r="EA7">
        <v>0</v>
      </c>
      <c r="EB7">
        <v>0</v>
      </c>
      <c r="FL7">
        <v>55.4</v>
      </c>
      <c r="FM7">
        <v>58</v>
      </c>
      <c r="FN7">
        <v>0</v>
      </c>
      <c r="FO7">
        <v>153</v>
      </c>
      <c r="FP7">
        <v>2.15</v>
      </c>
      <c r="FQ7">
        <v>5.62</v>
      </c>
      <c r="FR7">
        <v>10.5</v>
      </c>
      <c r="FS7">
        <v>20.8</v>
      </c>
    </row>
    <row r="8" spans="1:175" x14ac:dyDescent="0.3">
      <c r="A8">
        <v>173468</v>
      </c>
      <c r="B8" t="s">
        <v>191</v>
      </c>
      <c r="D8" t="s">
        <v>187</v>
      </c>
      <c r="E8" s="8">
        <v>3.1301471638805571</v>
      </c>
      <c r="F8" s="9">
        <f t="shared" si="0"/>
        <v>7.3293564111201618E-3</v>
      </c>
      <c r="G8">
        <v>0.2</v>
      </c>
      <c r="H8">
        <v>0</v>
      </c>
      <c r="I8">
        <v>0</v>
      </c>
      <c r="M8">
        <v>0</v>
      </c>
      <c r="N8">
        <v>0</v>
      </c>
      <c r="O8">
        <v>0</v>
      </c>
      <c r="P8">
        <v>99.8</v>
      </c>
      <c r="Q8">
        <v>0</v>
      </c>
      <c r="R8">
        <v>0</v>
      </c>
      <c r="S8">
        <v>0</v>
      </c>
      <c r="AB8">
        <v>24</v>
      </c>
      <c r="AC8">
        <v>0.33</v>
      </c>
      <c r="AD8">
        <v>1</v>
      </c>
      <c r="AE8">
        <v>0</v>
      </c>
      <c r="AF8">
        <v>8</v>
      </c>
      <c r="AG8">
        <v>38758</v>
      </c>
      <c r="AH8">
        <v>0.1</v>
      </c>
      <c r="AI8">
        <v>0.03</v>
      </c>
      <c r="AJ8">
        <v>0.1</v>
      </c>
      <c r="AL8">
        <v>0.1</v>
      </c>
      <c r="AM8">
        <v>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E8">
        <v>0</v>
      </c>
      <c r="BF8">
        <v>0</v>
      </c>
      <c r="BG8">
        <v>0</v>
      </c>
      <c r="BH8">
        <v>0</v>
      </c>
      <c r="BI8">
        <v>0</v>
      </c>
      <c r="BL8">
        <v>0</v>
      </c>
      <c r="BM8">
        <v>0</v>
      </c>
      <c r="BO8">
        <v>0</v>
      </c>
      <c r="BP8">
        <v>0</v>
      </c>
      <c r="BS8">
        <v>0</v>
      </c>
      <c r="BW8">
        <v>0</v>
      </c>
      <c r="BX8">
        <v>0</v>
      </c>
      <c r="CF8">
        <v>0</v>
      </c>
      <c r="CG8">
        <v>0</v>
      </c>
      <c r="CK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U8">
        <v>0</v>
      </c>
      <c r="CW8">
        <v>0</v>
      </c>
      <c r="CY8">
        <v>0</v>
      </c>
      <c r="DD8">
        <v>0</v>
      </c>
      <c r="DG8">
        <v>0</v>
      </c>
      <c r="DJ8">
        <v>0</v>
      </c>
      <c r="DL8">
        <v>0</v>
      </c>
      <c r="DN8">
        <v>0</v>
      </c>
      <c r="DP8">
        <v>0</v>
      </c>
      <c r="DQ8">
        <v>0</v>
      </c>
      <c r="DT8">
        <v>0</v>
      </c>
      <c r="DX8">
        <v>0</v>
      </c>
      <c r="EC8">
        <v>0</v>
      </c>
      <c r="ED8">
        <v>0</v>
      </c>
      <c r="EE8">
        <v>0</v>
      </c>
      <c r="EF8">
        <v>0</v>
      </c>
      <c r="EG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H8">
        <v>0</v>
      </c>
      <c r="FI8">
        <v>0</v>
      </c>
      <c r="FJ8">
        <v>0</v>
      </c>
    </row>
    <row r="9" spans="1:175" x14ac:dyDescent="0.3">
      <c r="A9">
        <v>2644283</v>
      </c>
      <c r="B9" t="s">
        <v>192</v>
      </c>
      <c r="D9" t="s">
        <v>185</v>
      </c>
      <c r="E9" s="8">
        <v>32.800000000000011</v>
      </c>
      <c r="F9" s="9">
        <f t="shared" si="0"/>
        <v>7.6802424198709307E-2</v>
      </c>
      <c r="G9">
        <v>9.4510000000000005</v>
      </c>
      <c r="H9">
        <v>360.28500000000003</v>
      </c>
      <c r="I9">
        <v>1507.43244</v>
      </c>
      <c r="J9">
        <v>360.28500000000003</v>
      </c>
      <c r="K9">
        <v>350.93279999999999</v>
      </c>
      <c r="L9">
        <v>3.7709999999999999</v>
      </c>
      <c r="M9">
        <v>23.568750000000001</v>
      </c>
      <c r="N9">
        <v>1.925</v>
      </c>
      <c r="O9">
        <v>1.925</v>
      </c>
      <c r="P9">
        <v>2.8839999999999999</v>
      </c>
      <c r="Q9">
        <v>62.171250000000001</v>
      </c>
      <c r="Z9">
        <v>37.130000000000003</v>
      </c>
      <c r="AA9">
        <v>16</v>
      </c>
      <c r="AB9">
        <v>61.85</v>
      </c>
      <c r="AC9">
        <v>7.1580000000000004</v>
      </c>
      <c r="AD9">
        <v>106.7</v>
      </c>
      <c r="AE9">
        <v>373.6</v>
      </c>
      <c r="AF9">
        <v>948.9</v>
      </c>
      <c r="AG9">
        <v>0</v>
      </c>
      <c r="AH9">
        <v>3.863</v>
      </c>
      <c r="AI9">
        <v>0.83760000000000001</v>
      </c>
      <c r="AJ9">
        <v>1.569</v>
      </c>
    </row>
    <row r="10" spans="1:175" x14ac:dyDescent="0.3">
      <c r="A10">
        <v>2707920</v>
      </c>
      <c r="B10" t="s">
        <v>193</v>
      </c>
      <c r="D10" t="s">
        <v>194</v>
      </c>
      <c r="E10" s="8">
        <v>25</v>
      </c>
      <c r="F10" s="9">
        <f t="shared" si="0"/>
        <v>5.8538433078284505E-2</v>
      </c>
      <c r="G10">
        <v>3.11</v>
      </c>
      <c r="H10">
        <v>464</v>
      </c>
      <c r="I10">
        <v>1994.6801599999999</v>
      </c>
      <c r="M10">
        <v>5.21</v>
      </c>
      <c r="N10">
        <v>19.100000000000001</v>
      </c>
      <c r="O10">
        <v>19.100000000000001</v>
      </c>
      <c r="Q10">
        <v>71</v>
      </c>
      <c r="R10">
        <v>2.9</v>
      </c>
      <c r="S10">
        <v>40.700000000000003</v>
      </c>
      <c r="AB10">
        <v>21</v>
      </c>
      <c r="AC10">
        <v>12.1</v>
      </c>
      <c r="AD10">
        <v>47</v>
      </c>
      <c r="AE10">
        <v>93</v>
      </c>
      <c r="AF10">
        <v>234</v>
      </c>
      <c r="AG10">
        <v>388</v>
      </c>
      <c r="AH10">
        <v>0.74</v>
      </c>
      <c r="AI10">
        <v>0.33400000000000002</v>
      </c>
      <c r="AL10">
        <v>5.2</v>
      </c>
      <c r="AN10">
        <v>0</v>
      </c>
      <c r="AO10">
        <v>0.19700000000000001</v>
      </c>
      <c r="AP10">
        <v>0.23799999999999999</v>
      </c>
      <c r="AQ10">
        <v>2.6</v>
      </c>
      <c r="AS10">
        <v>2.3E-2</v>
      </c>
      <c r="AT10">
        <v>61</v>
      </c>
      <c r="AU10">
        <v>58</v>
      </c>
      <c r="AV10">
        <v>3</v>
      </c>
      <c r="AW10">
        <v>102</v>
      </c>
      <c r="AX10">
        <v>19.2</v>
      </c>
      <c r="BE10">
        <v>0</v>
      </c>
      <c r="BF10">
        <v>0</v>
      </c>
      <c r="BG10">
        <v>1</v>
      </c>
      <c r="BH10">
        <v>0</v>
      </c>
      <c r="BI10">
        <v>0</v>
      </c>
      <c r="BL10">
        <v>0</v>
      </c>
      <c r="BM10">
        <v>0</v>
      </c>
      <c r="BP10">
        <v>0</v>
      </c>
      <c r="BS10">
        <v>4</v>
      </c>
      <c r="BW10">
        <v>2.4700000000000002</v>
      </c>
      <c r="BX10">
        <v>0</v>
      </c>
      <c r="CG10">
        <v>0</v>
      </c>
      <c r="CK10">
        <v>27.4</v>
      </c>
      <c r="CN10">
        <v>5.65</v>
      </c>
      <c r="CO10">
        <v>0</v>
      </c>
      <c r="CP10">
        <v>0</v>
      </c>
      <c r="CQ10">
        <v>3.0000000000000001E-3</v>
      </c>
      <c r="CR10">
        <v>1.0999999999999999E-2</v>
      </c>
      <c r="CS10">
        <v>4.4999999999999998E-2</v>
      </c>
      <c r="CU10">
        <v>0.111</v>
      </c>
      <c r="CW10">
        <v>4.45</v>
      </c>
      <c r="CY10">
        <v>0.85699999999999998</v>
      </c>
      <c r="DD10">
        <v>9.2799999999999994</v>
      </c>
      <c r="DG10">
        <v>3.5999999999999997E-2</v>
      </c>
      <c r="DJ10">
        <v>9.11</v>
      </c>
      <c r="DL10">
        <v>0.12</v>
      </c>
      <c r="DN10">
        <v>3.0000000000000001E-3</v>
      </c>
      <c r="DP10">
        <v>3.56</v>
      </c>
      <c r="DQ10">
        <v>3.25</v>
      </c>
      <c r="DT10">
        <v>0.29799999999999999</v>
      </c>
      <c r="DX10">
        <v>0</v>
      </c>
      <c r="EC10">
        <v>4.0000000000000001E-3</v>
      </c>
      <c r="ED10">
        <v>0</v>
      </c>
      <c r="EE10">
        <v>0</v>
      </c>
      <c r="EF10">
        <v>0</v>
      </c>
      <c r="EL10">
        <v>0</v>
      </c>
      <c r="FH10">
        <v>0</v>
      </c>
      <c r="FI10">
        <v>5</v>
      </c>
      <c r="FJ10">
        <v>184</v>
      </c>
    </row>
    <row r="11" spans="1:175" x14ac:dyDescent="0.3">
      <c r="A11">
        <v>2720960</v>
      </c>
      <c r="B11" t="s">
        <v>195</v>
      </c>
      <c r="C11" t="s">
        <v>196</v>
      </c>
      <c r="D11" t="s">
        <v>197</v>
      </c>
      <c r="E11" s="8">
        <v>25</v>
      </c>
      <c r="F11" s="9">
        <f t="shared" si="0"/>
        <v>5.8538433078284505E-2</v>
      </c>
      <c r="H11">
        <v>527</v>
      </c>
      <c r="I11">
        <v>2214.1727999999998</v>
      </c>
      <c r="M11">
        <v>4.5</v>
      </c>
      <c r="N11">
        <v>31.2</v>
      </c>
      <c r="O11">
        <v>31.2</v>
      </c>
      <c r="Q11">
        <v>57.6</v>
      </c>
      <c r="R11">
        <v>2.4</v>
      </c>
      <c r="S11">
        <v>4.3</v>
      </c>
      <c r="AB11">
        <v>9.6999999999999993</v>
      </c>
      <c r="AC11">
        <v>0.6</v>
      </c>
      <c r="AF11">
        <v>412</v>
      </c>
      <c r="AG11">
        <v>482</v>
      </c>
      <c r="CG11">
        <v>0</v>
      </c>
      <c r="CN11">
        <v>8.6</v>
      </c>
      <c r="EG11">
        <v>0</v>
      </c>
      <c r="EL11">
        <v>0</v>
      </c>
      <c r="FK11">
        <v>3.2</v>
      </c>
    </row>
    <row r="12" spans="1:175" x14ac:dyDescent="0.3">
      <c r="A12" t="s">
        <v>198</v>
      </c>
      <c r="B12" t="s">
        <v>199</v>
      </c>
      <c r="C12" t="s">
        <v>199</v>
      </c>
      <c r="D12" t="s">
        <v>199</v>
      </c>
      <c r="E12" s="10">
        <f>SUBTOTAL(9,E3:E11)</f>
        <v>427.06985283611959</v>
      </c>
      <c r="F12" s="11" t="s">
        <v>200</v>
      </c>
      <c r="G12" s="12">
        <f>SUMPRODUCT($F$3:$F$11,$G$3:$G$11)</f>
        <v>55.782482524433505</v>
      </c>
      <c r="H12" s="12">
        <f>SUMPRODUCT($F$3:$F$11,$H$3:$H$11)</f>
        <v>232.67157353014335</v>
      </c>
      <c r="I12" s="12">
        <f>SUMPRODUCT($F$3:$F$11,$I$3:$I$11)</f>
        <v>976.54140947297469</v>
      </c>
      <c r="J12" s="12">
        <f>SUMPRODUCT($F$3:$F$11,$J$3:$J$11)</f>
        <v>27.670761402431985</v>
      </c>
      <c r="K12" s="12">
        <f>SUMPRODUCT($F$3:$F$11,$K$3:$K$11)</f>
        <v>26.952489770840813</v>
      </c>
      <c r="L12" s="12">
        <f>SUMPRODUCT($F$3:$F$11,$L$3:$L$11)</f>
        <v>0.98857083260804979</v>
      </c>
      <c r="M12" s="12">
        <f>SUMPRODUCT($F$3:$F$11,$M$3:$M$11)</f>
        <v>7.1043998536798449</v>
      </c>
      <c r="N12" s="12">
        <f>SUMPRODUCT($F$3:$F$11,$N$3:$N$11)</f>
        <v>14.377804066218898</v>
      </c>
      <c r="O12" s="12">
        <f>SUMPRODUCT($F$3:$F$11,$O$3:$O$11)</f>
        <v>14.837916150214214</v>
      </c>
      <c r="P12" s="12">
        <f>SUMPRODUCT($F$3:$F$11,$P$3:$P$11)</f>
        <v>1.6049763174191882</v>
      </c>
      <c r="Q12" s="12">
        <f>SUMPRODUCT($F$3:$F$11,$Q$3:$Q$11)</f>
        <v>20.125404801084915</v>
      </c>
      <c r="R12" s="12">
        <f>SUMPRODUCT($F$3:$F$11,$R$3:$R$11)</f>
        <v>5.2422337590265382</v>
      </c>
      <c r="S12" s="12">
        <f>SUMPRODUCT($F$3:$F$11,$S$3:$S$11)</f>
        <v>2.9060273358674835</v>
      </c>
      <c r="T12" s="12">
        <f>SUMPRODUCT($F$3:$F$11,$T$3:$T$11)</f>
        <v>1.8576196096842296E-3</v>
      </c>
      <c r="U12" s="12">
        <f>SUMPRODUCT($F$3:$F$11,$U$3:$U$11)</f>
        <v>0.16684233939752136</v>
      </c>
      <c r="V12" s="12">
        <f>SUMPRODUCT($F$3:$F$11,$V$3:$V$11)</f>
        <v>0.10309788833747476</v>
      </c>
      <c r="W12" s="12">
        <f>SUMPRODUCT($F$3:$F$11,$W$3:$W$11)</f>
        <v>0</v>
      </c>
      <c r="X12" s="12">
        <f>SUMPRODUCT($F$3:$F$11,$X$3:$X$11)</f>
        <v>0</v>
      </c>
      <c r="Y12" s="12">
        <f>SUMPRODUCT($F$3:$F$11,$Y$3:$Y$11)</f>
        <v>0</v>
      </c>
      <c r="Z12" s="12">
        <f>SUMPRODUCT($F$3:$F$11,$Z$3:$Z$11)</f>
        <v>2.8516740104980767</v>
      </c>
      <c r="AA12" s="12">
        <f>SUMPRODUCT($F$3:$F$11,$AA$3:$AA$11)</f>
        <v>1.2288387871793489</v>
      </c>
      <c r="AB12" s="12">
        <f>SUMPRODUCT($F$3:$F$11,$AB$3:$AB$11)</f>
        <v>119.37633523748708</v>
      </c>
      <c r="AC12" s="12">
        <f>SUMPRODUCT($F$3:$F$11,$AC$3:$AC$11)</f>
        <v>2.6549333971972944</v>
      </c>
      <c r="AD12" s="12">
        <f>SUMPRODUCT($F$3:$F$11,$AD$3:$AD$11)</f>
        <v>21.075793960640294</v>
      </c>
      <c r="AE12" s="12">
        <f>SUMPRODUCT($F$3:$F$11,$AE$3:$AE$11)</f>
        <v>104.7082728263339</v>
      </c>
      <c r="AF12" s="12">
        <f>SUMPRODUCT($F$3:$F$11,$AF$3:$AF$11)</f>
        <v>197.14642452871246</v>
      </c>
      <c r="AG12" s="12">
        <f>SUMPRODUCT($F$3:$F$11,$AG$3:$AG$11)</f>
        <v>381.78264150367721</v>
      </c>
      <c r="AH12" s="12">
        <f>SUMPRODUCT($F$3:$F$11,$AH$3:$AH$11)</f>
        <v>0.9462372771872003</v>
      </c>
      <c r="AI12" s="12">
        <f>SUMPRODUCT($F$3:$F$11,$AI$3:$AI$11)</f>
        <v>0.11749716200925783</v>
      </c>
      <c r="AJ12" s="12">
        <f>SUMPRODUCT($F$3:$F$11,$AJ$3:$AJ$11)</f>
        <v>1.7434951443461248</v>
      </c>
      <c r="AK12" s="12">
        <f>SUMPRODUCT($F$3:$F$11,$AK$3:$AK$11)</f>
        <v>17.245422384862618</v>
      </c>
      <c r="AL12" s="12">
        <f>SUMPRODUCT($F$3:$F$11,$AL$3:$AL$11)</f>
        <v>11.516335439557137</v>
      </c>
      <c r="AM12" s="12">
        <f>SUMPRODUCT($F$3:$F$11,$AM$3:$AM$11)</f>
        <v>1.4658712822240324E-2</v>
      </c>
      <c r="AN12" s="12">
        <f>SUMPRODUCT($F$3:$F$11,$AN$3:$AN$11)</f>
        <v>0.35294772584000361</v>
      </c>
      <c r="AO12" s="12">
        <f>SUMPRODUCT($F$3:$F$11,$AO$3:$AO$11)</f>
        <v>4.0620208969242143E-2</v>
      </c>
      <c r="AP12" s="12">
        <f>SUMPRODUCT($F$3:$F$11,$AP$3:$AP$11)</f>
        <v>0.16490588803129164</v>
      </c>
      <c r="AQ12" s="12">
        <f>SUMPRODUCT($F$3:$F$11,$AQ$3:$AQ$11)</f>
        <v>0.2759173920085094</v>
      </c>
      <c r="AR12" s="12">
        <f>SUMPRODUCT($F$3:$F$11,$AR$3:$AR$11)</f>
        <v>3.325139101334771E-2</v>
      </c>
      <c r="AS12" s="12">
        <f>SUMPRODUCT($F$3:$F$11,$AS$3:$AS$11)</f>
        <v>3.8149106580897499E-2</v>
      </c>
      <c r="AT12" s="12">
        <f>SUMPRODUCT($F$3:$F$11,$AT$3:$AT$11)</f>
        <v>29.065502792029825</v>
      </c>
      <c r="AU12" s="12">
        <f>SUMPRODUCT($F$3:$F$11,$AU$3:$AU$11)</f>
        <v>3.3952291185405015</v>
      </c>
      <c r="AV12" s="12">
        <f>SUMPRODUCT($F$3:$F$11,$AV$3:$AV$11)</f>
        <v>0.73290118214012245</v>
      </c>
      <c r="AW12" s="12">
        <f>SUMPRODUCT($F$3:$F$11,$AW$3:$AW$11)</f>
        <v>6.5282060568902889</v>
      </c>
      <c r="AX12" s="12">
        <f>SUMPRODUCT($F$3:$F$11,$AX$3:$AX$11)</f>
        <v>119.82192841172004</v>
      </c>
      <c r="AY12" s="12">
        <f>SUMPRODUCT($F$3:$F$11,$AY$3:$AY$11)</f>
        <v>0.21073835908182423</v>
      </c>
      <c r="AZ12" s="12">
        <f>SUMPRODUCT($F$3:$F$11,$AZ$3:$AZ$11)</f>
        <v>108.53025492713948</v>
      </c>
      <c r="BA12" s="12">
        <f>SUMPRODUCT($F$3:$F$11,$BA$3:$BA$11)</f>
        <v>7.0246119693941414E-2</v>
      </c>
      <c r="BB12" s="12">
        <f>SUMPRODUCT($F$3:$F$11,$BB$3:$BB$11)</f>
        <v>7.0246119693941414E-2</v>
      </c>
      <c r="BC12" s="12">
        <f>SUMPRODUCT($F$3:$F$11,$BC$3:$BC$11)</f>
        <v>8.8158880215896485</v>
      </c>
      <c r="BD12" s="12">
        <f>SUMPRODUCT($F$3:$F$11,$BD$3:$BD$11)</f>
        <v>0.46760500342933686</v>
      </c>
      <c r="BE12" s="12">
        <f>SUMPRODUCT($F$3:$F$11,$BE$3:$BE$11)</f>
        <v>0.35825521043910119</v>
      </c>
      <c r="BF12" s="12">
        <f>SUMPRODUCT($F$3:$F$11,$BF$3:$BF$11)</f>
        <v>0</v>
      </c>
      <c r="BG12" s="12">
        <f>SUMPRODUCT($F$3:$F$11,$BG$3:$BG$11)</f>
        <v>64.673260864888732</v>
      </c>
      <c r="BH12" s="12">
        <f>SUMPRODUCT($F$3:$F$11,$BH$3:$BH$11)</f>
        <v>62.870277126077561</v>
      </c>
      <c r="BI12" s="12">
        <f>SUMPRODUCT($F$3:$F$11,$BI$3:$BI$11)</f>
        <v>10.402669814231686</v>
      </c>
      <c r="BJ12" s="12">
        <f>SUMPRODUCT($F$3:$F$11,$BJ$3:$BJ$11)</f>
        <v>0</v>
      </c>
      <c r="BK12" s="12">
        <f>SUMPRODUCT($F$3:$F$11,$BK$3:$BK$11)</f>
        <v>0</v>
      </c>
      <c r="BL12" s="12">
        <f>SUMPRODUCT($F$3:$F$11,$BL$3:$BL$11)</f>
        <v>9.2880980484211478E-2</v>
      </c>
      <c r="BM12" s="12">
        <f>SUMPRODUCT($F$3:$F$11,$BM$3:$BM$11)</f>
        <v>16.547644262569474</v>
      </c>
      <c r="BN12" s="12">
        <f>SUMPRODUCT($F$3:$F$11,$BN$3:$BN$11)</f>
        <v>4.5659977801061915</v>
      </c>
      <c r="BO12" s="12">
        <f>SUMPRODUCT($F$3:$F$11,$BO$3:$BO$11)</f>
        <v>27.399889242842384</v>
      </c>
      <c r="BP12" s="12">
        <f>SUMPRODUCT($F$3:$F$11,$BP$3:$BP$11)</f>
        <v>1.3932147072631722</v>
      </c>
      <c r="BQ12" s="12">
        <f>SUMPRODUCT($F$3:$F$11,$BQ$3:$BQ$11)</f>
        <v>0</v>
      </c>
      <c r="BR12" s="12">
        <f>SUMPRODUCT($F$3:$F$11,$BR$3:$BR$11)</f>
        <v>0</v>
      </c>
      <c r="BS12" s="12">
        <f>SUMPRODUCT($F$3:$F$11,$BS$3:$BS$11)</f>
        <v>20.853731399808087</v>
      </c>
      <c r="BT12" s="12">
        <f>SUMPRODUCT($F$3:$F$11,$BT$3:$BT$11)</f>
        <v>20.020144112773302</v>
      </c>
      <c r="BU12" s="12">
        <f>SUMPRODUCT($F$3:$F$11,$BU$3:$BU$11)</f>
        <v>80.783037648032618</v>
      </c>
      <c r="BV12" s="12">
        <f>SUMPRODUCT($F$3:$F$11,$BV$3:$BV$11)</f>
        <v>80.43180704956292</v>
      </c>
      <c r="BW12" s="12">
        <f>SUMPRODUCT($F$3:$F$11,$BW$3:$BW$11)</f>
        <v>1.7294048309939647</v>
      </c>
      <c r="BX12" s="12">
        <f>SUMPRODUCT($F$3:$F$11,$BX$3:$BX$11)</f>
        <v>0</v>
      </c>
      <c r="BY12" s="12">
        <f>SUMPRODUCT($F$3:$F$11,$BY$3:$BY$11)</f>
        <v>2.1776297105121838E-2</v>
      </c>
      <c r="BZ12" s="12">
        <f>SUMPRODUCT($F$3:$F$11,$BZ$3:$BZ$11)</f>
        <v>3.7144274864297722</v>
      </c>
      <c r="CA12" s="12">
        <f>SUMPRODUCT($F$3:$F$11,$CA$3:$CA$11)</f>
        <v>0.35126181896734882</v>
      </c>
      <c r="CB12" s="12">
        <f>SUMPRODUCT($F$3:$F$11,$CB$3:$CB$11)</f>
        <v>2.1073835908182424E-3</v>
      </c>
      <c r="CC12" s="12">
        <f>SUMPRODUCT($F$3:$F$11,$CC$3:$CC$11)</f>
        <v>1.8732298585051044E-2</v>
      </c>
      <c r="CD12" s="12">
        <f>SUMPRODUCT($F$3:$F$11,$CD$3:$CD$11)</f>
        <v>0</v>
      </c>
      <c r="CE12" s="12">
        <f>SUMPRODUCT($F$3:$F$11,$CE$3:$CE$11)</f>
        <v>7.0246119693941414E-4</v>
      </c>
      <c r="CF12" s="12">
        <f>SUMPRODUCT($F$3:$F$11,$CF$3:$CF$11)</f>
        <v>34.561090889419177</v>
      </c>
      <c r="CG12" s="12">
        <f>SUMPRODUCT($F$3:$F$11,$CG$3:$CG$11)</f>
        <v>0.86402727223547937</v>
      </c>
      <c r="CH12" s="12">
        <f>SUMPRODUCT($F$3:$F$11,$CH$3:$CH$11)</f>
        <v>0</v>
      </c>
      <c r="CI12" s="12">
        <f>SUMPRODUCT($F$3:$F$11,$CI$3:$CI$11)</f>
        <v>0.86402727223547937</v>
      </c>
      <c r="CJ12" s="12">
        <f>SUMPRODUCT($F$3:$F$11,$CJ$3:$CJ$11)</f>
        <v>0.19668913514303596</v>
      </c>
      <c r="CK12" s="12">
        <f>SUMPRODUCT($F$3:$F$11,$CK$3:$CK$11)</f>
        <v>9.5103879916304166</v>
      </c>
      <c r="CL12" s="12">
        <f>SUMPRODUCT($F$3:$F$11,$CL$3:$CL$11)</f>
        <v>0</v>
      </c>
      <c r="CM12" s="12">
        <f>SUMPRODUCT($F$3:$F$11,$CM$3:$CM$11)</f>
        <v>0</v>
      </c>
      <c r="CN12" s="12">
        <f>SUMPRODUCT($F$3:$F$11,$CN$3:$CN$11)</f>
        <v>2.6819617268548361</v>
      </c>
      <c r="CO12" s="12">
        <f>SUMPRODUCT($F$3:$F$11,$CO$3:$CO$11)</f>
        <v>0</v>
      </c>
      <c r="CP12" s="12">
        <f>SUMPRODUCT($F$3:$F$11,$CP$3:$CP$11)</f>
        <v>0</v>
      </c>
      <c r="CQ12" s="12">
        <f>SUMPRODUCT($F$3:$F$11,$CQ$3:$CQ$11)</f>
        <v>1.7561529923485351E-4</v>
      </c>
      <c r="CR12" s="12">
        <f>SUMPRODUCT($F$3:$F$11,$CR$3:$CR$11)</f>
        <v>9.2256570531376396E-4</v>
      </c>
      <c r="CS12" s="12">
        <f>SUMPRODUCT($F$3:$F$11,$CS$3:$CS$11)</f>
        <v>3.1915153714280713E-3</v>
      </c>
      <c r="CT12" s="12">
        <f>SUMPRODUCT($F$3:$F$11,$CT$3:$CT$11)</f>
        <v>0</v>
      </c>
      <c r="CU12" s="12">
        <f>SUMPRODUCT($F$3:$F$11,$CU$3:$CU$11)</f>
        <v>1.9451150543252377E-2</v>
      </c>
      <c r="CV12" s="12">
        <f>SUMPRODUCT($F$3:$F$11,$CV$3:$CV$11)</f>
        <v>1.6390761261919664E-4</v>
      </c>
      <c r="CW12" s="12">
        <f>SUMPRODUCT($F$3:$F$11,$CW$3:$CW$11)</f>
        <v>1.5075176322042707</v>
      </c>
      <c r="CX12" s="12">
        <f>SUMPRODUCT($F$3:$F$11,$CX$3:$CX$11)</f>
        <v>1.3638674394799256E-2</v>
      </c>
      <c r="CY12" s="12">
        <f>SUMPRODUCT($F$3:$F$11,$CY$3:$CY$11)</f>
        <v>0.53337332324900977</v>
      </c>
      <c r="CZ12" s="12">
        <f>SUMPRODUCT($F$3:$F$11,$CZ$3:$CZ$11)</f>
        <v>4.9102037666065051E-2</v>
      </c>
      <c r="DA12" s="12">
        <f>SUMPRODUCT($F$3:$F$11,$DA$3:$DA$11)</f>
        <v>2.9269216539142256E-4</v>
      </c>
      <c r="DB12" s="12">
        <f>SUMPRODUCT($F$3:$F$11,$DB$3:$DB$11)</f>
        <v>2.6763771603391679E-2</v>
      </c>
      <c r="DC12" s="12">
        <f>SUMPRODUCT($F$3:$F$11,$DC$3:$DC$11)</f>
        <v>1.451753140341456E-3</v>
      </c>
      <c r="DD12" s="12">
        <f>SUMPRODUCT($F$3:$F$11,$DD$3:$DD$11)</f>
        <v>6.5446857965704863</v>
      </c>
      <c r="DE12" s="12">
        <f>SUMPRODUCT($F$3:$F$11,$DE$3:$DE$11)</f>
        <v>0</v>
      </c>
      <c r="DF12" s="12">
        <f>SUMPRODUCT($F$3:$F$11,$DF$3:$DF$11)</f>
        <v>0</v>
      </c>
      <c r="DG12" s="12">
        <f>SUMPRODUCT($F$3:$F$11,$DG$3:$DG$11)</f>
        <v>1.7232934185805914E-2</v>
      </c>
      <c r="DH12" s="12">
        <f>SUMPRODUCT($F$3:$F$11,$DH$3:$DH$11)</f>
        <v>8.4529497365042824E-2</v>
      </c>
      <c r="DI12" s="12">
        <f>SUMPRODUCT($F$3:$F$11,$DI$3:$DI$11)</f>
        <v>0</v>
      </c>
      <c r="DJ12" s="12">
        <f>SUMPRODUCT($F$3:$F$11,$DJ$3:$DJ$11)</f>
        <v>4.8934102609250063</v>
      </c>
      <c r="DK12" s="12">
        <f>SUMPRODUCT($F$3:$F$11,$DK$3:$DK$11)</f>
        <v>5.7851847504395923</v>
      </c>
      <c r="DL12" s="12">
        <f>SUMPRODUCT($F$3:$F$11,$DL$3:$DL$11)</f>
        <v>9.9538751606314979E-2</v>
      </c>
      <c r="DM12" s="12">
        <f>SUMPRODUCT($F$3:$F$11,$DM$3:$DM$11)</f>
        <v>7.0246119693941414E-3</v>
      </c>
      <c r="DN12" s="12">
        <f>SUMPRODUCT($F$3:$F$11,$DN$3:$DN$11)</f>
        <v>1.7561529923485351E-4</v>
      </c>
      <c r="DO12" s="12">
        <f>SUMPRODUCT($F$3:$F$11,$DO$3:$DO$11)</f>
        <v>0</v>
      </c>
      <c r="DP12" s="12">
        <f>SUMPRODUCT($F$3:$F$11,$DP$3:$DP$11)</f>
        <v>3.5051814671352224</v>
      </c>
      <c r="DQ12" s="12">
        <f>SUMPRODUCT($F$3:$F$11,$DQ$3:$DQ$11)</f>
        <v>1.5293641754290863</v>
      </c>
      <c r="DR12" s="12">
        <f>SUMPRODUCT($F$3:$F$11,$DR$3:$DR$11)</f>
        <v>1.1087179225027086</v>
      </c>
      <c r="DS12" s="12">
        <f>SUMPRODUCT($F$3:$F$11,$DS$3:$DS$11)</f>
        <v>2.4181055935977769</v>
      </c>
      <c r="DT12" s="12">
        <f>SUMPRODUCT($F$3:$F$11,$DT$3:$DT$11)</f>
        <v>0.66030493948619784</v>
      </c>
      <c r="DU12" s="12">
        <f>SUMPRODUCT($F$3:$F$11,$DU$3:$DU$11)</f>
        <v>8.1368421978815469E-2</v>
      </c>
      <c r="DV12" s="12">
        <f>SUMPRODUCT($F$3:$F$11,$DV$3:$DV$11)</f>
        <v>0.72036537182451776</v>
      </c>
      <c r="DW12" s="12">
        <f>SUMPRODUCT($F$3:$F$11,$DW$3:$DW$11)</f>
        <v>3.8635365831667773E-3</v>
      </c>
      <c r="DX12" s="12">
        <f>SUMPRODUCT($F$3:$F$11,$DX$3:$DX$11)</f>
        <v>0</v>
      </c>
      <c r="DY12" s="12">
        <f>SUMPRODUCT($F$3:$F$11,$DY$3:$DY$11)</f>
        <v>0</v>
      </c>
      <c r="DZ12" s="12">
        <f>SUMPRODUCT($F$3:$F$11,$DZ$3:$DZ$11)</f>
        <v>0</v>
      </c>
      <c r="EA12" s="12">
        <f>SUMPRODUCT($F$3:$F$11,$EA$3:$EA$11)</f>
        <v>7.0246119693941414E-3</v>
      </c>
      <c r="EB12" s="12">
        <f>SUMPRODUCT($F$3:$F$11,$EB$3:$EB$11)</f>
        <v>7.0246119693941414E-3</v>
      </c>
      <c r="EC12" s="12">
        <f>SUMPRODUCT($F$3:$F$11,$EC$3:$EC$11)</f>
        <v>2.3415373231313802E-4</v>
      </c>
      <c r="ED12" s="12">
        <f>SUMPRODUCT($F$3:$F$11,$ED$3:$ED$11)</f>
        <v>0</v>
      </c>
      <c r="EE12" s="12">
        <f>SUMPRODUCT($F$3:$F$11,$EE$3:$EE$11)</f>
        <v>0</v>
      </c>
      <c r="EF12" s="12">
        <f>SUMPRODUCT($F$3:$F$11,$EF$3:$EF$11)</f>
        <v>0</v>
      </c>
      <c r="EG12" s="12">
        <f>SUMPRODUCT($F$3:$F$11,$EG$3:$EG$11)</f>
        <v>2.774721727910686E-2</v>
      </c>
      <c r="EH12" s="12">
        <f>SUMPRODUCT($F$3:$F$11,$EH$3:$EH$11)</f>
        <v>2.1073835908182424E-3</v>
      </c>
      <c r="EI12" s="12">
        <f>SUMPRODUCT($F$3:$F$11,$EI$3:$EI$11)</f>
        <v>2.1073835908182424E-3</v>
      </c>
      <c r="EJ12" s="12">
        <f>SUMPRODUCT($F$3:$F$11,$EJ$3:$EJ$11)</f>
        <v>2.5639833688288614E-2</v>
      </c>
      <c r="EK12" s="12">
        <f>SUMPRODUCT($F$3:$F$11,$EK$3:$EK$11)</f>
        <v>2.5639833688288614E-2</v>
      </c>
      <c r="EL12" s="12">
        <f>SUMPRODUCT($F$3:$F$11,$EL$3:$EL$11)</f>
        <v>144.35577597104961</v>
      </c>
      <c r="EM12" s="12">
        <f>SUMPRODUCT($F$3:$F$11,$EM$3:$EM$11)</f>
        <v>2.4149054925894986</v>
      </c>
      <c r="EN12" s="12">
        <f>SUMPRODUCT($F$3:$F$11,$EN$3:$EN$11)</f>
        <v>6.2855447389697741E-2</v>
      </c>
      <c r="EO12" s="12">
        <f>SUMPRODUCT($F$3:$F$11,$EO$3:$EO$11)</f>
        <v>0.22126278883685874</v>
      </c>
      <c r="EP12" s="12">
        <f>SUMPRODUCT($F$3:$F$11,$EP$3:$EP$11)</f>
        <v>0.22991867180803441</v>
      </c>
      <c r="EQ12" s="12">
        <f>SUMPRODUCT($F$3:$F$11,$EQ$3:$EQ$11)</f>
        <v>0.39229101645569792</v>
      </c>
      <c r="ER12" s="12">
        <f>SUMPRODUCT($F$3:$F$11,$ER$3:$ER$11)</f>
        <v>0.31479393618445967</v>
      </c>
      <c r="ES12" s="12">
        <f>SUMPRODUCT($F$3:$F$11,$ES$3:$ES$11)</f>
        <v>0.15405910663810604</v>
      </c>
      <c r="ET12" s="12">
        <f>SUMPRODUCT($F$3:$F$11,$ET$3:$ET$11)</f>
        <v>5.387096868084266E-3</v>
      </c>
      <c r="EU12" s="12">
        <f>SUMPRODUCT($F$3:$F$11,$EU$3:$EU$11)</f>
        <v>0.24537281814070153</v>
      </c>
      <c r="EV12" s="12">
        <f>SUMPRODUCT($F$3:$F$11,$EV$3:$EV$11)</f>
        <v>0.19246187976234277</v>
      </c>
      <c r="EW12" s="12">
        <f>SUMPRODUCT($F$3:$F$11,$EW$3:$EW$11)</f>
        <v>0.27860859890522832</v>
      </c>
      <c r="EX12" s="12">
        <f>SUMPRODUCT($F$3:$F$11,$EX$3:$EX$11)</f>
        <v>0.29183672375603859</v>
      </c>
      <c r="EY12" s="12">
        <f>SUMPRODUCT($F$3:$F$11,$EY$3:$EY$11)</f>
        <v>0.11026533408357983</v>
      </c>
      <c r="EZ12" s="12">
        <f>SUMPRODUCT($F$3:$F$11,$EZ$3:$EZ$11)</f>
        <v>0.24968905193967372</v>
      </c>
      <c r="FA12" s="12">
        <f>SUMPRODUCT($F$3:$F$11,$FA$3:$FA$11)</f>
        <v>0.48674472950861258</v>
      </c>
      <c r="FB12" s="12">
        <f>SUMPRODUCT($F$3:$F$11,$FB$3:$FB$11)</f>
        <v>0.60687183828478075</v>
      </c>
      <c r="FC12" s="12">
        <f>SUMPRODUCT($F$3:$F$11,$FC$3:$FC$11)</f>
        <v>0.16141387537006172</v>
      </c>
      <c r="FD12" s="12">
        <f>SUMPRODUCT($F$3:$F$11,$FD$3:$FD$11)</f>
        <v>0.23560626596592057</v>
      </c>
      <c r="FE12" s="12">
        <f>SUMPRODUCT($F$3:$F$11,$FE$3:$FE$11)</f>
        <v>0.34089271118808206</v>
      </c>
      <c r="FF12" s="12">
        <f>SUMPRODUCT($F$3:$F$11,$FF$3:$FF$11)</f>
        <v>0</v>
      </c>
      <c r="FG12" s="12">
        <f>SUMPRODUCT($F$3:$F$11,$FG$3:$FG$11)</f>
        <v>0.13522378041083721</v>
      </c>
      <c r="FH12" s="12">
        <f>SUMPRODUCT($F$3:$F$11,$FH$3:$FH$11)</f>
        <v>0</v>
      </c>
      <c r="FI12" s="12">
        <f>SUMPRODUCT($F$3:$F$11,$FI$3:$FI$11)</f>
        <v>0.29269216539142251</v>
      </c>
      <c r="FJ12" s="12">
        <f>SUMPRODUCT($F$3:$F$11,$FJ$3:$FJ$11)</f>
        <v>10.771071686404349</v>
      </c>
      <c r="FK12" s="12">
        <f>SUMPRODUCT($F$3:$F$11,$FK$3:$FK$11)</f>
        <v>0.18732298585051044</v>
      </c>
      <c r="FL12" s="12">
        <f>SUMPRODUCT($F$3:$F$11,$FL$3:$FL$11)</f>
        <v>0.85934419758921665</v>
      </c>
      <c r="FM12" s="12">
        <f>SUMPRODUCT($F$3:$F$11,$FM$3:$FM$11)</f>
        <v>17.608360669947981</v>
      </c>
      <c r="FN12" s="12">
        <f>SUMPRODUCT($F$3:$F$11,$FN$3:$FN$11)</f>
        <v>0</v>
      </c>
      <c r="FO12" s="12">
        <f>SUMPRODUCT($F$3:$F$11,$FO$3:$FO$11)</f>
        <v>30.802923485793311</v>
      </c>
      <c r="FP12" s="12">
        <f>SUMPRODUCT($F$3:$F$11,$FP$3:$FP$11)</f>
        <v>2.5171526223662338E-2</v>
      </c>
      <c r="FQ12" s="12">
        <f>SUMPRODUCT($F$3:$F$11,$FQ$3:$FQ$11)</f>
        <v>6.5797198779991795E-2</v>
      </c>
      <c r="FR12" s="12">
        <f>SUMPRODUCT($F$3:$F$11,$FR$3:$FR$11)</f>
        <v>0.12293070946439748</v>
      </c>
      <c r="FS12" s="12">
        <f>SUMPRODUCT($F$3:$F$11,$FS$3:$FS$11)</f>
        <v>0.24351988160566357</v>
      </c>
    </row>
  </sheetData>
  <mergeCells count="9">
    <mergeCell ref="AB1:AM1"/>
    <mergeCell ref="CN1:EM1"/>
    <mergeCell ref="FL1:FS1"/>
    <mergeCell ref="Q1:AA1"/>
    <mergeCell ref="A1:F1"/>
    <mergeCell ref="EN1:FJ1"/>
    <mergeCell ref="FK1"/>
    <mergeCell ref="G1:P1"/>
    <mergeCell ref="AN1:C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0"/>
  <sheetViews>
    <sheetView workbookViewId="0"/>
  </sheetViews>
  <sheetFormatPr baseColWidth="10" defaultColWidth="8.88671875" defaultRowHeight="14.4" x14ac:dyDescent="0.3"/>
  <sheetData>
    <row r="1" spans="1:3" x14ac:dyDescent="0.3">
      <c r="A1" s="7" t="s">
        <v>201</v>
      </c>
      <c r="B1" s="7" t="s">
        <v>198</v>
      </c>
      <c r="C1" s="7" t="s">
        <v>202</v>
      </c>
    </row>
    <row r="2" spans="1:3" x14ac:dyDescent="0.3">
      <c r="A2" t="s">
        <v>203</v>
      </c>
      <c r="B2">
        <f>Ingredientes!G12</f>
        <v>55.782482524433505</v>
      </c>
      <c r="C2" t="s">
        <v>204</v>
      </c>
    </row>
    <row r="3" spans="1:3" x14ac:dyDescent="0.3">
      <c r="A3" t="s">
        <v>205</v>
      </c>
      <c r="B3">
        <f>Ingredientes!H12</f>
        <v>232.67157353014335</v>
      </c>
      <c r="C3" t="s">
        <v>206</v>
      </c>
    </row>
    <row r="4" spans="1:3" x14ac:dyDescent="0.3">
      <c r="A4" t="s">
        <v>205</v>
      </c>
      <c r="B4">
        <f>Ingredientes!I12</f>
        <v>976.54140947297469</v>
      </c>
      <c r="C4" t="s">
        <v>207</v>
      </c>
    </row>
    <row r="5" spans="1:3" x14ac:dyDescent="0.3">
      <c r="A5" t="s">
        <v>208</v>
      </c>
      <c r="B5">
        <f>Ingredientes!J12</f>
        <v>27.670761402431985</v>
      </c>
      <c r="C5" t="s">
        <v>206</v>
      </c>
    </row>
    <row r="6" spans="1:3" x14ac:dyDescent="0.3">
      <c r="A6" t="s">
        <v>209</v>
      </c>
      <c r="B6">
        <f>Ingredientes!K12</f>
        <v>26.952489770840813</v>
      </c>
      <c r="C6" t="s">
        <v>206</v>
      </c>
    </row>
    <row r="7" spans="1:3" x14ac:dyDescent="0.3">
      <c r="A7" t="s">
        <v>210</v>
      </c>
      <c r="B7">
        <f>Ingredientes!L12</f>
        <v>0.98857083260804979</v>
      </c>
      <c r="C7" t="s">
        <v>204</v>
      </c>
    </row>
    <row r="8" spans="1:3" x14ac:dyDescent="0.3">
      <c r="A8" t="s">
        <v>211</v>
      </c>
      <c r="B8">
        <f>Ingredientes!M12</f>
        <v>7.1043998536798449</v>
      </c>
      <c r="C8" t="s">
        <v>204</v>
      </c>
    </row>
    <row r="9" spans="1:3" x14ac:dyDescent="0.3">
      <c r="A9" t="s">
        <v>212</v>
      </c>
      <c r="B9">
        <f>Ingredientes!N12</f>
        <v>14.377804066218898</v>
      </c>
      <c r="C9" t="s">
        <v>204</v>
      </c>
    </row>
    <row r="10" spans="1:3" x14ac:dyDescent="0.3">
      <c r="A10" t="s">
        <v>213</v>
      </c>
      <c r="B10">
        <f>Ingredientes!O12</f>
        <v>14.837916150214214</v>
      </c>
      <c r="C10" t="s">
        <v>204</v>
      </c>
    </row>
    <row r="11" spans="1:3" x14ac:dyDescent="0.3">
      <c r="A11" t="s">
        <v>214</v>
      </c>
      <c r="B11">
        <f>Ingredientes!P12</f>
        <v>1.6049763174191882</v>
      </c>
      <c r="C11" t="s">
        <v>204</v>
      </c>
    </row>
    <row r="12" spans="1:3" x14ac:dyDescent="0.3">
      <c r="A12" t="s">
        <v>215</v>
      </c>
      <c r="B12">
        <f>Ingredientes!Q12</f>
        <v>20.125404801084915</v>
      </c>
      <c r="C12" t="s">
        <v>204</v>
      </c>
    </row>
    <row r="13" spans="1:3" x14ac:dyDescent="0.3">
      <c r="A13" t="s">
        <v>216</v>
      </c>
      <c r="B13">
        <f>Ingredientes!R12</f>
        <v>5.2422337590265382</v>
      </c>
      <c r="C13" t="s">
        <v>204</v>
      </c>
    </row>
    <row r="14" spans="1:3" x14ac:dyDescent="0.3">
      <c r="A14" t="s">
        <v>217</v>
      </c>
      <c r="B14">
        <f>Ingredientes!S12</f>
        <v>2.9060273358674835</v>
      </c>
      <c r="C14" t="s">
        <v>204</v>
      </c>
    </row>
    <row r="15" spans="1:3" x14ac:dyDescent="0.3">
      <c r="A15" t="s">
        <v>218</v>
      </c>
      <c r="B15">
        <f>Ingredientes!T12</f>
        <v>1.8576196096842296E-3</v>
      </c>
      <c r="C15" t="s">
        <v>204</v>
      </c>
    </row>
    <row r="16" spans="1:3" x14ac:dyDescent="0.3">
      <c r="A16" t="s">
        <v>219</v>
      </c>
      <c r="B16">
        <f>Ingredientes!U12</f>
        <v>0.16684233939752136</v>
      </c>
      <c r="C16" t="s">
        <v>204</v>
      </c>
    </row>
    <row r="17" spans="1:3" x14ac:dyDescent="0.3">
      <c r="A17" t="s">
        <v>220</v>
      </c>
      <c r="B17">
        <f>Ingredientes!V12</f>
        <v>0.10309788833747476</v>
      </c>
      <c r="C17" t="s">
        <v>204</v>
      </c>
    </row>
    <row r="18" spans="1:3" x14ac:dyDescent="0.3">
      <c r="A18" t="s">
        <v>221</v>
      </c>
      <c r="B18">
        <f>Ingredientes!W12</f>
        <v>0</v>
      </c>
      <c r="C18" t="s">
        <v>204</v>
      </c>
    </row>
    <row r="19" spans="1:3" x14ac:dyDescent="0.3">
      <c r="A19" t="s">
        <v>222</v>
      </c>
      <c r="B19">
        <f>Ingredientes!X12</f>
        <v>0</v>
      </c>
      <c r="C19" t="s">
        <v>204</v>
      </c>
    </row>
    <row r="20" spans="1:3" x14ac:dyDescent="0.3">
      <c r="A20" t="s">
        <v>223</v>
      </c>
      <c r="B20">
        <f>Ingredientes!Y12</f>
        <v>0</v>
      </c>
      <c r="C20" t="s">
        <v>204</v>
      </c>
    </row>
    <row r="21" spans="1:3" x14ac:dyDescent="0.3">
      <c r="A21" t="s">
        <v>224</v>
      </c>
      <c r="B21">
        <f>Ingredientes!Z12</f>
        <v>2.8516740104980767</v>
      </c>
      <c r="C21" t="s">
        <v>204</v>
      </c>
    </row>
    <row r="22" spans="1:3" x14ac:dyDescent="0.3">
      <c r="A22" t="s">
        <v>225</v>
      </c>
      <c r="B22">
        <f>Ingredientes!AA12</f>
        <v>1.2288387871793489</v>
      </c>
      <c r="C22" t="s">
        <v>204</v>
      </c>
    </row>
    <row r="23" spans="1:3" x14ac:dyDescent="0.3">
      <c r="A23" t="s">
        <v>226</v>
      </c>
      <c r="B23">
        <f>Ingredientes!AB12</f>
        <v>119.37633523748708</v>
      </c>
      <c r="C23" t="s">
        <v>227</v>
      </c>
    </row>
    <row r="24" spans="1:3" x14ac:dyDescent="0.3">
      <c r="A24" t="s">
        <v>228</v>
      </c>
      <c r="B24">
        <f>Ingredientes!AC12</f>
        <v>2.6549333971972944</v>
      </c>
      <c r="C24" t="s">
        <v>227</v>
      </c>
    </row>
    <row r="25" spans="1:3" x14ac:dyDescent="0.3">
      <c r="A25" t="s">
        <v>229</v>
      </c>
      <c r="B25">
        <f>Ingredientes!AD12</f>
        <v>21.075793960640294</v>
      </c>
      <c r="C25" t="s">
        <v>227</v>
      </c>
    </row>
    <row r="26" spans="1:3" x14ac:dyDescent="0.3">
      <c r="A26" t="s">
        <v>230</v>
      </c>
      <c r="B26">
        <f>Ingredientes!AE12</f>
        <v>104.7082728263339</v>
      </c>
      <c r="C26" t="s">
        <v>227</v>
      </c>
    </row>
    <row r="27" spans="1:3" x14ac:dyDescent="0.3">
      <c r="A27" t="s">
        <v>231</v>
      </c>
      <c r="B27">
        <f>Ingredientes!AF12</f>
        <v>197.14642452871246</v>
      </c>
      <c r="C27" t="s">
        <v>227</v>
      </c>
    </row>
    <row r="28" spans="1:3" x14ac:dyDescent="0.3">
      <c r="A28" t="s">
        <v>232</v>
      </c>
      <c r="B28">
        <f>Ingredientes!AG12</f>
        <v>381.78264150367721</v>
      </c>
      <c r="C28" t="s">
        <v>227</v>
      </c>
    </row>
    <row r="29" spans="1:3" x14ac:dyDescent="0.3">
      <c r="A29" t="s">
        <v>233</v>
      </c>
      <c r="B29">
        <f>Ingredientes!AH12</f>
        <v>0.9462372771872003</v>
      </c>
      <c r="C29" t="s">
        <v>227</v>
      </c>
    </row>
    <row r="30" spans="1:3" x14ac:dyDescent="0.3">
      <c r="A30" t="s">
        <v>234</v>
      </c>
      <c r="B30">
        <f>Ingredientes!AI12</f>
        <v>0.11749716200925783</v>
      </c>
      <c r="C30" t="s">
        <v>227</v>
      </c>
    </row>
    <row r="31" spans="1:3" x14ac:dyDescent="0.3">
      <c r="A31" t="s">
        <v>235</v>
      </c>
      <c r="B31">
        <f>Ingredientes!AJ12</f>
        <v>1.7434951443461248</v>
      </c>
      <c r="C31" t="s">
        <v>227</v>
      </c>
    </row>
    <row r="32" spans="1:3" x14ac:dyDescent="0.3">
      <c r="A32" t="s">
        <v>236</v>
      </c>
      <c r="B32">
        <f>Ingredientes!AK12</f>
        <v>17.245422384862618</v>
      </c>
      <c r="C32" t="s">
        <v>237</v>
      </c>
    </row>
    <row r="33" spans="1:3" x14ac:dyDescent="0.3">
      <c r="A33" t="s">
        <v>238</v>
      </c>
      <c r="B33">
        <f>Ingredientes!AL12</f>
        <v>11.516335439557137</v>
      </c>
      <c r="C33" t="s">
        <v>237</v>
      </c>
    </row>
    <row r="34" spans="1:3" x14ac:dyDescent="0.3">
      <c r="A34" t="s">
        <v>239</v>
      </c>
      <c r="B34">
        <f>Ingredientes!AM12</f>
        <v>1.4658712822240324E-2</v>
      </c>
      <c r="C34" t="s">
        <v>237</v>
      </c>
    </row>
    <row r="35" spans="1:3" x14ac:dyDescent="0.3">
      <c r="A35" t="s">
        <v>240</v>
      </c>
      <c r="B35">
        <f>Ingredientes!AN12</f>
        <v>0.35294772584000361</v>
      </c>
      <c r="C35" t="s">
        <v>227</v>
      </c>
    </row>
    <row r="36" spans="1:3" x14ac:dyDescent="0.3">
      <c r="A36" t="s">
        <v>241</v>
      </c>
      <c r="B36">
        <f>Ingredientes!AO12</f>
        <v>4.0620208969242143E-2</v>
      </c>
      <c r="C36" t="s">
        <v>227</v>
      </c>
    </row>
    <row r="37" spans="1:3" x14ac:dyDescent="0.3">
      <c r="A37" t="s">
        <v>242</v>
      </c>
      <c r="B37">
        <f>Ingredientes!AP12</f>
        <v>0.16490588803129164</v>
      </c>
      <c r="C37" t="s">
        <v>227</v>
      </c>
    </row>
    <row r="38" spans="1:3" x14ac:dyDescent="0.3">
      <c r="A38" t="s">
        <v>243</v>
      </c>
      <c r="B38">
        <f>Ingredientes!AQ12</f>
        <v>0.2759173920085094</v>
      </c>
      <c r="C38" t="s">
        <v>227</v>
      </c>
    </row>
    <row r="39" spans="1:3" x14ac:dyDescent="0.3">
      <c r="A39" t="s">
        <v>244</v>
      </c>
      <c r="B39">
        <f>Ingredientes!AR12</f>
        <v>3.325139101334771E-2</v>
      </c>
      <c r="C39" t="s">
        <v>227</v>
      </c>
    </row>
    <row r="40" spans="1:3" x14ac:dyDescent="0.3">
      <c r="A40" t="s">
        <v>245</v>
      </c>
      <c r="B40">
        <f>Ingredientes!AS12</f>
        <v>3.8149106580897499E-2</v>
      </c>
      <c r="C40" t="s">
        <v>227</v>
      </c>
    </row>
    <row r="41" spans="1:3" x14ac:dyDescent="0.3">
      <c r="A41" t="s">
        <v>246</v>
      </c>
      <c r="B41">
        <f>Ingredientes!AT12</f>
        <v>29.065502792029825</v>
      </c>
      <c r="C41" t="s">
        <v>237</v>
      </c>
    </row>
    <row r="42" spans="1:3" x14ac:dyDescent="0.3">
      <c r="A42" t="s">
        <v>247</v>
      </c>
      <c r="B42">
        <f>Ingredientes!AU12</f>
        <v>3.3952291185405015</v>
      </c>
      <c r="C42" t="s">
        <v>237</v>
      </c>
    </row>
    <row r="43" spans="1:3" x14ac:dyDescent="0.3">
      <c r="A43" t="s">
        <v>248</v>
      </c>
      <c r="B43">
        <f>Ingredientes!AV12</f>
        <v>0.73290118214012245</v>
      </c>
      <c r="C43" t="s">
        <v>237</v>
      </c>
    </row>
    <row r="44" spans="1:3" x14ac:dyDescent="0.3">
      <c r="A44" t="s">
        <v>249</v>
      </c>
      <c r="B44">
        <f>Ingredientes!AW12</f>
        <v>6.5282060568902889</v>
      </c>
      <c r="C44" t="s">
        <v>237</v>
      </c>
    </row>
    <row r="45" spans="1:3" x14ac:dyDescent="0.3">
      <c r="A45" t="s">
        <v>250</v>
      </c>
      <c r="B45">
        <f>Ingredientes!AX12</f>
        <v>119.82192841172004</v>
      </c>
      <c r="C45" t="s">
        <v>227</v>
      </c>
    </row>
    <row r="46" spans="1:3" x14ac:dyDescent="0.3">
      <c r="A46" t="s">
        <v>251</v>
      </c>
      <c r="B46">
        <f>Ingredientes!AY12</f>
        <v>0.21073835908182423</v>
      </c>
      <c r="C46" t="s">
        <v>227</v>
      </c>
    </row>
    <row r="47" spans="1:3" x14ac:dyDescent="0.3">
      <c r="A47" t="s">
        <v>252</v>
      </c>
      <c r="B47">
        <f>Ingredientes!AZ12</f>
        <v>108.53025492713948</v>
      </c>
      <c r="C47" t="s">
        <v>227</v>
      </c>
    </row>
    <row r="48" spans="1:3" x14ac:dyDescent="0.3">
      <c r="A48" t="s">
        <v>253</v>
      </c>
      <c r="B48">
        <f>Ingredientes!BA12</f>
        <v>7.0246119693941414E-2</v>
      </c>
      <c r="C48" t="s">
        <v>227</v>
      </c>
    </row>
    <row r="49" spans="1:3" x14ac:dyDescent="0.3">
      <c r="A49" t="s">
        <v>254</v>
      </c>
      <c r="B49">
        <f>Ingredientes!BB12</f>
        <v>7.0246119693941414E-2</v>
      </c>
      <c r="C49" t="s">
        <v>227</v>
      </c>
    </row>
    <row r="50" spans="1:3" x14ac:dyDescent="0.3">
      <c r="A50" t="s">
        <v>255</v>
      </c>
      <c r="B50">
        <f>Ingredientes!BC12</f>
        <v>8.8158880215896485</v>
      </c>
      <c r="C50" t="s">
        <v>227</v>
      </c>
    </row>
    <row r="51" spans="1:3" x14ac:dyDescent="0.3">
      <c r="A51" t="s">
        <v>256</v>
      </c>
      <c r="B51">
        <f>Ingredientes!BD12</f>
        <v>0.46760500342933686</v>
      </c>
      <c r="C51" t="s">
        <v>227</v>
      </c>
    </row>
    <row r="52" spans="1:3" x14ac:dyDescent="0.3">
      <c r="A52" t="s">
        <v>257</v>
      </c>
      <c r="B52">
        <f>Ingredientes!BE12</f>
        <v>0.35825521043910119</v>
      </c>
      <c r="C52" t="s">
        <v>237</v>
      </c>
    </row>
    <row r="53" spans="1:3" x14ac:dyDescent="0.3">
      <c r="A53" t="s">
        <v>258</v>
      </c>
      <c r="B53">
        <f>Ingredientes!BF12</f>
        <v>0</v>
      </c>
      <c r="C53" t="s">
        <v>237</v>
      </c>
    </row>
    <row r="54" spans="1:3" x14ac:dyDescent="0.3">
      <c r="A54" t="s">
        <v>259</v>
      </c>
      <c r="B54">
        <f>Ingredientes!BG12</f>
        <v>64.673260864888732</v>
      </c>
      <c r="C54" t="s">
        <v>237</v>
      </c>
    </row>
    <row r="55" spans="1:3" x14ac:dyDescent="0.3">
      <c r="A55" t="s">
        <v>260</v>
      </c>
      <c r="B55">
        <f>Ingredientes!BH12</f>
        <v>62.870277126077561</v>
      </c>
      <c r="C55" t="s">
        <v>237</v>
      </c>
    </row>
    <row r="56" spans="1:3" x14ac:dyDescent="0.3">
      <c r="A56" t="s">
        <v>261</v>
      </c>
      <c r="B56">
        <f>Ingredientes!BI12</f>
        <v>10.402669814231686</v>
      </c>
      <c r="C56" t="s">
        <v>237</v>
      </c>
    </row>
    <row r="57" spans="1:3" x14ac:dyDescent="0.3">
      <c r="A57" t="s">
        <v>262</v>
      </c>
      <c r="B57">
        <f>Ingredientes!BJ12</f>
        <v>0</v>
      </c>
      <c r="C57" t="s">
        <v>237</v>
      </c>
    </row>
    <row r="58" spans="1:3" x14ac:dyDescent="0.3">
      <c r="A58" t="s">
        <v>263</v>
      </c>
      <c r="B58">
        <f>Ingredientes!BK12</f>
        <v>0</v>
      </c>
      <c r="C58" t="s">
        <v>237</v>
      </c>
    </row>
    <row r="59" spans="1:3" x14ac:dyDescent="0.3">
      <c r="A59" t="s">
        <v>264</v>
      </c>
      <c r="B59">
        <f>Ingredientes!BL12</f>
        <v>9.2880980484211478E-2</v>
      </c>
      <c r="C59" t="s">
        <v>237</v>
      </c>
    </row>
    <row r="60" spans="1:3" x14ac:dyDescent="0.3">
      <c r="A60" t="s">
        <v>265</v>
      </c>
      <c r="B60">
        <f>Ingredientes!BM12</f>
        <v>16.547644262569474</v>
      </c>
      <c r="C60" t="s">
        <v>237</v>
      </c>
    </row>
    <row r="61" spans="1:3" x14ac:dyDescent="0.3">
      <c r="A61" t="s">
        <v>266</v>
      </c>
      <c r="B61">
        <f>Ingredientes!BN12</f>
        <v>4.5659977801061915</v>
      </c>
      <c r="C61" t="s">
        <v>237</v>
      </c>
    </row>
    <row r="62" spans="1:3" x14ac:dyDescent="0.3">
      <c r="A62" t="s">
        <v>267</v>
      </c>
      <c r="B62">
        <f>Ingredientes!BO12</f>
        <v>27.399889242842384</v>
      </c>
      <c r="C62" t="s">
        <v>268</v>
      </c>
    </row>
    <row r="63" spans="1:3" x14ac:dyDescent="0.3">
      <c r="A63" t="s">
        <v>269</v>
      </c>
      <c r="B63">
        <f>Ingredientes!BP12</f>
        <v>1.3932147072631722</v>
      </c>
      <c r="C63" t="s">
        <v>237</v>
      </c>
    </row>
    <row r="64" spans="1:3" x14ac:dyDescent="0.3">
      <c r="A64" t="s">
        <v>270</v>
      </c>
      <c r="B64">
        <f>Ingredientes!BQ12</f>
        <v>0</v>
      </c>
      <c r="C64" t="s">
        <v>237</v>
      </c>
    </row>
    <row r="65" spans="1:3" x14ac:dyDescent="0.3">
      <c r="A65" t="s">
        <v>271</v>
      </c>
      <c r="B65">
        <f>Ingredientes!BR12</f>
        <v>0</v>
      </c>
      <c r="C65" t="s">
        <v>237</v>
      </c>
    </row>
    <row r="66" spans="1:3" x14ac:dyDescent="0.3">
      <c r="A66" t="s">
        <v>272</v>
      </c>
      <c r="B66">
        <f>Ingredientes!BS12</f>
        <v>20.853731399808087</v>
      </c>
      <c r="C66" t="s">
        <v>237</v>
      </c>
    </row>
    <row r="67" spans="1:3" x14ac:dyDescent="0.3">
      <c r="A67" t="s">
        <v>273</v>
      </c>
      <c r="B67">
        <f>Ingredientes!BT12</f>
        <v>20.020144112773302</v>
      </c>
      <c r="C67" t="s">
        <v>237</v>
      </c>
    </row>
    <row r="68" spans="1:3" x14ac:dyDescent="0.3">
      <c r="A68" t="s">
        <v>274</v>
      </c>
      <c r="B68">
        <f>Ingredientes!BU12</f>
        <v>80.783037648032618</v>
      </c>
      <c r="C68" t="s">
        <v>237</v>
      </c>
    </row>
    <row r="69" spans="1:3" x14ac:dyDescent="0.3">
      <c r="A69" t="s">
        <v>275</v>
      </c>
      <c r="B69">
        <f>Ingredientes!BV12</f>
        <v>80.43180704956292</v>
      </c>
      <c r="C69" t="s">
        <v>237</v>
      </c>
    </row>
    <row r="70" spans="1:3" x14ac:dyDescent="0.3">
      <c r="A70" t="s">
        <v>276</v>
      </c>
      <c r="B70">
        <f>Ingredientes!BW12</f>
        <v>1.7294048309939647</v>
      </c>
      <c r="C70" t="s">
        <v>227</v>
      </c>
    </row>
    <row r="71" spans="1:3" x14ac:dyDescent="0.3">
      <c r="A71" t="s">
        <v>277</v>
      </c>
      <c r="B71">
        <f>Ingredientes!BX12</f>
        <v>0</v>
      </c>
      <c r="C71" t="s">
        <v>227</v>
      </c>
    </row>
    <row r="72" spans="1:3" x14ac:dyDescent="0.3">
      <c r="A72" t="s">
        <v>278</v>
      </c>
      <c r="B72">
        <f>Ingredientes!BY12</f>
        <v>2.1776297105121838E-2</v>
      </c>
      <c r="C72" t="s">
        <v>227</v>
      </c>
    </row>
    <row r="73" spans="1:3" x14ac:dyDescent="0.3">
      <c r="A73" t="s">
        <v>279</v>
      </c>
      <c r="B73">
        <f>Ingredientes!BZ12</f>
        <v>3.7144274864297722</v>
      </c>
      <c r="C73" t="s">
        <v>227</v>
      </c>
    </row>
    <row r="74" spans="1:3" x14ac:dyDescent="0.3">
      <c r="A74" t="s">
        <v>280</v>
      </c>
      <c r="B74">
        <f>Ingredientes!CA12</f>
        <v>0.35126181896734882</v>
      </c>
      <c r="C74" t="s">
        <v>227</v>
      </c>
    </row>
    <row r="75" spans="1:3" x14ac:dyDescent="0.3">
      <c r="A75" t="s">
        <v>281</v>
      </c>
      <c r="B75">
        <f>Ingredientes!CB12</f>
        <v>2.1073835908182424E-3</v>
      </c>
      <c r="C75" t="s">
        <v>227</v>
      </c>
    </row>
    <row r="76" spans="1:3" x14ac:dyDescent="0.3">
      <c r="A76" t="s">
        <v>282</v>
      </c>
      <c r="B76">
        <f>Ingredientes!CC12</f>
        <v>1.8732298585051044E-2</v>
      </c>
      <c r="C76" t="s">
        <v>227</v>
      </c>
    </row>
    <row r="77" spans="1:3" x14ac:dyDescent="0.3">
      <c r="A77" t="s">
        <v>283</v>
      </c>
      <c r="B77">
        <f>Ingredientes!CD12</f>
        <v>0</v>
      </c>
      <c r="C77" t="s">
        <v>227</v>
      </c>
    </row>
    <row r="78" spans="1:3" x14ac:dyDescent="0.3">
      <c r="A78" t="s">
        <v>284</v>
      </c>
      <c r="B78">
        <f>Ingredientes!CE12</f>
        <v>7.0246119693941414E-4</v>
      </c>
      <c r="C78" t="s">
        <v>227</v>
      </c>
    </row>
    <row r="79" spans="1:3" x14ac:dyDescent="0.3">
      <c r="A79" t="s">
        <v>285</v>
      </c>
      <c r="B79">
        <f>Ingredientes!CF12</f>
        <v>34.561090889419177</v>
      </c>
      <c r="C79" t="s">
        <v>268</v>
      </c>
    </row>
    <row r="80" spans="1:3" x14ac:dyDescent="0.3">
      <c r="A80" t="s">
        <v>286</v>
      </c>
      <c r="B80">
        <f>Ingredientes!CG12</f>
        <v>0.86402727223547937</v>
      </c>
      <c r="C80" t="s">
        <v>237</v>
      </c>
    </row>
    <row r="81" spans="1:3" x14ac:dyDescent="0.3">
      <c r="A81" t="s">
        <v>287</v>
      </c>
      <c r="B81">
        <f>Ingredientes!CH12</f>
        <v>0</v>
      </c>
      <c r="C81" t="s">
        <v>237</v>
      </c>
    </row>
    <row r="82" spans="1:3" x14ac:dyDescent="0.3">
      <c r="A82" t="s">
        <v>288</v>
      </c>
      <c r="B82">
        <f>Ingredientes!CI12</f>
        <v>0.86402727223547937</v>
      </c>
      <c r="C82" t="s">
        <v>237</v>
      </c>
    </row>
    <row r="83" spans="1:3" x14ac:dyDescent="0.3">
      <c r="A83" t="s">
        <v>289</v>
      </c>
      <c r="B83">
        <f>Ingredientes!CJ12</f>
        <v>0.19668913514303596</v>
      </c>
      <c r="C83" t="s">
        <v>237</v>
      </c>
    </row>
    <row r="84" spans="1:3" x14ac:dyDescent="0.3">
      <c r="A84" t="s">
        <v>290</v>
      </c>
      <c r="B84">
        <f>Ingredientes!CK12</f>
        <v>9.5103879916304166</v>
      </c>
      <c r="C84" t="s">
        <v>237</v>
      </c>
    </row>
    <row r="85" spans="1:3" x14ac:dyDescent="0.3">
      <c r="A85" t="s">
        <v>291</v>
      </c>
      <c r="B85">
        <f>Ingredientes!CL12</f>
        <v>0</v>
      </c>
      <c r="C85" t="s">
        <v>237</v>
      </c>
    </row>
    <row r="86" spans="1:3" x14ac:dyDescent="0.3">
      <c r="A86" t="s">
        <v>292</v>
      </c>
      <c r="B86">
        <f>Ingredientes!CM12</f>
        <v>0</v>
      </c>
      <c r="C86" t="s">
        <v>237</v>
      </c>
    </row>
    <row r="87" spans="1:3" x14ac:dyDescent="0.3">
      <c r="A87" t="s">
        <v>293</v>
      </c>
      <c r="B87">
        <f>Ingredientes!CN12</f>
        <v>2.6819617268548361</v>
      </c>
      <c r="C87" t="s">
        <v>204</v>
      </c>
    </row>
    <row r="88" spans="1:3" x14ac:dyDescent="0.3">
      <c r="A88" t="s">
        <v>294</v>
      </c>
      <c r="B88">
        <f>Ingredientes!CO12</f>
        <v>0</v>
      </c>
      <c r="C88" t="s">
        <v>204</v>
      </c>
    </row>
    <row r="89" spans="1:3" x14ac:dyDescent="0.3">
      <c r="A89" t="s">
        <v>295</v>
      </c>
      <c r="B89">
        <f>Ingredientes!CP12</f>
        <v>0</v>
      </c>
      <c r="C89" t="s">
        <v>204</v>
      </c>
    </row>
    <row r="90" spans="1:3" x14ac:dyDescent="0.3">
      <c r="A90" t="s">
        <v>296</v>
      </c>
      <c r="B90">
        <f>Ingredientes!CQ12</f>
        <v>1.7561529923485351E-4</v>
      </c>
      <c r="C90" t="s">
        <v>204</v>
      </c>
    </row>
    <row r="91" spans="1:3" x14ac:dyDescent="0.3">
      <c r="A91" t="s">
        <v>297</v>
      </c>
      <c r="B91">
        <f>Ingredientes!CR12</f>
        <v>9.2256570531376396E-4</v>
      </c>
      <c r="C91" t="s">
        <v>204</v>
      </c>
    </row>
    <row r="92" spans="1:3" x14ac:dyDescent="0.3">
      <c r="A92" t="s">
        <v>298</v>
      </c>
      <c r="B92">
        <f>Ingredientes!CS12</f>
        <v>3.1915153714280713E-3</v>
      </c>
      <c r="C92" t="s">
        <v>204</v>
      </c>
    </row>
    <row r="93" spans="1:3" x14ac:dyDescent="0.3">
      <c r="A93" t="s">
        <v>299</v>
      </c>
      <c r="B93">
        <f>Ingredientes!CT12</f>
        <v>0</v>
      </c>
      <c r="C93" t="s">
        <v>204</v>
      </c>
    </row>
    <row r="94" spans="1:3" x14ac:dyDescent="0.3">
      <c r="A94" t="s">
        <v>300</v>
      </c>
      <c r="B94">
        <f>Ingredientes!CU12</f>
        <v>1.9451150543252377E-2</v>
      </c>
      <c r="C94" t="s">
        <v>204</v>
      </c>
    </row>
    <row r="95" spans="1:3" x14ac:dyDescent="0.3">
      <c r="A95" t="s">
        <v>301</v>
      </c>
      <c r="B95">
        <f>Ingredientes!CV12</f>
        <v>1.6390761261919664E-4</v>
      </c>
      <c r="C95" t="s">
        <v>204</v>
      </c>
    </row>
    <row r="96" spans="1:3" x14ac:dyDescent="0.3">
      <c r="A96" t="s">
        <v>302</v>
      </c>
      <c r="B96">
        <f>Ingredientes!CW12</f>
        <v>1.5075176322042707</v>
      </c>
      <c r="C96" t="s">
        <v>204</v>
      </c>
    </row>
    <row r="97" spans="1:3" x14ac:dyDescent="0.3">
      <c r="A97" t="s">
        <v>303</v>
      </c>
      <c r="B97">
        <f>Ingredientes!CX12</f>
        <v>1.3638674394799256E-2</v>
      </c>
      <c r="C97" t="s">
        <v>204</v>
      </c>
    </row>
    <row r="98" spans="1:3" x14ac:dyDescent="0.3">
      <c r="A98" t="s">
        <v>304</v>
      </c>
      <c r="B98">
        <f>Ingredientes!CY12</f>
        <v>0.53337332324900977</v>
      </c>
      <c r="C98" t="s">
        <v>204</v>
      </c>
    </row>
    <row r="99" spans="1:3" x14ac:dyDescent="0.3">
      <c r="A99" t="s">
        <v>305</v>
      </c>
      <c r="B99">
        <f>Ingredientes!CZ12</f>
        <v>4.9102037666065051E-2</v>
      </c>
      <c r="C99" t="s">
        <v>204</v>
      </c>
    </row>
    <row r="100" spans="1:3" x14ac:dyDescent="0.3">
      <c r="A100" t="s">
        <v>306</v>
      </c>
      <c r="B100">
        <f>Ingredientes!DA12</f>
        <v>2.9269216539142256E-4</v>
      </c>
      <c r="C100" t="s">
        <v>204</v>
      </c>
    </row>
    <row r="101" spans="1:3" x14ac:dyDescent="0.3">
      <c r="A101" t="s">
        <v>307</v>
      </c>
      <c r="B101">
        <f>Ingredientes!DB12</f>
        <v>2.6763771603391679E-2</v>
      </c>
      <c r="C101" t="s">
        <v>204</v>
      </c>
    </row>
    <row r="102" spans="1:3" x14ac:dyDescent="0.3">
      <c r="A102" t="s">
        <v>308</v>
      </c>
      <c r="B102">
        <f>Ingredientes!DC12</f>
        <v>1.451753140341456E-3</v>
      </c>
      <c r="C102" t="s">
        <v>204</v>
      </c>
    </row>
    <row r="103" spans="1:3" x14ac:dyDescent="0.3">
      <c r="A103" t="s">
        <v>309</v>
      </c>
      <c r="B103">
        <f>Ingredientes!DD12</f>
        <v>6.5446857965704863</v>
      </c>
      <c r="C103" t="s">
        <v>204</v>
      </c>
    </row>
    <row r="104" spans="1:3" x14ac:dyDescent="0.3">
      <c r="A104" t="s">
        <v>310</v>
      </c>
      <c r="B104">
        <f>Ingredientes!DE12</f>
        <v>0</v>
      </c>
      <c r="C104" t="s">
        <v>204</v>
      </c>
    </row>
    <row r="105" spans="1:3" x14ac:dyDescent="0.3">
      <c r="A105" t="s">
        <v>311</v>
      </c>
      <c r="B105">
        <f>Ingredientes!DF12</f>
        <v>0</v>
      </c>
      <c r="C105" t="s">
        <v>204</v>
      </c>
    </row>
    <row r="106" spans="1:3" x14ac:dyDescent="0.3">
      <c r="A106" t="s">
        <v>312</v>
      </c>
      <c r="B106">
        <f>Ingredientes!DG12</f>
        <v>1.7232934185805914E-2</v>
      </c>
      <c r="C106" t="s">
        <v>204</v>
      </c>
    </row>
    <row r="107" spans="1:3" x14ac:dyDescent="0.3">
      <c r="A107" t="s">
        <v>313</v>
      </c>
      <c r="B107">
        <f>Ingredientes!DH12</f>
        <v>8.4529497365042824E-2</v>
      </c>
      <c r="C107" t="s">
        <v>204</v>
      </c>
    </row>
    <row r="108" spans="1:3" x14ac:dyDescent="0.3">
      <c r="A108" t="s">
        <v>314</v>
      </c>
      <c r="B108">
        <f>Ingredientes!DI12</f>
        <v>0</v>
      </c>
      <c r="C108" t="s">
        <v>204</v>
      </c>
    </row>
    <row r="109" spans="1:3" x14ac:dyDescent="0.3">
      <c r="A109" t="s">
        <v>315</v>
      </c>
      <c r="B109">
        <f>Ingredientes!DJ12</f>
        <v>4.8934102609250063</v>
      </c>
      <c r="C109" t="s">
        <v>204</v>
      </c>
    </row>
    <row r="110" spans="1:3" x14ac:dyDescent="0.3">
      <c r="A110" t="s">
        <v>316</v>
      </c>
      <c r="B110">
        <f>Ingredientes!DK12</f>
        <v>5.7851847504395923</v>
      </c>
      <c r="C110" t="s">
        <v>204</v>
      </c>
    </row>
    <row r="111" spans="1:3" x14ac:dyDescent="0.3">
      <c r="A111" t="s">
        <v>317</v>
      </c>
      <c r="B111">
        <f>Ingredientes!DL12</f>
        <v>9.9538751606314979E-2</v>
      </c>
      <c r="C111" t="s">
        <v>204</v>
      </c>
    </row>
    <row r="112" spans="1:3" x14ac:dyDescent="0.3">
      <c r="A112" t="s">
        <v>318</v>
      </c>
      <c r="B112">
        <f>Ingredientes!DM12</f>
        <v>7.0246119693941414E-3</v>
      </c>
      <c r="C112" t="s">
        <v>204</v>
      </c>
    </row>
    <row r="113" spans="1:3" x14ac:dyDescent="0.3">
      <c r="A113" t="s">
        <v>319</v>
      </c>
      <c r="B113">
        <f>Ingredientes!DN12</f>
        <v>1.7561529923485351E-4</v>
      </c>
      <c r="C113" t="s">
        <v>204</v>
      </c>
    </row>
    <row r="114" spans="1:3" x14ac:dyDescent="0.3">
      <c r="A114" t="s">
        <v>320</v>
      </c>
      <c r="B114">
        <f>Ingredientes!DO12</f>
        <v>0</v>
      </c>
      <c r="C114" t="s">
        <v>204</v>
      </c>
    </row>
    <row r="115" spans="1:3" x14ac:dyDescent="0.3">
      <c r="A115" t="s">
        <v>321</v>
      </c>
      <c r="B115">
        <f>Ingredientes!DP12</f>
        <v>3.5051814671352224</v>
      </c>
      <c r="C115" t="s">
        <v>204</v>
      </c>
    </row>
    <row r="116" spans="1:3" x14ac:dyDescent="0.3">
      <c r="A116" t="s">
        <v>322</v>
      </c>
      <c r="B116">
        <f>Ingredientes!DQ12</f>
        <v>1.5293641754290863</v>
      </c>
      <c r="C116" t="s">
        <v>204</v>
      </c>
    </row>
    <row r="117" spans="1:3" x14ac:dyDescent="0.3">
      <c r="A117" t="s">
        <v>323</v>
      </c>
      <c r="B117">
        <f>Ingredientes!DR12</f>
        <v>1.1087179225027086</v>
      </c>
      <c r="C117" t="s">
        <v>204</v>
      </c>
    </row>
    <row r="118" spans="1:3" x14ac:dyDescent="0.3">
      <c r="A118" t="s">
        <v>324</v>
      </c>
      <c r="B118">
        <f>Ingredientes!DS12</f>
        <v>2.4181055935977769</v>
      </c>
      <c r="C118" t="s">
        <v>204</v>
      </c>
    </row>
    <row r="119" spans="1:3" x14ac:dyDescent="0.3">
      <c r="A119" t="s">
        <v>325</v>
      </c>
      <c r="B119">
        <f>Ingredientes!DT12</f>
        <v>0.66030493948619784</v>
      </c>
      <c r="C119" t="s">
        <v>204</v>
      </c>
    </row>
    <row r="120" spans="1:3" x14ac:dyDescent="0.3">
      <c r="A120" t="s">
        <v>326</v>
      </c>
      <c r="B120">
        <f>Ingredientes!DU12</f>
        <v>8.1368421978815469E-2</v>
      </c>
      <c r="C120" t="s">
        <v>204</v>
      </c>
    </row>
    <row r="121" spans="1:3" x14ac:dyDescent="0.3">
      <c r="A121" t="s">
        <v>327</v>
      </c>
      <c r="B121">
        <f>Ingredientes!DV12</f>
        <v>0.72036537182451776</v>
      </c>
      <c r="C121" t="s">
        <v>204</v>
      </c>
    </row>
    <row r="122" spans="1:3" x14ac:dyDescent="0.3">
      <c r="A122" t="s">
        <v>328</v>
      </c>
      <c r="B122">
        <f>Ingredientes!DW12</f>
        <v>3.8635365831667773E-3</v>
      </c>
      <c r="C122" t="s">
        <v>204</v>
      </c>
    </row>
    <row r="123" spans="1:3" x14ac:dyDescent="0.3">
      <c r="A123" t="s">
        <v>329</v>
      </c>
      <c r="B123">
        <f>Ingredientes!DX12</f>
        <v>0</v>
      </c>
      <c r="C123" t="s">
        <v>204</v>
      </c>
    </row>
    <row r="124" spans="1:3" x14ac:dyDescent="0.3">
      <c r="A124" t="s">
        <v>330</v>
      </c>
      <c r="B124">
        <f>Ingredientes!DY12</f>
        <v>0</v>
      </c>
      <c r="C124" t="s">
        <v>204</v>
      </c>
    </row>
    <row r="125" spans="1:3" x14ac:dyDescent="0.3">
      <c r="A125" t="s">
        <v>331</v>
      </c>
      <c r="B125">
        <f>Ingredientes!DZ12</f>
        <v>0</v>
      </c>
      <c r="C125" t="s">
        <v>204</v>
      </c>
    </row>
    <row r="126" spans="1:3" x14ac:dyDescent="0.3">
      <c r="A126" t="s">
        <v>332</v>
      </c>
      <c r="B126">
        <f>Ingredientes!EA12</f>
        <v>7.0246119693941414E-3</v>
      </c>
      <c r="C126" t="s">
        <v>204</v>
      </c>
    </row>
    <row r="127" spans="1:3" x14ac:dyDescent="0.3">
      <c r="A127" t="s">
        <v>333</v>
      </c>
      <c r="B127">
        <f>Ingredientes!EB12</f>
        <v>7.0246119693941414E-3</v>
      </c>
      <c r="C127" t="s">
        <v>204</v>
      </c>
    </row>
    <row r="128" spans="1:3" x14ac:dyDescent="0.3">
      <c r="A128" t="s">
        <v>334</v>
      </c>
      <c r="B128">
        <f>Ingredientes!EC12</f>
        <v>2.3415373231313802E-4</v>
      </c>
      <c r="C128" t="s">
        <v>204</v>
      </c>
    </row>
    <row r="129" spans="1:3" x14ac:dyDescent="0.3">
      <c r="A129" t="s">
        <v>335</v>
      </c>
      <c r="B129">
        <f>Ingredientes!ED12</f>
        <v>0</v>
      </c>
      <c r="C129" t="s">
        <v>204</v>
      </c>
    </row>
    <row r="130" spans="1:3" x14ac:dyDescent="0.3">
      <c r="A130" t="s">
        <v>336</v>
      </c>
      <c r="B130">
        <f>Ingredientes!EE12</f>
        <v>0</v>
      </c>
      <c r="C130" t="s">
        <v>204</v>
      </c>
    </row>
    <row r="131" spans="1:3" x14ac:dyDescent="0.3">
      <c r="A131" t="s">
        <v>337</v>
      </c>
      <c r="B131">
        <f>Ingredientes!EF12</f>
        <v>0</v>
      </c>
      <c r="C131" t="s">
        <v>204</v>
      </c>
    </row>
    <row r="132" spans="1:3" x14ac:dyDescent="0.3">
      <c r="A132" t="s">
        <v>338</v>
      </c>
      <c r="B132">
        <f>Ingredientes!EG12</f>
        <v>2.774721727910686E-2</v>
      </c>
      <c r="C132" t="s">
        <v>204</v>
      </c>
    </row>
    <row r="133" spans="1:3" x14ac:dyDescent="0.3">
      <c r="A133" t="s">
        <v>339</v>
      </c>
      <c r="B133">
        <f>Ingredientes!EH12</f>
        <v>2.1073835908182424E-3</v>
      </c>
      <c r="C133" t="s">
        <v>204</v>
      </c>
    </row>
    <row r="134" spans="1:3" x14ac:dyDescent="0.3">
      <c r="A134" t="s">
        <v>340</v>
      </c>
      <c r="B134">
        <f>Ingredientes!EI12</f>
        <v>2.1073835908182424E-3</v>
      </c>
      <c r="C134" t="s">
        <v>204</v>
      </c>
    </row>
    <row r="135" spans="1:3" x14ac:dyDescent="0.3">
      <c r="A135" t="s">
        <v>341</v>
      </c>
      <c r="B135">
        <f>Ingredientes!EJ12</f>
        <v>2.5639833688288614E-2</v>
      </c>
      <c r="C135" t="s">
        <v>204</v>
      </c>
    </row>
    <row r="136" spans="1:3" x14ac:dyDescent="0.3">
      <c r="A136" t="s">
        <v>342</v>
      </c>
      <c r="B136">
        <f>Ingredientes!EK12</f>
        <v>2.5639833688288614E-2</v>
      </c>
      <c r="C136" t="s">
        <v>204</v>
      </c>
    </row>
    <row r="137" spans="1:3" x14ac:dyDescent="0.3">
      <c r="A137" t="s">
        <v>343</v>
      </c>
      <c r="B137">
        <f>Ingredientes!EL12</f>
        <v>144.35577597104961</v>
      </c>
      <c r="C137" t="s">
        <v>227</v>
      </c>
    </row>
    <row r="138" spans="1:3" x14ac:dyDescent="0.3">
      <c r="A138" t="s">
        <v>8</v>
      </c>
      <c r="B138">
        <f>Ingredientes!EM12</f>
        <v>2.4149054925894986</v>
      </c>
      <c r="C138" t="s">
        <v>227</v>
      </c>
    </row>
    <row r="139" spans="1:3" x14ac:dyDescent="0.3">
      <c r="A139" t="s">
        <v>344</v>
      </c>
      <c r="B139">
        <f>Ingredientes!EN12</f>
        <v>6.2855447389697741E-2</v>
      </c>
      <c r="C139" t="s">
        <v>204</v>
      </c>
    </row>
    <row r="140" spans="1:3" x14ac:dyDescent="0.3">
      <c r="A140" t="s">
        <v>345</v>
      </c>
      <c r="B140">
        <f>Ingredientes!EO12</f>
        <v>0.22126278883685874</v>
      </c>
      <c r="C140" t="s">
        <v>204</v>
      </c>
    </row>
    <row r="141" spans="1:3" x14ac:dyDescent="0.3">
      <c r="A141" t="s">
        <v>346</v>
      </c>
      <c r="B141">
        <f>Ingredientes!EP12</f>
        <v>0.22991867180803441</v>
      </c>
      <c r="C141" t="s">
        <v>204</v>
      </c>
    </row>
    <row r="142" spans="1:3" x14ac:dyDescent="0.3">
      <c r="A142" t="s">
        <v>347</v>
      </c>
      <c r="B142">
        <f>Ingredientes!EQ12</f>
        <v>0.39229101645569792</v>
      </c>
      <c r="C142" t="s">
        <v>204</v>
      </c>
    </row>
    <row r="143" spans="1:3" x14ac:dyDescent="0.3">
      <c r="A143" t="s">
        <v>348</v>
      </c>
      <c r="B143">
        <f>Ingredientes!ER12</f>
        <v>0.31479393618445967</v>
      </c>
      <c r="C143" t="s">
        <v>204</v>
      </c>
    </row>
    <row r="144" spans="1:3" x14ac:dyDescent="0.3">
      <c r="A144" t="s">
        <v>349</v>
      </c>
      <c r="B144">
        <f>Ingredientes!ES12</f>
        <v>0.15405910663810604</v>
      </c>
      <c r="C144" t="s">
        <v>204</v>
      </c>
    </row>
    <row r="145" spans="1:3" x14ac:dyDescent="0.3">
      <c r="A145" t="s">
        <v>350</v>
      </c>
      <c r="B145">
        <f>Ingredientes!ET12</f>
        <v>5.387096868084266E-3</v>
      </c>
      <c r="C145" t="s">
        <v>204</v>
      </c>
    </row>
    <row r="146" spans="1:3" x14ac:dyDescent="0.3">
      <c r="A146" t="s">
        <v>351</v>
      </c>
      <c r="B146">
        <f>Ingredientes!EU12</f>
        <v>0.24537281814070153</v>
      </c>
      <c r="C146" t="s">
        <v>204</v>
      </c>
    </row>
    <row r="147" spans="1:3" x14ac:dyDescent="0.3">
      <c r="A147" t="s">
        <v>352</v>
      </c>
      <c r="B147">
        <f>Ingredientes!EV12</f>
        <v>0.19246187976234277</v>
      </c>
      <c r="C147" t="s">
        <v>204</v>
      </c>
    </row>
    <row r="148" spans="1:3" x14ac:dyDescent="0.3">
      <c r="A148" t="s">
        <v>353</v>
      </c>
      <c r="B148">
        <f>Ingredientes!EW12</f>
        <v>0.27860859890522832</v>
      </c>
      <c r="C148" t="s">
        <v>204</v>
      </c>
    </row>
    <row r="149" spans="1:3" x14ac:dyDescent="0.3">
      <c r="A149" t="s">
        <v>354</v>
      </c>
      <c r="B149">
        <f>Ingredientes!EX12</f>
        <v>0.29183672375603859</v>
      </c>
      <c r="C149" t="s">
        <v>204</v>
      </c>
    </row>
    <row r="150" spans="1:3" x14ac:dyDescent="0.3">
      <c r="A150" t="s">
        <v>355</v>
      </c>
      <c r="B150">
        <f>Ingredientes!EY12</f>
        <v>0.11026533408357983</v>
      </c>
      <c r="C150" t="s">
        <v>204</v>
      </c>
    </row>
    <row r="151" spans="1:3" x14ac:dyDescent="0.3">
      <c r="A151" t="s">
        <v>356</v>
      </c>
      <c r="B151">
        <f>Ingredientes!EZ12</f>
        <v>0.24968905193967372</v>
      </c>
      <c r="C151" t="s">
        <v>204</v>
      </c>
    </row>
    <row r="152" spans="1:3" x14ac:dyDescent="0.3">
      <c r="A152" t="s">
        <v>357</v>
      </c>
      <c r="B152">
        <f>Ingredientes!FA12</f>
        <v>0.48674472950861258</v>
      </c>
      <c r="C152" t="s">
        <v>204</v>
      </c>
    </row>
    <row r="153" spans="1:3" x14ac:dyDescent="0.3">
      <c r="A153" t="s">
        <v>358</v>
      </c>
      <c r="B153">
        <f>Ingredientes!FB12</f>
        <v>0.60687183828478075</v>
      </c>
      <c r="C153" t="s">
        <v>204</v>
      </c>
    </row>
    <row r="154" spans="1:3" x14ac:dyDescent="0.3">
      <c r="A154" t="s">
        <v>359</v>
      </c>
      <c r="B154">
        <f>Ingredientes!FC12</f>
        <v>0.16141387537006172</v>
      </c>
      <c r="C154" t="s">
        <v>204</v>
      </c>
    </row>
    <row r="155" spans="1:3" x14ac:dyDescent="0.3">
      <c r="A155" t="s">
        <v>360</v>
      </c>
      <c r="B155">
        <f>Ingredientes!FD12</f>
        <v>0.23560626596592057</v>
      </c>
      <c r="C155" t="s">
        <v>204</v>
      </c>
    </row>
    <row r="156" spans="1:3" x14ac:dyDescent="0.3">
      <c r="A156" t="s">
        <v>361</v>
      </c>
      <c r="B156">
        <f>Ingredientes!FE12</f>
        <v>0.34089271118808206</v>
      </c>
      <c r="C156" t="s">
        <v>204</v>
      </c>
    </row>
    <row r="157" spans="1:3" x14ac:dyDescent="0.3">
      <c r="A157" t="s">
        <v>362</v>
      </c>
      <c r="B157">
        <f>Ingredientes!FF12</f>
        <v>0</v>
      </c>
      <c r="C157" t="s">
        <v>204</v>
      </c>
    </row>
    <row r="158" spans="1:3" x14ac:dyDescent="0.3">
      <c r="A158" t="s">
        <v>363</v>
      </c>
      <c r="B158">
        <f>Ingredientes!FG12</f>
        <v>0.13522378041083721</v>
      </c>
      <c r="C158" t="s">
        <v>204</v>
      </c>
    </row>
    <row r="159" spans="1:3" x14ac:dyDescent="0.3">
      <c r="A159" t="s">
        <v>364</v>
      </c>
      <c r="B159">
        <f>Ingredientes!FH12</f>
        <v>0</v>
      </c>
      <c r="C159" t="s">
        <v>204</v>
      </c>
    </row>
    <row r="160" spans="1:3" x14ac:dyDescent="0.3">
      <c r="A160" t="s">
        <v>365</v>
      </c>
      <c r="B160">
        <f>Ingredientes!FI12</f>
        <v>0.29269216539142251</v>
      </c>
      <c r="C160" t="s">
        <v>227</v>
      </c>
    </row>
    <row r="161" spans="1:3" x14ac:dyDescent="0.3">
      <c r="A161" t="s">
        <v>366</v>
      </c>
      <c r="B161">
        <f>Ingredientes!FJ12</f>
        <v>10.771071686404349</v>
      </c>
      <c r="C161" t="s">
        <v>227</v>
      </c>
    </row>
    <row r="162" spans="1:3" x14ac:dyDescent="0.3">
      <c r="A162" t="s">
        <v>367</v>
      </c>
      <c r="B162">
        <f>Ingredientes!FK12</f>
        <v>0.18732298585051044</v>
      </c>
      <c r="C162" t="s">
        <v>204</v>
      </c>
    </row>
    <row r="163" spans="1:3" x14ac:dyDescent="0.3">
      <c r="A163" t="s">
        <v>368</v>
      </c>
      <c r="B163">
        <f>Ingredientes!FL12</f>
        <v>0.85934419758921665</v>
      </c>
      <c r="C163" t="s">
        <v>227</v>
      </c>
    </row>
    <row r="164" spans="1:3" x14ac:dyDescent="0.3">
      <c r="A164" t="s">
        <v>369</v>
      </c>
      <c r="B164">
        <f>Ingredientes!FM12</f>
        <v>17.608360669947981</v>
      </c>
      <c r="C164" t="s">
        <v>227</v>
      </c>
    </row>
    <row r="165" spans="1:3" x14ac:dyDescent="0.3">
      <c r="A165" t="s">
        <v>370</v>
      </c>
      <c r="B165">
        <f>Ingredientes!FN12</f>
        <v>0</v>
      </c>
      <c r="C165" t="s">
        <v>227</v>
      </c>
    </row>
    <row r="166" spans="1:3" x14ac:dyDescent="0.3">
      <c r="A166" t="s">
        <v>371</v>
      </c>
      <c r="B166">
        <f>Ingredientes!FO12</f>
        <v>30.802923485793311</v>
      </c>
      <c r="C166" t="s">
        <v>227</v>
      </c>
    </row>
    <row r="167" spans="1:3" x14ac:dyDescent="0.3">
      <c r="A167" t="s">
        <v>372</v>
      </c>
      <c r="B167">
        <f>Ingredientes!FP12</f>
        <v>2.5171526223662338E-2</v>
      </c>
      <c r="C167" t="s">
        <v>227</v>
      </c>
    </row>
    <row r="168" spans="1:3" x14ac:dyDescent="0.3">
      <c r="A168" t="s">
        <v>373</v>
      </c>
      <c r="B168">
        <f>Ingredientes!FQ12</f>
        <v>6.5797198779991795E-2</v>
      </c>
      <c r="C168" t="s">
        <v>227</v>
      </c>
    </row>
    <row r="169" spans="1:3" x14ac:dyDescent="0.3">
      <c r="A169" t="s">
        <v>374</v>
      </c>
      <c r="B169">
        <f>Ingredientes!FR12</f>
        <v>0.12293070946439748</v>
      </c>
      <c r="C169" t="s">
        <v>227</v>
      </c>
    </row>
    <row r="170" spans="1:3" x14ac:dyDescent="0.3">
      <c r="A170" t="s">
        <v>375</v>
      </c>
      <c r="B170">
        <f>Ingredientes!FS12</f>
        <v>0.24351988160566357</v>
      </c>
      <c r="C170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Joaquín Torres</cp:lastModifiedBy>
  <dcterms:created xsi:type="dcterms:W3CDTF">2025-12-05T18:55:59Z</dcterms:created>
  <dcterms:modified xsi:type="dcterms:W3CDTF">2025-12-08T18:10:23Z</dcterms:modified>
</cp:coreProperties>
</file>