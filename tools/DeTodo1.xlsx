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correoucuedu-my.sharepoint.com/personal/jose_torres_correo_ucu_edu_uy/Documents/VS CODE/Programacion II/food_formulator/tools/"/>
    </mc:Choice>
  </mc:AlternateContent>
  <xr:revisionPtr revIDLastSave="1" documentId="11_81218FE5CBDC58214BBFFBB4205BDA1636400F68" xr6:coauthVersionLast="47" xr6:coauthVersionMax="47" xr10:uidLastSave="{F141B67A-2ADE-4E5A-A8C2-E5CD2A72ED10}"/>
  <bookViews>
    <workbookView xWindow="-108" yWindow="-108" windowWidth="23256" windowHeight="12456" xr2:uid="{00000000-000D-0000-FFFF-FFFF00000000}"/>
  </bookViews>
  <sheets>
    <sheet name="Ingredientes" sheetId="1" r:id="rId1"/>
    <sheet name="Tota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1" l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HH34" i="1" s="1"/>
  <c r="B211" i="2" s="1"/>
  <c r="I34" i="1" l="1"/>
  <c r="B4" i="2" s="1"/>
  <c r="Q34" i="1"/>
  <c r="B12" i="2" s="1"/>
  <c r="Y34" i="1"/>
  <c r="B20" i="2" s="1"/>
  <c r="AG34" i="1"/>
  <c r="B28" i="2" s="1"/>
  <c r="AO34" i="1"/>
  <c r="B36" i="2" s="1"/>
  <c r="AW34" i="1"/>
  <c r="B44" i="2" s="1"/>
  <c r="BE34" i="1"/>
  <c r="B52" i="2" s="1"/>
  <c r="BM34" i="1"/>
  <c r="B60" i="2" s="1"/>
  <c r="BU34" i="1"/>
  <c r="B68" i="2" s="1"/>
  <c r="CC34" i="1"/>
  <c r="B76" i="2" s="1"/>
  <c r="CK34" i="1"/>
  <c r="B84" i="2" s="1"/>
  <c r="CS34" i="1"/>
  <c r="B92" i="2" s="1"/>
  <c r="DA34" i="1"/>
  <c r="B100" i="2" s="1"/>
  <c r="DI34" i="1"/>
  <c r="B108" i="2" s="1"/>
  <c r="DQ34" i="1"/>
  <c r="B116" i="2" s="1"/>
  <c r="DY34" i="1"/>
  <c r="B124" i="2" s="1"/>
  <c r="EG34" i="1"/>
  <c r="B132" i="2" s="1"/>
  <c r="EO34" i="1"/>
  <c r="B140" i="2" s="1"/>
  <c r="EW34" i="1"/>
  <c r="B148" i="2" s="1"/>
  <c r="FE34" i="1"/>
  <c r="B156" i="2" s="1"/>
  <c r="FM34" i="1"/>
  <c r="B164" i="2" s="1"/>
  <c r="FU34" i="1"/>
  <c r="B172" i="2" s="1"/>
  <c r="GC34" i="1"/>
  <c r="B180" i="2" s="1"/>
  <c r="GK34" i="1"/>
  <c r="B188" i="2" s="1"/>
  <c r="GS34" i="1"/>
  <c r="B196" i="2" s="1"/>
  <c r="HA34" i="1"/>
  <c r="B204" i="2" s="1"/>
  <c r="HI34" i="1"/>
  <c r="B212" i="2" s="1"/>
  <c r="J34" i="1"/>
  <c r="B5" i="2" s="1"/>
  <c r="R34" i="1"/>
  <c r="B13" i="2" s="1"/>
  <c r="Z34" i="1"/>
  <c r="B21" i="2" s="1"/>
  <c r="AH34" i="1"/>
  <c r="B29" i="2" s="1"/>
  <c r="AP34" i="1"/>
  <c r="B37" i="2" s="1"/>
  <c r="AX34" i="1"/>
  <c r="B45" i="2" s="1"/>
  <c r="BF34" i="1"/>
  <c r="B53" i="2" s="1"/>
  <c r="BN34" i="1"/>
  <c r="B61" i="2" s="1"/>
  <c r="BV34" i="1"/>
  <c r="B69" i="2" s="1"/>
  <c r="CD34" i="1"/>
  <c r="B77" i="2" s="1"/>
  <c r="CL34" i="1"/>
  <c r="B85" i="2" s="1"/>
  <c r="CT34" i="1"/>
  <c r="B93" i="2" s="1"/>
  <c r="DB34" i="1"/>
  <c r="B101" i="2" s="1"/>
  <c r="DJ34" i="1"/>
  <c r="B109" i="2" s="1"/>
  <c r="DR34" i="1"/>
  <c r="B117" i="2" s="1"/>
  <c r="DZ34" i="1"/>
  <c r="B125" i="2" s="1"/>
  <c r="EH34" i="1"/>
  <c r="B133" i="2" s="1"/>
  <c r="EP34" i="1"/>
  <c r="B141" i="2" s="1"/>
  <c r="EX34" i="1"/>
  <c r="B149" i="2" s="1"/>
  <c r="FF34" i="1"/>
  <c r="B157" i="2" s="1"/>
  <c r="FN34" i="1"/>
  <c r="B165" i="2" s="1"/>
  <c r="FV34" i="1"/>
  <c r="B173" i="2" s="1"/>
  <c r="GD34" i="1"/>
  <c r="B181" i="2" s="1"/>
  <c r="GL34" i="1"/>
  <c r="B189" i="2" s="1"/>
  <c r="GT34" i="1"/>
  <c r="B197" i="2" s="1"/>
  <c r="HB34" i="1"/>
  <c r="B205" i="2" s="1"/>
  <c r="HJ34" i="1"/>
  <c r="B213" i="2" s="1"/>
  <c r="K34" i="1"/>
  <c r="B6" i="2" s="1"/>
  <c r="S34" i="1"/>
  <c r="B14" i="2" s="1"/>
  <c r="AA34" i="1"/>
  <c r="B22" i="2" s="1"/>
  <c r="AI34" i="1"/>
  <c r="B30" i="2" s="1"/>
  <c r="AQ34" i="1"/>
  <c r="B38" i="2" s="1"/>
  <c r="AY34" i="1"/>
  <c r="B46" i="2" s="1"/>
  <c r="BG34" i="1"/>
  <c r="B54" i="2" s="1"/>
  <c r="BO34" i="1"/>
  <c r="B62" i="2" s="1"/>
  <c r="BW34" i="1"/>
  <c r="B70" i="2" s="1"/>
  <c r="CE34" i="1"/>
  <c r="B78" i="2" s="1"/>
  <c r="CM34" i="1"/>
  <c r="B86" i="2" s="1"/>
  <c r="CU34" i="1"/>
  <c r="B94" i="2" s="1"/>
  <c r="DC34" i="1"/>
  <c r="B102" i="2" s="1"/>
  <c r="DK34" i="1"/>
  <c r="B110" i="2" s="1"/>
  <c r="DS34" i="1"/>
  <c r="B118" i="2" s="1"/>
  <c r="EA34" i="1"/>
  <c r="B126" i="2" s="1"/>
  <c r="EI34" i="1"/>
  <c r="B134" i="2" s="1"/>
  <c r="EQ34" i="1"/>
  <c r="B142" i="2" s="1"/>
  <c r="EY34" i="1"/>
  <c r="B150" i="2" s="1"/>
  <c r="FG34" i="1"/>
  <c r="B158" i="2" s="1"/>
  <c r="FO34" i="1"/>
  <c r="B166" i="2" s="1"/>
  <c r="FW34" i="1"/>
  <c r="B174" i="2" s="1"/>
  <c r="GE34" i="1"/>
  <c r="B182" i="2" s="1"/>
  <c r="GM34" i="1"/>
  <c r="B190" i="2" s="1"/>
  <c r="GU34" i="1"/>
  <c r="B198" i="2" s="1"/>
  <c r="HC34" i="1"/>
  <c r="B206" i="2" s="1"/>
  <c r="HK34" i="1"/>
  <c r="B214" i="2" s="1"/>
  <c r="L34" i="1"/>
  <c r="B7" i="2" s="1"/>
  <c r="T34" i="1"/>
  <c r="B15" i="2" s="1"/>
  <c r="AB34" i="1"/>
  <c r="B23" i="2" s="1"/>
  <c r="AJ34" i="1"/>
  <c r="B31" i="2" s="1"/>
  <c r="AR34" i="1"/>
  <c r="B39" i="2" s="1"/>
  <c r="AZ34" i="1"/>
  <c r="B47" i="2" s="1"/>
  <c r="BH34" i="1"/>
  <c r="B55" i="2" s="1"/>
  <c r="BP34" i="1"/>
  <c r="B63" i="2" s="1"/>
  <c r="BX34" i="1"/>
  <c r="B71" i="2" s="1"/>
  <c r="CF34" i="1"/>
  <c r="B79" i="2" s="1"/>
  <c r="CN34" i="1"/>
  <c r="B87" i="2" s="1"/>
  <c r="CV34" i="1"/>
  <c r="B95" i="2" s="1"/>
  <c r="DD34" i="1"/>
  <c r="B103" i="2" s="1"/>
  <c r="DL34" i="1"/>
  <c r="B111" i="2" s="1"/>
  <c r="DT34" i="1"/>
  <c r="B119" i="2" s="1"/>
  <c r="EB34" i="1"/>
  <c r="B127" i="2" s="1"/>
  <c r="EJ34" i="1"/>
  <c r="B135" i="2" s="1"/>
  <c r="ER34" i="1"/>
  <c r="B143" i="2" s="1"/>
  <c r="EZ34" i="1"/>
  <c r="B151" i="2" s="1"/>
  <c r="FH34" i="1"/>
  <c r="B159" i="2" s="1"/>
  <c r="FP34" i="1"/>
  <c r="B167" i="2" s="1"/>
  <c r="FX34" i="1"/>
  <c r="B175" i="2" s="1"/>
  <c r="GF34" i="1"/>
  <c r="B183" i="2" s="1"/>
  <c r="GN34" i="1"/>
  <c r="B191" i="2" s="1"/>
  <c r="GV34" i="1"/>
  <c r="B199" i="2" s="1"/>
  <c r="HD34" i="1"/>
  <c r="B207" i="2" s="1"/>
  <c r="M34" i="1"/>
  <c r="B8" i="2" s="1"/>
  <c r="U34" i="1"/>
  <c r="B16" i="2" s="1"/>
  <c r="AC34" i="1"/>
  <c r="B24" i="2" s="1"/>
  <c r="AK34" i="1"/>
  <c r="B32" i="2" s="1"/>
  <c r="AS34" i="1"/>
  <c r="B40" i="2" s="1"/>
  <c r="BA34" i="1"/>
  <c r="B48" i="2" s="1"/>
  <c r="BI34" i="1"/>
  <c r="B56" i="2" s="1"/>
  <c r="BQ34" i="1"/>
  <c r="B64" i="2" s="1"/>
  <c r="BY34" i="1"/>
  <c r="B72" i="2" s="1"/>
  <c r="CG34" i="1"/>
  <c r="B80" i="2" s="1"/>
  <c r="CO34" i="1"/>
  <c r="B88" i="2" s="1"/>
  <c r="CW34" i="1"/>
  <c r="B96" i="2" s="1"/>
  <c r="DE34" i="1"/>
  <c r="B104" i="2" s="1"/>
  <c r="DM34" i="1"/>
  <c r="B112" i="2" s="1"/>
  <c r="DU34" i="1"/>
  <c r="B120" i="2" s="1"/>
  <c r="EC34" i="1"/>
  <c r="B128" i="2" s="1"/>
  <c r="EK34" i="1"/>
  <c r="B136" i="2" s="1"/>
  <c r="ES34" i="1"/>
  <c r="B144" i="2" s="1"/>
  <c r="FA34" i="1"/>
  <c r="B152" i="2" s="1"/>
  <c r="FI34" i="1"/>
  <c r="B160" i="2" s="1"/>
  <c r="FQ34" i="1"/>
  <c r="B168" i="2" s="1"/>
  <c r="FY34" i="1"/>
  <c r="B176" i="2" s="1"/>
  <c r="GG34" i="1"/>
  <c r="B184" i="2" s="1"/>
  <c r="GO34" i="1"/>
  <c r="B192" i="2" s="1"/>
  <c r="GW34" i="1"/>
  <c r="B200" i="2" s="1"/>
  <c r="HE34" i="1"/>
  <c r="B208" i="2" s="1"/>
  <c r="N34" i="1"/>
  <c r="B9" i="2" s="1"/>
  <c r="V34" i="1"/>
  <c r="B17" i="2" s="1"/>
  <c r="AD34" i="1"/>
  <c r="B25" i="2" s="1"/>
  <c r="AL34" i="1"/>
  <c r="B33" i="2" s="1"/>
  <c r="AT34" i="1"/>
  <c r="B41" i="2" s="1"/>
  <c r="BB34" i="1"/>
  <c r="B49" i="2" s="1"/>
  <c r="BJ34" i="1"/>
  <c r="B57" i="2" s="1"/>
  <c r="BR34" i="1"/>
  <c r="B65" i="2" s="1"/>
  <c r="BZ34" i="1"/>
  <c r="B73" i="2" s="1"/>
  <c r="CH34" i="1"/>
  <c r="B81" i="2" s="1"/>
  <c r="CP34" i="1"/>
  <c r="B89" i="2" s="1"/>
  <c r="CX34" i="1"/>
  <c r="B97" i="2" s="1"/>
  <c r="DF34" i="1"/>
  <c r="B105" i="2" s="1"/>
  <c r="DN34" i="1"/>
  <c r="B113" i="2" s="1"/>
  <c r="DV34" i="1"/>
  <c r="B121" i="2" s="1"/>
  <c r="ED34" i="1"/>
  <c r="B129" i="2" s="1"/>
  <c r="EL34" i="1"/>
  <c r="B137" i="2" s="1"/>
  <c r="ET34" i="1"/>
  <c r="B145" i="2" s="1"/>
  <c r="FB34" i="1"/>
  <c r="B153" i="2" s="1"/>
  <c r="FJ34" i="1"/>
  <c r="B161" i="2" s="1"/>
  <c r="FR34" i="1"/>
  <c r="B169" i="2" s="1"/>
  <c r="FZ34" i="1"/>
  <c r="B177" i="2" s="1"/>
  <c r="GH34" i="1"/>
  <c r="B185" i="2" s="1"/>
  <c r="GP34" i="1"/>
  <c r="B193" i="2" s="1"/>
  <c r="GX34" i="1"/>
  <c r="B201" i="2" s="1"/>
  <c r="HF34" i="1"/>
  <c r="B209" i="2" s="1"/>
  <c r="G34" i="1"/>
  <c r="B2" i="2" s="1"/>
  <c r="O34" i="1"/>
  <c r="B10" i="2" s="1"/>
  <c r="W34" i="1"/>
  <c r="B18" i="2" s="1"/>
  <c r="AE34" i="1"/>
  <c r="B26" i="2" s="1"/>
  <c r="AM34" i="1"/>
  <c r="B34" i="2" s="1"/>
  <c r="AU34" i="1"/>
  <c r="B42" i="2" s="1"/>
  <c r="BC34" i="1"/>
  <c r="B50" i="2" s="1"/>
  <c r="BK34" i="1"/>
  <c r="B58" i="2" s="1"/>
  <c r="BS34" i="1"/>
  <c r="B66" i="2" s="1"/>
  <c r="CA34" i="1"/>
  <c r="B74" i="2" s="1"/>
  <c r="CI34" i="1"/>
  <c r="B82" i="2" s="1"/>
  <c r="CQ34" i="1"/>
  <c r="B90" i="2" s="1"/>
  <c r="CY34" i="1"/>
  <c r="B98" i="2" s="1"/>
  <c r="DG34" i="1"/>
  <c r="B106" i="2" s="1"/>
  <c r="DO34" i="1"/>
  <c r="B114" i="2" s="1"/>
  <c r="DW34" i="1"/>
  <c r="B122" i="2" s="1"/>
  <c r="EE34" i="1"/>
  <c r="B130" i="2" s="1"/>
  <c r="EM34" i="1"/>
  <c r="B138" i="2" s="1"/>
  <c r="EU34" i="1"/>
  <c r="B146" i="2" s="1"/>
  <c r="FC34" i="1"/>
  <c r="B154" i="2" s="1"/>
  <c r="FK34" i="1"/>
  <c r="B162" i="2" s="1"/>
  <c r="FS34" i="1"/>
  <c r="B170" i="2" s="1"/>
  <c r="GA34" i="1"/>
  <c r="B178" i="2" s="1"/>
  <c r="GI34" i="1"/>
  <c r="B186" i="2" s="1"/>
  <c r="GQ34" i="1"/>
  <c r="B194" i="2" s="1"/>
  <c r="GY34" i="1"/>
  <c r="B202" i="2" s="1"/>
  <c r="HG34" i="1"/>
  <c r="B210" i="2" s="1"/>
  <c r="H34" i="1"/>
  <c r="B3" i="2" s="1"/>
  <c r="P34" i="1"/>
  <c r="B11" i="2" s="1"/>
  <c r="X34" i="1"/>
  <c r="B19" i="2" s="1"/>
  <c r="AF34" i="1"/>
  <c r="B27" i="2" s="1"/>
  <c r="AN34" i="1"/>
  <c r="B35" i="2" s="1"/>
  <c r="AV34" i="1"/>
  <c r="B43" i="2" s="1"/>
  <c r="BD34" i="1"/>
  <c r="B51" i="2" s="1"/>
  <c r="BL34" i="1"/>
  <c r="B59" i="2" s="1"/>
  <c r="BT34" i="1"/>
  <c r="B67" i="2" s="1"/>
  <c r="CB34" i="1"/>
  <c r="B75" i="2" s="1"/>
  <c r="CJ34" i="1"/>
  <c r="B83" i="2" s="1"/>
  <c r="CR34" i="1"/>
  <c r="B91" i="2" s="1"/>
  <c r="CZ34" i="1"/>
  <c r="B99" i="2" s="1"/>
  <c r="DH34" i="1"/>
  <c r="B107" i="2" s="1"/>
  <c r="DP34" i="1"/>
  <c r="B115" i="2" s="1"/>
  <c r="DX34" i="1"/>
  <c r="B123" i="2" s="1"/>
  <c r="EF34" i="1"/>
  <c r="B131" i="2" s="1"/>
  <c r="EN34" i="1"/>
  <c r="B139" i="2" s="1"/>
  <c r="EV34" i="1"/>
  <c r="B147" i="2" s="1"/>
  <c r="FD34" i="1"/>
  <c r="B155" i="2" s="1"/>
  <c r="FL34" i="1"/>
  <c r="B163" i="2" s="1"/>
  <c r="FT34" i="1"/>
  <c r="B171" i="2" s="1"/>
  <c r="GB34" i="1"/>
  <c r="B179" i="2" s="1"/>
  <c r="GJ34" i="1"/>
  <c r="B187" i="2" s="1"/>
  <c r="GR34" i="1"/>
  <c r="B195" i="2" s="1"/>
  <c r="GZ34" i="1"/>
  <c r="B203" i="2" s="1"/>
</calcChain>
</file>

<file path=xl/sharedStrings.xml><?xml version="1.0" encoding="utf-8"?>
<sst xmlns="http://schemas.openxmlformats.org/spreadsheetml/2006/main" count="728" uniqueCount="489">
  <si>
    <t>Detalles de formulación</t>
  </si>
  <si>
    <t>Proximates</t>
  </si>
  <si>
    <t>Carbohydrates</t>
  </si>
  <si>
    <t>Minerals</t>
  </si>
  <si>
    <t>Vitamins and Other Components</t>
  </si>
  <si>
    <t>Lipids</t>
  </si>
  <si>
    <t>Amino acids</t>
  </si>
  <si>
    <t>Phytosterols</t>
  </si>
  <si>
    <t>Organic acids</t>
  </si>
  <si>
    <t>Oligosaccharides</t>
  </si>
  <si>
    <t>Isoflavones</t>
  </si>
  <si>
    <t>Nutrientes</t>
  </si>
  <si>
    <t>FDC ID</t>
  </si>
  <si>
    <t>Ingrediente</t>
  </si>
  <si>
    <t>Marca / Origen</t>
  </si>
  <si>
    <t>Tipo de dato</t>
  </si>
  <si>
    <t>Cantidad (g)</t>
  </si>
  <si>
    <t>Cantidad (%)</t>
  </si>
  <si>
    <t>Water (g)</t>
  </si>
  <si>
    <t>Energy (kcal)</t>
  </si>
  <si>
    <t>Protein (g)</t>
  </si>
  <si>
    <t>Total fat (NLEA) (g)</t>
  </si>
  <si>
    <t>Total lipid (fat) (g)</t>
  </si>
  <si>
    <t>Ash (g)</t>
  </si>
  <si>
    <t>Carbohydrate, by difference (g)</t>
  </si>
  <si>
    <t>Fiber, total dietary (g)</t>
  </si>
  <si>
    <t>Total dietary fiber (AOAC 2011.25) (g)</t>
  </si>
  <si>
    <t>High Molecular Weight Dietary Fiber (HMWDF) (g)</t>
  </si>
  <si>
    <t>Low Molecular Weight Dietary Fiber (LMWDF) (g)</t>
  </si>
  <si>
    <t>Sugars, Total (g)</t>
  </si>
  <si>
    <t>Sucrose (g)</t>
  </si>
  <si>
    <t>Glucose (g)</t>
  </si>
  <si>
    <t>Fructose (g)</t>
  </si>
  <si>
    <t>Lactose (g)</t>
  </si>
  <si>
    <t>Maltose (g)</t>
  </si>
  <si>
    <t>Galactose (g)</t>
  </si>
  <si>
    <t>Starch (g)</t>
  </si>
  <si>
    <t>Resistant starch (g)</t>
  </si>
  <si>
    <t>Sugars, added (g)</t>
  </si>
  <si>
    <t>Calcium, Ca (mg)</t>
  </si>
  <si>
    <t>Iron, Fe (mg)</t>
  </si>
  <si>
    <t>Magnesium, Mg (mg)</t>
  </si>
  <si>
    <t>Phosphorus, P (mg)</t>
  </si>
  <si>
    <t>Potassium, K (mg)</t>
  </si>
  <si>
    <t>Sodium, Na (mg)</t>
  </si>
  <si>
    <t>Zinc, Zn (mg)</t>
  </si>
  <si>
    <t>Copper, Cu (mg)</t>
  </si>
  <si>
    <t>Manganese, Mn (mg)</t>
  </si>
  <si>
    <t>Iodine, I (μg)</t>
  </si>
  <si>
    <t>Selenium, Se (μg)</t>
  </si>
  <si>
    <t>Molybdenum, Mo (μg)</t>
  </si>
  <si>
    <t>Fluoride, F (μg)</t>
  </si>
  <si>
    <t>Thiamin (mg)</t>
  </si>
  <si>
    <t>Riboflavin (mg)</t>
  </si>
  <si>
    <t>Niacin (mg)</t>
  </si>
  <si>
    <t>Vitamin B-6 (mg)</t>
  </si>
  <si>
    <t>Folate, total (μg)</t>
  </si>
  <si>
    <t>Folic acid (μg)</t>
  </si>
  <si>
    <t>Folate, DFE (μg)</t>
  </si>
  <si>
    <t>Choline, total (mg)</t>
  </si>
  <si>
    <t>Vitamin B-12 (μg)</t>
  </si>
  <si>
    <t>Vitamin A, RAE (μg)</t>
  </si>
  <si>
    <t>Vitamin A, IU (iu)</t>
  </si>
  <si>
    <t>Vitamin D (D2 + D3) (μg)</t>
  </si>
  <si>
    <t>Vitamin K (phylloquinone) (μg)</t>
  </si>
  <si>
    <t>Vitamin E (alpha-tocopherol) (mg)</t>
  </si>
  <si>
    <t>Vitamin C, total ascorbic acid (mg)</t>
  </si>
  <si>
    <t>Pantothenic acid (mg)</t>
  </si>
  <si>
    <t>Biotin (μg)</t>
  </si>
  <si>
    <t>Caffeine (mg)</t>
  </si>
  <si>
    <t>Theobromine (mg)</t>
  </si>
  <si>
    <t>Retinol (μg)</t>
  </si>
  <si>
    <t>Carotene, beta (μg)</t>
  </si>
  <si>
    <t>cis-beta-Carotene (μg)</t>
  </si>
  <si>
    <t>trans-beta-Carotene (μg)</t>
  </si>
  <si>
    <t>Carotene, alpha (μg)</t>
  </si>
  <si>
    <t>Vitamin D (D2 + D3), International Units (iu)</t>
  </si>
  <si>
    <t>Vitamin D2 (ergocalciferol) (μg)</t>
  </si>
  <si>
    <t>Vitamin D3 (cholecalciferol) (μg)</t>
  </si>
  <si>
    <t>Carotene, gamma (μg)</t>
  </si>
  <si>
    <t>Vitamin A (mg)</t>
  </si>
  <si>
    <t>Lycopene (μg)</t>
  </si>
  <si>
    <t>cis-Lycopene (μg)</t>
  </si>
  <si>
    <t>trans-Lycopene (μg)</t>
  </si>
  <si>
    <t>Lutein + zeaxanthin (μg)</t>
  </si>
  <si>
    <t>Lutein (μg)</t>
  </si>
  <si>
    <t>Zeaxanthin (μg)</t>
  </si>
  <si>
    <t>cis-Lutein/Zeaxanthin (μg)</t>
  </si>
  <si>
    <t>Tocopherol, beta (mg)</t>
  </si>
  <si>
    <t>Tocopherol, gamma (mg)</t>
  </si>
  <si>
    <t>Tocopherol, delta (mg)</t>
  </si>
  <si>
    <t>Tocotrienol, alpha (mg)</t>
  </si>
  <si>
    <t>Tocotrienol, beta (mg)</t>
  </si>
  <si>
    <t>Tocotrienol, gamma (mg)</t>
  </si>
  <si>
    <t>Tocotrienol, delta (mg)</t>
  </si>
  <si>
    <t>Vitamin K (Menaquinone-4) (μg)</t>
  </si>
  <si>
    <t>Vitamin K (Dihydrophylloquinone) (μg)</t>
  </si>
  <si>
    <t>Folate, food (μg)</t>
  </si>
  <si>
    <t>Choline, free (mg)</t>
  </si>
  <si>
    <t>Choline, from phosphocholine (mg)</t>
  </si>
  <si>
    <t>Choline, from phosphatidyl choline (mg)</t>
  </si>
  <si>
    <t>Choline, from glycerophosphocholine (mg)</t>
  </si>
  <si>
    <t>Betaine (mg)</t>
  </si>
  <si>
    <t>Choline, from sphingomyelin (mg)</t>
  </si>
  <si>
    <t>Vitamin E, added (mg)</t>
  </si>
  <si>
    <t>Vitamin B-12, added (μg)</t>
  </si>
  <si>
    <t>Fatty acids, total saturated (g)</t>
  </si>
  <si>
    <t>Fatty acids, total monounsaturated (g)</t>
  </si>
  <si>
    <t>Fatty acids, total polyunsaturated (g)</t>
  </si>
  <si>
    <t>Fatty acids, total trans (g)</t>
  </si>
  <si>
    <t>Cholesterol (mg)</t>
  </si>
  <si>
    <t>SFA 4:0 (g)</t>
  </si>
  <si>
    <t>SFA 6:0 (g)</t>
  </si>
  <si>
    <t>SFA 8:0 (g)</t>
  </si>
  <si>
    <t>SFA 10:0 (g)</t>
  </si>
  <si>
    <t>SFA 12:0 (g)</t>
  </si>
  <si>
    <t>SFA 14:0 (g)</t>
  </si>
  <si>
    <t>SFA 16:0 (g)</t>
  </si>
  <si>
    <t>SFA 18:0 (g)</t>
  </si>
  <si>
    <t>SFA 20:0 (g)</t>
  </si>
  <si>
    <t>MUFA 18:1 (g)</t>
  </si>
  <si>
    <t>PUFA 18:2 (g)</t>
  </si>
  <si>
    <t>PUFA 18:3 (g)</t>
  </si>
  <si>
    <t>PUFA 20:4 (g)</t>
  </si>
  <si>
    <t>PUFA 22:6 n-3 (DHA) (g)</t>
  </si>
  <si>
    <t>SFA 22:0 (g)</t>
  </si>
  <si>
    <t>MUFA 14:1 (g)</t>
  </si>
  <si>
    <t>MUFA 16:1 (g)</t>
  </si>
  <si>
    <t>PUFA 18:4 (g)</t>
  </si>
  <si>
    <t>MUFA 20:1 (g)</t>
  </si>
  <si>
    <t>PUFA 20:5 n-3 (EPA) (g)</t>
  </si>
  <si>
    <t>MUFA 22:1 (g)</t>
  </si>
  <si>
    <t>PUFA 22:5 n-3 (DPA) (g)</t>
  </si>
  <si>
    <t>SFA 5:0 (g)</t>
  </si>
  <si>
    <t>SFA 7:0 (g)</t>
  </si>
  <si>
    <t>SFA 9:0 (g)</t>
  </si>
  <si>
    <t>MUFA 12:1 (g)</t>
  </si>
  <si>
    <t>SFA 15:0 (g)</t>
  </si>
  <si>
    <t>SFA 17:0 (g)</t>
  </si>
  <si>
    <t>SFA 24:0 (g)</t>
  </si>
  <si>
    <t>TFA 16:1 t (g)</t>
  </si>
  <si>
    <t>TFA 18:1 t (g)</t>
  </si>
  <si>
    <t>TFA 22:1 t (g)</t>
  </si>
  <si>
    <t>TFA 18:2 t not further defined (g)</t>
  </si>
  <si>
    <t>TFA 18:2 t,t (g)</t>
  </si>
  <si>
    <t>PUFA 18:2 CLAs (g)</t>
  </si>
  <si>
    <t>MUFA 24:1 c (g)</t>
  </si>
  <si>
    <t>PUFA 20:2 n-6 c,c (g)</t>
  </si>
  <si>
    <t>MUFA 16:1 c (g)</t>
  </si>
  <si>
    <t>MUFA 18:1 c (g)</t>
  </si>
  <si>
    <t>PUFA 18:2 n-6 c,c (g)</t>
  </si>
  <si>
    <t>MUFA 22:1 c (g)</t>
  </si>
  <si>
    <t>MUFA 22:1 n-9 (g)</t>
  </si>
  <si>
    <t>MUFA 22:1 n-11 (g)</t>
  </si>
  <si>
    <t>SFA 21:0 (g)</t>
  </si>
  <si>
    <t>SFA 23:0 (g)</t>
  </si>
  <si>
    <t>PUFA 22:3 (g)</t>
  </si>
  <si>
    <t>PUFA 18:3 n-6 c,c,c (g)</t>
  </si>
  <si>
    <t>MUFA 17:1 (g)</t>
  </si>
  <si>
    <t>PUFA 20:3 (g)</t>
  </si>
  <si>
    <t>Fatty acids, total trans-monoenoic (g)</t>
  </si>
  <si>
    <t>Fatty acids, total trans-dienoic (g)</t>
  </si>
  <si>
    <t>Fatty acids, total trans-polyenoic (g)</t>
  </si>
  <si>
    <t>SFA 13:0 (g)</t>
  </si>
  <si>
    <t>MUFA 15:1 (g)</t>
  </si>
  <si>
    <t>PUFA 22:2 (g)</t>
  </si>
  <si>
    <t>SFA 11:0 (g)</t>
  </si>
  <si>
    <t>TFA 14:1 t (g)</t>
  </si>
  <si>
    <t>MUFA 14:1 c (g)</t>
  </si>
  <si>
    <t>MUFA 17:1 c (g)</t>
  </si>
  <si>
    <t>MUFA 20:1 c (g)</t>
  </si>
  <si>
    <t>TFA 20:1 t (g)</t>
  </si>
  <si>
    <t>PUFA 18:2 c (g)</t>
  </si>
  <si>
    <t>TFA 18:2 t (g)</t>
  </si>
  <si>
    <t>PUFA 18:3 c (g)</t>
  </si>
  <si>
    <t>TFA 18:3 t (g)</t>
  </si>
  <si>
    <t>PUFA 20:3 c (g)</t>
  </si>
  <si>
    <t>PUFA 20:4c (g)</t>
  </si>
  <si>
    <t>PUFA 20:5c (g)</t>
  </si>
  <si>
    <t>PUFA 22:5 c (g)</t>
  </si>
  <si>
    <t>PUFA 22:6 c (g)</t>
  </si>
  <si>
    <t>PUFA 20:2 c (g)</t>
  </si>
  <si>
    <t>PUFA 18:3 n-3 c,c,c (ALA) (g)</t>
  </si>
  <si>
    <t>PUFA 20:3 n-3 (g)</t>
  </si>
  <si>
    <t>PUFA 20:3 n-6 (g)</t>
  </si>
  <si>
    <t>PUFA 22:4 (g)</t>
  </si>
  <si>
    <t>PUFA 20:3 n-9 (g)</t>
  </si>
  <si>
    <t>Tryptophan (g)</t>
  </si>
  <si>
    <t>Threonine (g)</t>
  </si>
  <si>
    <t>Isoleucine (g)</t>
  </si>
  <si>
    <t>Leucine (g)</t>
  </si>
  <si>
    <t>Lysine (g)</t>
  </si>
  <si>
    <t>Methionine (g)</t>
  </si>
  <si>
    <t>Phenylalanine (g)</t>
  </si>
  <si>
    <t>Tyrosine (g)</t>
  </si>
  <si>
    <t>Valine (g)</t>
  </si>
  <si>
    <t>Arginine (g)</t>
  </si>
  <si>
    <t>Histidine (g)</t>
  </si>
  <si>
    <t>Alanine (g)</t>
  </si>
  <si>
    <t>Aspartic acid (g)</t>
  </si>
  <si>
    <t>Glutamic acid (g)</t>
  </si>
  <si>
    <t>Glycine (g)</t>
  </si>
  <si>
    <t>Proline (g)</t>
  </si>
  <si>
    <t>Serine (g)</t>
  </si>
  <si>
    <t>Hydroxyproline (g)</t>
  </si>
  <si>
    <t>Cysteine (g)</t>
  </si>
  <si>
    <t>Phytosterols (mg)</t>
  </si>
  <si>
    <t>Beta-sitosterol (mg)</t>
  </si>
  <si>
    <t>Campesterol (mg)</t>
  </si>
  <si>
    <t>Stigmasterol (mg)</t>
  </si>
  <si>
    <t>Brassicasterol (mg)</t>
  </si>
  <si>
    <t>Delta-5-avenasterol (mg)</t>
  </si>
  <si>
    <t>Phytosterols, other (mg)</t>
  </si>
  <si>
    <t>Citric acid (mg)</t>
  </si>
  <si>
    <t>Malic acid (mg)</t>
  </si>
  <si>
    <t>Oxalic acid (mg)</t>
  </si>
  <si>
    <t>Quinic acid (mg)</t>
  </si>
  <si>
    <t>Verbascose (g)</t>
  </si>
  <si>
    <t>Raffinose (g)</t>
  </si>
  <si>
    <t>Stachyose (g)</t>
  </si>
  <si>
    <t>Daidzin (mg)</t>
  </si>
  <si>
    <t>Genistin (mg)</t>
  </si>
  <si>
    <t>Glycitin (mg)</t>
  </si>
  <si>
    <t>Daidzein (mg)</t>
  </si>
  <si>
    <t>Genistein (mg)</t>
  </si>
  <si>
    <t>Alcohol, ethyl (g)</t>
  </si>
  <si>
    <t>25-hydroxycholecalciferol (μg)</t>
  </si>
  <si>
    <t>Cryptoxanthin, beta (μg)</t>
  </si>
  <si>
    <t>Cryptoxanthin, alpha (μg)</t>
  </si>
  <si>
    <t>Campestanol (mg)</t>
  </si>
  <si>
    <t>Beta-sitostanol (mg)</t>
  </si>
  <si>
    <t>Eggs, Grade A, Large, egg whole</t>
  </si>
  <si>
    <t>Foundation</t>
  </si>
  <si>
    <t>Water, bottled, generic</t>
  </si>
  <si>
    <t>SR Legacy</t>
  </si>
  <si>
    <t>Spices, cinnamon, ground</t>
  </si>
  <si>
    <t>Oil, canola</t>
  </si>
  <si>
    <t>Oil, soybean</t>
  </si>
  <si>
    <t>Salt, table</t>
  </si>
  <si>
    <t>Lentils, dry</t>
  </si>
  <si>
    <t>Cookie, chocolate sandwich</t>
  </si>
  <si>
    <t>Survey (FNDDS)</t>
  </si>
  <si>
    <t>Milk, whole, 3.25% milkfat, with added vitamin D</t>
  </si>
  <si>
    <t>Pringles Crisps Bbq 16.9oz</t>
  </si>
  <si>
    <t>Kellogg Company US</t>
  </si>
  <si>
    <t>Branded</t>
  </si>
  <si>
    <t>Almond milk, unsweetened, plain, refrigerated</t>
  </si>
  <si>
    <t>Almond milk, unsweetened, plain, shelf stable</t>
  </si>
  <si>
    <t>Cheese, feta, whole milk, crumbled</t>
  </si>
  <si>
    <t>Cheese, ricotta, whole milk</t>
  </si>
  <si>
    <t>Milk, lowfat, fluid, 1% milkfat, with added vitamin A and vitamin D</t>
  </si>
  <si>
    <t>Milk, nonfat, fluid, with added vitamin A and vitamin D (fat free or skim)</t>
  </si>
  <si>
    <t>Milk, reduced fat, fluid, 2% milkfat, with added vitamin A and vitamin D</t>
  </si>
  <si>
    <t>Oat milk, unsweetened, plain, refrigerated</t>
  </si>
  <si>
    <t>Soy milk, sweetened, plain, refrigerated</t>
  </si>
  <si>
    <t>Soy milk, unsweetened, plain, shelf stable</t>
  </si>
  <si>
    <t>Babyfood, cereal, mixed, with honey, prepared with whole milk</t>
  </si>
  <si>
    <t>Babyfood, cereal, rice, with bananas, prepared with whole milk</t>
  </si>
  <si>
    <t>Orange juice, no pulp, not fortified, from concentrate, refrigerated</t>
  </si>
  <si>
    <t>Orange juice, no pulp, not fortified, not from concentrate, refrigerated</t>
  </si>
  <si>
    <t>Orange juice, frozen concentrate, unsweetened, diluted with 3 volume water</t>
  </si>
  <si>
    <t>Frozen novelties, juice type, orange</t>
  </si>
  <si>
    <t>Babyfood, juice, orange</t>
  </si>
  <si>
    <t>Flour, rice, brown</t>
  </si>
  <si>
    <t>Rice, white, long-grain, parboiled, enriched, dry</t>
  </si>
  <si>
    <t>Rice, white, long-grain, parboiled, unenriched, dry</t>
  </si>
  <si>
    <t>Rice, white, long grain, unenriched, raw</t>
  </si>
  <si>
    <t>Total</t>
  </si>
  <si>
    <t>Formulado</t>
  </si>
  <si>
    <t>100%</t>
  </si>
  <si>
    <t>Nutriente</t>
  </si>
  <si>
    <t>Unidad</t>
  </si>
  <si>
    <t>Water</t>
  </si>
  <si>
    <t>g</t>
  </si>
  <si>
    <t>Energy</t>
  </si>
  <si>
    <t>kcal</t>
  </si>
  <si>
    <t>Protein</t>
  </si>
  <si>
    <t>Total fat (NLEA)</t>
  </si>
  <si>
    <t>Total lipid (fat)</t>
  </si>
  <si>
    <t>Ash</t>
  </si>
  <si>
    <t>Carbohydrate, by difference</t>
  </si>
  <si>
    <t>Fiber, total dietary</t>
  </si>
  <si>
    <t>Total dietary fiber (AOAC 2011.25)</t>
  </si>
  <si>
    <t>High Molecular Weight Dietary Fiber (HMWDF)</t>
  </si>
  <si>
    <t>Low Molecular Weight Dietary Fiber (LMWDF)</t>
  </si>
  <si>
    <t>Sugars, Total</t>
  </si>
  <si>
    <t>Sucrose</t>
  </si>
  <si>
    <t>Glucose</t>
  </si>
  <si>
    <t>Fructose</t>
  </si>
  <si>
    <t>Lactose</t>
  </si>
  <si>
    <t>Maltose</t>
  </si>
  <si>
    <t>Galactose</t>
  </si>
  <si>
    <t>Starch</t>
  </si>
  <si>
    <t>Resistant starch</t>
  </si>
  <si>
    <t>Sugars, added</t>
  </si>
  <si>
    <t>Calcium, Ca</t>
  </si>
  <si>
    <t>mg</t>
  </si>
  <si>
    <t>Iron, Fe</t>
  </si>
  <si>
    <t>Magnesium, Mg</t>
  </si>
  <si>
    <t>Phosphorus, P</t>
  </si>
  <si>
    <t>Potassium, K</t>
  </si>
  <si>
    <t>Sodium, Na</t>
  </si>
  <si>
    <t>Zinc, Zn</t>
  </si>
  <si>
    <t>Copper, Cu</t>
  </si>
  <si>
    <t>Manganese, Mn</t>
  </si>
  <si>
    <t>Iodine, I</t>
  </si>
  <si>
    <t>μg</t>
  </si>
  <si>
    <t>Selenium, Se</t>
  </si>
  <si>
    <t>Molybdenum, Mo</t>
  </si>
  <si>
    <t>Fluoride, F</t>
  </si>
  <si>
    <t>Thiamin</t>
  </si>
  <si>
    <t>Riboflavin</t>
  </si>
  <si>
    <t>Niacin</t>
  </si>
  <si>
    <t>Vitamin B-6</t>
  </si>
  <si>
    <t>Folate, total</t>
  </si>
  <si>
    <t>Folic acid</t>
  </si>
  <si>
    <t>Folate, DFE</t>
  </si>
  <si>
    <t>Choline, total</t>
  </si>
  <si>
    <t>Vitamin B-12</t>
  </si>
  <si>
    <t>Vitamin A, RAE</t>
  </si>
  <si>
    <t>Vitamin A, IU</t>
  </si>
  <si>
    <t>iu</t>
  </si>
  <si>
    <t>Vitamin D (D2 + D3)</t>
  </si>
  <si>
    <t>Vitamin K (phylloquinone)</t>
  </si>
  <si>
    <t>Vitamin E (alpha-tocopherol)</t>
  </si>
  <si>
    <t>Vitamin C, total ascorbic acid</t>
  </si>
  <si>
    <t>Pantothenic acid</t>
  </si>
  <si>
    <t>Biotin</t>
  </si>
  <si>
    <t>Caffeine</t>
  </si>
  <si>
    <t>Theobromine</t>
  </si>
  <si>
    <t>Retinol</t>
  </si>
  <si>
    <t>Carotene, beta</t>
  </si>
  <si>
    <t>cis-beta-Carotene</t>
  </si>
  <si>
    <t>trans-beta-Carotene</t>
  </si>
  <si>
    <t>Carotene, alpha</t>
  </si>
  <si>
    <t>Vitamin D (D2 + D3), International Units</t>
  </si>
  <si>
    <t>Vitamin D2 (ergocalciferol)</t>
  </si>
  <si>
    <t>Vitamin D3 (cholecalciferol)</t>
  </si>
  <si>
    <t>Carotene, gamma</t>
  </si>
  <si>
    <t>Vitamin A</t>
  </si>
  <si>
    <t>Lycopene</t>
  </si>
  <si>
    <t>cis-Lycopene</t>
  </si>
  <si>
    <t>trans-Lycopene</t>
  </si>
  <si>
    <t>Lutein + zeaxanthin</t>
  </si>
  <si>
    <t>Lutein</t>
  </si>
  <si>
    <t>Zeaxanthin</t>
  </si>
  <si>
    <t>cis-Lutein/Zeaxanthin</t>
  </si>
  <si>
    <t>Tocopherol, beta</t>
  </si>
  <si>
    <t>Tocopherol, gamma</t>
  </si>
  <si>
    <t>Tocopherol, delta</t>
  </si>
  <si>
    <t>Tocotrienol, alpha</t>
  </si>
  <si>
    <t>Tocotrienol, beta</t>
  </si>
  <si>
    <t>Tocotrienol, gamma</t>
  </si>
  <si>
    <t>Tocotrienol, delta</t>
  </si>
  <si>
    <t>Vitamin K (Menaquinone-4)</t>
  </si>
  <si>
    <t>Vitamin K (Dihydrophylloquinone)</t>
  </si>
  <si>
    <t>Folate, food</t>
  </si>
  <si>
    <t>Choline, free</t>
  </si>
  <si>
    <t>Choline, from phosphocholine</t>
  </si>
  <si>
    <t>Choline, from phosphatidyl choline</t>
  </si>
  <si>
    <t>Choline, from glycerophosphocholine</t>
  </si>
  <si>
    <t>Betaine</t>
  </si>
  <si>
    <t>Choline, from sphingomyelin</t>
  </si>
  <si>
    <t>Vitamin E, added</t>
  </si>
  <si>
    <t>Vitamin B-12, added</t>
  </si>
  <si>
    <t>Fatty acids, total saturated</t>
  </si>
  <si>
    <t>Fatty acids, total monounsaturated</t>
  </si>
  <si>
    <t>Fatty acids, total polyunsaturated</t>
  </si>
  <si>
    <t>Fatty acids, total trans</t>
  </si>
  <si>
    <t>Cholesterol</t>
  </si>
  <si>
    <t>SFA 4:0</t>
  </si>
  <si>
    <t>SFA 6:0</t>
  </si>
  <si>
    <t>SFA 8:0</t>
  </si>
  <si>
    <t>SFA 10:0</t>
  </si>
  <si>
    <t>SFA 12:0</t>
  </si>
  <si>
    <t>SFA 14:0</t>
  </si>
  <si>
    <t>SFA 16:0</t>
  </si>
  <si>
    <t>SFA 18:0</t>
  </si>
  <si>
    <t>SFA 20:0</t>
  </si>
  <si>
    <t>MUFA 18:1</t>
  </si>
  <si>
    <t>PUFA 18:2</t>
  </si>
  <si>
    <t>PUFA 18:3</t>
  </si>
  <si>
    <t>PUFA 20:4</t>
  </si>
  <si>
    <t>PUFA 22:6 n-3 (DHA)</t>
  </si>
  <si>
    <t>SFA 22:0</t>
  </si>
  <si>
    <t>MUFA 14:1</t>
  </si>
  <si>
    <t>MUFA 16:1</t>
  </si>
  <si>
    <t>PUFA 18:4</t>
  </si>
  <si>
    <t>MUFA 20:1</t>
  </si>
  <si>
    <t>PUFA 20:5 n-3 (EPA)</t>
  </si>
  <si>
    <t>MUFA 22:1</t>
  </si>
  <si>
    <t>PUFA 22:5 n-3 (DPA)</t>
  </si>
  <si>
    <t>SFA 5:0</t>
  </si>
  <si>
    <t>SFA 7:0</t>
  </si>
  <si>
    <t>SFA 9:0</t>
  </si>
  <si>
    <t>MUFA 12:1</t>
  </si>
  <si>
    <t>SFA 15:0</t>
  </si>
  <si>
    <t>SFA 17:0</t>
  </si>
  <si>
    <t>SFA 24:0</t>
  </si>
  <si>
    <t>TFA 16:1 t</t>
  </si>
  <si>
    <t>TFA 18:1 t</t>
  </si>
  <si>
    <t>TFA 22:1 t</t>
  </si>
  <si>
    <t>TFA 18:2 t not further defined</t>
  </si>
  <si>
    <t>TFA 18:2 t,t</t>
  </si>
  <si>
    <t>PUFA 18:2 CLAs</t>
  </si>
  <si>
    <t>MUFA 24:1 c</t>
  </si>
  <si>
    <t>PUFA 20:2 n-6 c,c</t>
  </si>
  <si>
    <t>MUFA 16:1 c</t>
  </si>
  <si>
    <t>MUFA 18:1 c</t>
  </si>
  <si>
    <t>PUFA 18:2 n-6 c,c</t>
  </si>
  <si>
    <t>MUFA 22:1 c</t>
  </si>
  <si>
    <t>MUFA 22:1 n-9</t>
  </si>
  <si>
    <t>MUFA 22:1 n-11</t>
  </si>
  <si>
    <t>SFA 21:0</t>
  </si>
  <si>
    <t>SFA 23:0</t>
  </si>
  <si>
    <t>PUFA 22:3</t>
  </si>
  <si>
    <t>PUFA 18:3 n-6 c,c,c</t>
  </si>
  <si>
    <t>MUFA 17:1</t>
  </si>
  <si>
    <t>PUFA 20:3</t>
  </si>
  <si>
    <t>Fatty acids, total trans-monoenoic</t>
  </si>
  <si>
    <t>Fatty acids, total trans-dienoic</t>
  </si>
  <si>
    <t>Fatty acids, total trans-polyenoic</t>
  </si>
  <si>
    <t>SFA 13:0</t>
  </si>
  <si>
    <t>MUFA 15:1</t>
  </si>
  <si>
    <t>PUFA 22:2</t>
  </si>
  <si>
    <t>SFA 11:0</t>
  </si>
  <si>
    <t>TFA 14:1 t</t>
  </si>
  <si>
    <t>MUFA 14:1 c</t>
  </si>
  <si>
    <t>MUFA 17:1 c</t>
  </si>
  <si>
    <t>MUFA 20:1 c</t>
  </si>
  <si>
    <t>TFA 20:1 t</t>
  </si>
  <si>
    <t>PUFA 18:2 c</t>
  </si>
  <si>
    <t>TFA 18:2 t</t>
  </si>
  <si>
    <t>PUFA 18:3 c</t>
  </si>
  <si>
    <t>TFA 18:3 t</t>
  </si>
  <si>
    <t>PUFA 20:3 c</t>
  </si>
  <si>
    <t>PUFA 20:4c</t>
  </si>
  <si>
    <t>PUFA 20:5c</t>
  </si>
  <si>
    <t>PUFA 22:5 c</t>
  </si>
  <si>
    <t>PUFA 22:6 c</t>
  </si>
  <si>
    <t>PUFA 20:2 c</t>
  </si>
  <si>
    <t>PUFA 18:3 n-3 c,c,c (ALA)</t>
  </si>
  <si>
    <t>PUFA 20:3 n-3</t>
  </si>
  <si>
    <t>PUFA 20:3 n-6</t>
  </si>
  <si>
    <t>PUFA 22:4</t>
  </si>
  <si>
    <t>PUFA 20:3 n-9</t>
  </si>
  <si>
    <t>Tryptophan</t>
  </si>
  <si>
    <t>Threonine</t>
  </si>
  <si>
    <t>Isoleucine</t>
  </si>
  <si>
    <t>Leucine</t>
  </si>
  <si>
    <t>Lysine</t>
  </si>
  <si>
    <t>Methionine</t>
  </si>
  <si>
    <t>Phenylalanine</t>
  </si>
  <si>
    <t>Tyrosine</t>
  </si>
  <si>
    <t>Valine</t>
  </si>
  <si>
    <t>Arginine</t>
  </si>
  <si>
    <t>Histidine</t>
  </si>
  <si>
    <t>Alanine</t>
  </si>
  <si>
    <t>Aspartic acid</t>
  </si>
  <si>
    <t>Glutamic acid</t>
  </si>
  <si>
    <t>Glycine</t>
  </si>
  <si>
    <t>Proline</t>
  </si>
  <si>
    <t>Serine</t>
  </si>
  <si>
    <t>Hydroxyproline</t>
  </si>
  <si>
    <t>Cysteine</t>
  </si>
  <si>
    <t>Beta-sitosterol</t>
  </si>
  <si>
    <t>Campesterol</t>
  </si>
  <si>
    <t>Stigmasterol</t>
  </si>
  <si>
    <t>Brassicasterol</t>
  </si>
  <si>
    <t>Delta-5-avenasterol</t>
  </si>
  <si>
    <t>Phytosterols, other</t>
  </si>
  <si>
    <t>Citric acid</t>
  </si>
  <si>
    <t>Malic acid</t>
  </si>
  <si>
    <t>Oxalic acid</t>
  </si>
  <si>
    <t>Quinic acid</t>
  </si>
  <si>
    <t>Verbascose</t>
  </si>
  <si>
    <t>Raffinose</t>
  </si>
  <si>
    <t>Stachyose</t>
  </si>
  <si>
    <t>Daidzin</t>
  </si>
  <si>
    <t>Genistin</t>
  </si>
  <si>
    <t>Glycitin</t>
  </si>
  <si>
    <t>Daidzein</t>
  </si>
  <si>
    <t>Genistein</t>
  </si>
  <si>
    <t>Alcohol, ethyl</t>
  </si>
  <si>
    <t>25-hydroxycholecalciferol</t>
  </si>
  <si>
    <t>Cryptoxanthin, beta</t>
  </si>
  <si>
    <t>Cryptoxanthin, alpha</t>
  </si>
  <si>
    <t>Campestanol</t>
  </si>
  <si>
    <t>Beta-sitostanol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</si>
</sst>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AEEF3"/>
      </patternFill>
    </fill>
    <fill>
      <patternFill patternType="solid">
        <fgColor rgb="FFE6B8B7"/>
      </patternFill>
    </fill>
    <fill>
      <patternFill patternType="solid">
        <fgColor rgb="FFC4D79B"/>
      </patternFill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E4DFEC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164" fontId="0" fillId="0" borderId="0" xfId="0" applyNumberFormat="1"/>
    <xf numFmtId="10" fontId="0" fillId="0" borderId="0" xfId="0" applyNumberFormat="1"/>
    <xf numFmtId="164" fontId="0" fillId="5" borderId="0" xfId="0" applyNumberFormat="1" applyFill="1"/>
    <xf numFmtId="10" fontId="0" fillId="5" borderId="0" xfId="0" applyNumberFormat="1" applyFill="1"/>
    <xf numFmtId="0" fontId="0" fillId="5" borderId="0" xfId="0" applyFill="1"/>
    <xf numFmtId="0" fontId="0" fillId="7" borderId="0" xfId="0" applyFill="1" applyAlignment="1">
      <alignment horizontal="center" vertical="center"/>
    </xf>
    <xf numFmtId="0" fontId="0" fillId="0" borderId="0" xfId="0"/>
    <xf numFmtId="0" fontId="0" fillId="8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K34"/>
  <sheetViews>
    <sheetView tabSelected="1" workbookViewId="0">
      <pane xSplit="6" ySplit="2" topLeftCell="G3" activePane="bottomRight" state="frozen"/>
      <selection pane="topRight"/>
      <selection pane="bottomLeft"/>
      <selection pane="bottomRight" activeCell="A2" sqref="A2:XFD2"/>
    </sheetView>
  </sheetViews>
  <sheetFormatPr baseColWidth="10" defaultColWidth="8.88671875" defaultRowHeight="14.4" x14ac:dyDescent="0.3"/>
  <cols>
    <col min="1" max="1" width="12" customWidth="1"/>
    <col min="2" max="2" width="35" customWidth="1"/>
    <col min="3" max="3" width="18" customWidth="1"/>
    <col min="4" max="4" width="14" customWidth="1"/>
    <col min="5" max="6" width="12" customWidth="1"/>
    <col min="7" max="219" width="13" customWidth="1"/>
  </cols>
  <sheetData>
    <row r="1" spans="1:219" x14ac:dyDescent="0.3">
      <c r="A1" s="19" t="s">
        <v>0</v>
      </c>
      <c r="B1" s="14"/>
      <c r="C1" s="14"/>
      <c r="D1" s="14"/>
      <c r="E1" s="14"/>
      <c r="F1" s="14"/>
      <c r="G1" s="20" t="s">
        <v>1</v>
      </c>
      <c r="H1" s="14"/>
      <c r="I1" s="14"/>
      <c r="J1" s="14"/>
      <c r="K1" s="14"/>
      <c r="L1" s="14"/>
      <c r="M1" s="14"/>
      <c r="N1" s="16" t="s">
        <v>2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21" t="s">
        <v>3</v>
      </c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8" t="s">
        <v>4</v>
      </c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7" t="s">
        <v>5</v>
      </c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3" t="s">
        <v>6</v>
      </c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5" t="s">
        <v>7</v>
      </c>
      <c r="GN1" s="14"/>
      <c r="GO1" s="14"/>
      <c r="GP1" s="14"/>
      <c r="GQ1" s="14"/>
      <c r="GR1" s="14"/>
      <c r="GS1" s="14"/>
      <c r="GT1" s="15" t="s">
        <v>8</v>
      </c>
      <c r="GU1" s="14"/>
      <c r="GV1" s="14"/>
      <c r="GW1" s="14"/>
      <c r="GX1" s="15" t="s">
        <v>9</v>
      </c>
      <c r="GY1" s="14"/>
      <c r="GZ1" s="14"/>
      <c r="HA1" s="15" t="s">
        <v>10</v>
      </c>
      <c r="HB1" s="14"/>
      <c r="HC1" s="14"/>
      <c r="HD1" s="14"/>
      <c r="HE1" s="14"/>
      <c r="HF1" s="15" t="s">
        <v>11</v>
      </c>
      <c r="HG1" s="14"/>
      <c r="HH1" s="14"/>
      <c r="HI1" s="14"/>
      <c r="HJ1" s="14"/>
      <c r="HK1" s="14"/>
    </row>
    <row r="2" spans="1:219" x14ac:dyDescent="0.3">
      <c r="A2" s="7" t="s">
        <v>12</v>
      </c>
      <c r="B2" s="7" t="s">
        <v>13</v>
      </c>
      <c r="C2" s="7" t="s">
        <v>14</v>
      </c>
      <c r="D2" s="7" t="s">
        <v>15</v>
      </c>
      <c r="E2" s="7" t="s">
        <v>16</v>
      </c>
      <c r="F2" s="7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N2" s="2" t="s">
        <v>25</v>
      </c>
      <c r="O2" s="2" t="s">
        <v>26</v>
      </c>
      <c r="P2" s="2" t="s">
        <v>27</v>
      </c>
      <c r="Q2" s="2" t="s">
        <v>28</v>
      </c>
      <c r="R2" s="2" t="s">
        <v>29</v>
      </c>
      <c r="S2" s="2" t="s">
        <v>30</v>
      </c>
      <c r="T2" s="2" t="s">
        <v>31</v>
      </c>
      <c r="U2" s="2" t="s">
        <v>32</v>
      </c>
      <c r="V2" s="2" t="s">
        <v>33</v>
      </c>
      <c r="W2" s="2" t="s">
        <v>34</v>
      </c>
      <c r="X2" s="2" t="s">
        <v>35</v>
      </c>
      <c r="Y2" s="2" t="s">
        <v>36</v>
      </c>
      <c r="Z2" s="2" t="s">
        <v>37</v>
      </c>
      <c r="AA2" s="2" t="s">
        <v>38</v>
      </c>
      <c r="AB2" s="3" t="s">
        <v>39</v>
      </c>
      <c r="AC2" s="3" t="s">
        <v>40</v>
      </c>
      <c r="AD2" s="3" t="s">
        <v>41</v>
      </c>
      <c r="AE2" s="3" t="s">
        <v>42</v>
      </c>
      <c r="AF2" s="3" t="s">
        <v>43</v>
      </c>
      <c r="AG2" s="3" t="s">
        <v>44</v>
      </c>
      <c r="AH2" s="3" t="s">
        <v>45</v>
      </c>
      <c r="AI2" s="3" t="s">
        <v>46</v>
      </c>
      <c r="AJ2" s="3" t="s">
        <v>47</v>
      </c>
      <c r="AK2" s="3" t="s">
        <v>48</v>
      </c>
      <c r="AL2" s="3" t="s">
        <v>49</v>
      </c>
      <c r="AM2" s="3" t="s">
        <v>50</v>
      </c>
      <c r="AN2" s="3" t="s">
        <v>51</v>
      </c>
      <c r="AO2" s="4" t="s">
        <v>52</v>
      </c>
      <c r="AP2" s="4" t="s">
        <v>53</v>
      </c>
      <c r="AQ2" s="4" t="s">
        <v>54</v>
      </c>
      <c r="AR2" s="4" t="s">
        <v>55</v>
      </c>
      <c r="AS2" s="4" t="s">
        <v>56</v>
      </c>
      <c r="AT2" s="4" t="s">
        <v>57</v>
      </c>
      <c r="AU2" s="4" t="s">
        <v>58</v>
      </c>
      <c r="AV2" s="4" t="s">
        <v>59</v>
      </c>
      <c r="AW2" s="4" t="s">
        <v>60</v>
      </c>
      <c r="AX2" s="4" t="s">
        <v>61</v>
      </c>
      <c r="AY2" s="4" t="s">
        <v>62</v>
      </c>
      <c r="AZ2" s="4" t="s">
        <v>63</v>
      </c>
      <c r="BA2" s="4" t="s">
        <v>64</v>
      </c>
      <c r="BB2" s="4" t="s">
        <v>65</v>
      </c>
      <c r="BC2" s="4" t="s">
        <v>66</v>
      </c>
      <c r="BD2" s="4" t="s">
        <v>67</v>
      </c>
      <c r="BE2" s="4" t="s">
        <v>68</v>
      </c>
      <c r="BF2" s="4" t="s">
        <v>69</v>
      </c>
      <c r="BG2" s="4" t="s">
        <v>70</v>
      </c>
      <c r="BH2" s="4" t="s">
        <v>71</v>
      </c>
      <c r="BI2" s="4" t="s">
        <v>72</v>
      </c>
      <c r="BJ2" s="4" t="s">
        <v>73</v>
      </c>
      <c r="BK2" s="4" t="s">
        <v>74</v>
      </c>
      <c r="BL2" s="4" t="s">
        <v>75</v>
      </c>
      <c r="BM2" s="4" t="s">
        <v>76</v>
      </c>
      <c r="BN2" s="4" t="s">
        <v>77</v>
      </c>
      <c r="BO2" s="4" t="s">
        <v>78</v>
      </c>
      <c r="BP2" s="4" t="s">
        <v>79</v>
      </c>
      <c r="BQ2" s="4" t="s">
        <v>80</v>
      </c>
      <c r="BR2" s="4" t="s">
        <v>81</v>
      </c>
      <c r="BS2" s="4" t="s">
        <v>82</v>
      </c>
      <c r="BT2" s="4" t="s">
        <v>83</v>
      </c>
      <c r="BU2" s="4" t="s">
        <v>84</v>
      </c>
      <c r="BV2" s="4" t="s">
        <v>85</v>
      </c>
      <c r="BW2" s="4" t="s">
        <v>86</v>
      </c>
      <c r="BX2" s="4" t="s">
        <v>87</v>
      </c>
      <c r="BY2" s="4" t="s">
        <v>88</v>
      </c>
      <c r="BZ2" s="4" t="s">
        <v>89</v>
      </c>
      <c r="CA2" s="4" t="s">
        <v>90</v>
      </c>
      <c r="CB2" s="4" t="s">
        <v>91</v>
      </c>
      <c r="CC2" s="4" t="s">
        <v>92</v>
      </c>
      <c r="CD2" s="4" t="s">
        <v>93</v>
      </c>
      <c r="CE2" s="4" t="s">
        <v>94</v>
      </c>
      <c r="CF2" s="4" t="s">
        <v>95</v>
      </c>
      <c r="CG2" s="4" t="s">
        <v>96</v>
      </c>
      <c r="CH2" s="4" t="s">
        <v>97</v>
      </c>
      <c r="CI2" s="4" t="s">
        <v>98</v>
      </c>
      <c r="CJ2" s="4" t="s">
        <v>99</v>
      </c>
      <c r="CK2" s="4" t="s">
        <v>100</v>
      </c>
      <c r="CL2" s="4" t="s">
        <v>101</v>
      </c>
      <c r="CM2" s="4" t="s">
        <v>102</v>
      </c>
      <c r="CN2" s="4" t="s">
        <v>103</v>
      </c>
      <c r="CO2" s="4" t="s">
        <v>104</v>
      </c>
      <c r="CP2" s="4" t="s">
        <v>105</v>
      </c>
      <c r="CQ2" s="5" t="s">
        <v>106</v>
      </c>
      <c r="CR2" s="5" t="s">
        <v>107</v>
      </c>
      <c r="CS2" s="5" t="s">
        <v>108</v>
      </c>
      <c r="CT2" s="5" t="s">
        <v>109</v>
      </c>
      <c r="CU2" s="5" t="s">
        <v>110</v>
      </c>
      <c r="CV2" s="5" t="s">
        <v>111</v>
      </c>
      <c r="CW2" s="5" t="s">
        <v>112</v>
      </c>
      <c r="CX2" s="5" t="s">
        <v>113</v>
      </c>
      <c r="CY2" s="5" t="s">
        <v>114</v>
      </c>
      <c r="CZ2" s="5" t="s">
        <v>115</v>
      </c>
      <c r="DA2" s="5" t="s">
        <v>116</v>
      </c>
      <c r="DB2" s="5" t="s">
        <v>117</v>
      </c>
      <c r="DC2" s="5" t="s">
        <v>118</v>
      </c>
      <c r="DD2" s="5" t="s">
        <v>119</v>
      </c>
      <c r="DE2" s="5" t="s">
        <v>120</v>
      </c>
      <c r="DF2" s="5" t="s">
        <v>121</v>
      </c>
      <c r="DG2" s="5" t="s">
        <v>122</v>
      </c>
      <c r="DH2" s="5" t="s">
        <v>123</v>
      </c>
      <c r="DI2" s="5" t="s">
        <v>124</v>
      </c>
      <c r="DJ2" s="5" t="s">
        <v>125</v>
      </c>
      <c r="DK2" s="5" t="s">
        <v>126</v>
      </c>
      <c r="DL2" s="5" t="s">
        <v>127</v>
      </c>
      <c r="DM2" s="5" t="s">
        <v>128</v>
      </c>
      <c r="DN2" s="5" t="s">
        <v>129</v>
      </c>
      <c r="DO2" s="5" t="s">
        <v>130</v>
      </c>
      <c r="DP2" s="5" t="s">
        <v>131</v>
      </c>
      <c r="DQ2" s="5" t="s">
        <v>132</v>
      </c>
      <c r="DR2" s="5" t="s">
        <v>133</v>
      </c>
      <c r="DS2" s="5" t="s">
        <v>134</v>
      </c>
      <c r="DT2" s="5" t="s">
        <v>135</v>
      </c>
      <c r="DU2" s="5" t="s">
        <v>136</v>
      </c>
      <c r="DV2" s="5" t="s">
        <v>137</v>
      </c>
      <c r="DW2" s="5" t="s">
        <v>138</v>
      </c>
      <c r="DX2" s="5" t="s">
        <v>139</v>
      </c>
      <c r="DY2" s="5" t="s">
        <v>140</v>
      </c>
      <c r="DZ2" s="5" t="s">
        <v>141</v>
      </c>
      <c r="EA2" s="5" t="s">
        <v>142</v>
      </c>
      <c r="EB2" s="5" t="s">
        <v>143</v>
      </c>
      <c r="EC2" s="5" t="s">
        <v>144</v>
      </c>
      <c r="ED2" s="5" t="s">
        <v>145</v>
      </c>
      <c r="EE2" s="5" t="s">
        <v>146</v>
      </c>
      <c r="EF2" s="5" t="s">
        <v>147</v>
      </c>
      <c r="EG2" s="5" t="s">
        <v>148</v>
      </c>
      <c r="EH2" s="5" t="s">
        <v>149</v>
      </c>
      <c r="EI2" s="5" t="s">
        <v>150</v>
      </c>
      <c r="EJ2" s="5" t="s">
        <v>151</v>
      </c>
      <c r="EK2" s="5" t="s">
        <v>152</v>
      </c>
      <c r="EL2" s="5" t="s">
        <v>153</v>
      </c>
      <c r="EM2" s="5" t="s">
        <v>154</v>
      </c>
      <c r="EN2" s="5" t="s">
        <v>155</v>
      </c>
      <c r="EO2" s="5" t="s">
        <v>156</v>
      </c>
      <c r="EP2" s="5" t="s">
        <v>157</v>
      </c>
      <c r="EQ2" s="5" t="s">
        <v>158</v>
      </c>
      <c r="ER2" s="5" t="s">
        <v>159</v>
      </c>
      <c r="ES2" s="5" t="s">
        <v>160</v>
      </c>
      <c r="ET2" s="5" t="s">
        <v>161</v>
      </c>
      <c r="EU2" s="5" t="s">
        <v>162</v>
      </c>
      <c r="EV2" s="5" t="s">
        <v>163</v>
      </c>
      <c r="EW2" s="5" t="s">
        <v>164</v>
      </c>
      <c r="EX2" s="5" t="s">
        <v>165</v>
      </c>
      <c r="EY2" s="5" t="s">
        <v>166</v>
      </c>
      <c r="EZ2" s="5" t="s">
        <v>167</v>
      </c>
      <c r="FA2" s="5" t="s">
        <v>168</v>
      </c>
      <c r="FB2" s="5" t="s">
        <v>169</v>
      </c>
      <c r="FC2" s="5" t="s">
        <v>170</v>
      </c>
      <c r="FD2" s="5" t="s">
        <v>171</v>
      </c>
      <c r="FE2" s="5" t="s">
        <v>172</v>
      </c>
      <c r="FF2" s="5" t="s">
        <v>173</v>
      </c>
      <c r="FG2" s="5" t="s">
        <v>174</v>
      </c>
      <c r="FH2" s="5" t="s">
        <v>175</v>
      </c>
      <c r="FI2" s="5" t="s">
        <v>176</v>
      </c>
      <c r="FJ2" s="5" t="s">
        <v>177</v>
      </c>
      <c r="FK2" s="5" t="s">
        <v>178</v>
      </c>
      <c r="FL2" s="5" t="s">
        <v>179</v>
      </c>
      <c r="FM2" s="5" t="s">
        <v>180</v>
      </c>
      <c r="FN2" s="5" t="s">
        <v>181</v>
      </c>
      <c r="FO2" s="5" t="s">
        <v>182</v>
      </c>
      <c r="FP2" s="5" t="s">
        <v>183</v>
      </c>
      <c r="FQ2" s="5" t="s">
        <v>184</v>
      </c>
      <c r="FR2" s="5" t="s">
        <v>185</v>
      </c>
      <c r="FS2" s="5" t="s">
        <v>186</v>
      </c>
      <c r="FT2" s="6" t="s">
        <v>187</v>
      </c>
      <c r="FU2" s="6" t="s">
        <v>188</v>
      </c>
      <c r="FV2" s="6" t="s">
        <v>189</v>
      </c>
      <c r="FW2" s="6" t="s">
        <v>190</v>
      </c>
      <c r="FX2" s="6" t="s">
        <v>191</v>
      </c>
      <c r="FY2" s="6" t="s">
        <v>192</v>
      </c>
      <c r="FZ2" s="6" t="s">
        <v>193</v>
      </c>
      <c r="GA2" s="6" t="s">
        <v>194</v>
      </c>
      <c r="GB2" s="6" t="s">
        <v>195</v>
      </c>
      <c r="GC2" s="6" t="s">
        <v>196</v>
      </c>
      <c r="GD2" s="6" t="s">
        <v>197</v>
      </c>
      <c r="GE2" s="6" t="s">
        <v>198</v>
      </c>
      <c r="GF2" s="6" t="s">
        <v>199</v>
      </c>
      <c r="GG2" s="6" t="s">
        <v>200</v>
      </c>
      <c r="GH2" s="6" t="s">
        <v>201</v>
      </c>
      <c r="GI2" s="6" t="s">
        <v>202</v>
      </c>
      <c r="GJ2" s="6" t="s">
        <v>203</v>
      </c>
      <c r="GK2" s="6" t="s">
        <v>204</v>
      </c>
      <c r="GL2" s="6" t="s">
        <v>205</v>
      </c>
      <c r="GM2" s="7" t="s">
        <v>206</v>
      </c>
      <c r="GN2" s="7" t="s">
        <v>207</v>
      </c>
      <c r="GO2" s="7" t="s">
        <v>208</v>
      </c>
      <c r="GP2" s="7" t="s">
        <v>209</v>
      </c>
      <c r="GQ2" s="7" t="s">
        <v>210</v>
      </c>
      <c r="GR2" s="7" t="s">
        <v>211</v>
      </c>
      <c r="GS2" s="7" t="s">
        <v>212</v>
      </c>
      <c r="GT2" s="7" t="s">
        <v>213</v>
      </c>
      <c r="GU2" s="7" t="s">
        <v>214</v>
      </c>
      <c r="GV2" s="7" t="s">
        <v>215</v>
      </c>
      <c r="GW2" s="7" t="s">
        <v>216</v>
      </c>
      <c r="GX2" s="7" t="s">
        <v>217</v>
      </c>
      <c r="GY2" s="7" t="s">
        <v>218</v>
      </c>
      <c r="GZ2" s="7" t="s">
        <v>219</v>
      </c>
      <c r="HA2" s="7" t="s">
        <v>220</v>
      </c>
      <c r="HB2" s="7" t="s">
        <v>221</v>
      </c>
      <c r="HC2" s="7" t="s">
        <v>222</v>
      </c>
      <c r="HD2" s="7" t="s">
        <v>223</v>
      </c>
      <c r="HE2" s="7" t="s">
        <v>224</v>
      </c>
      <c r="HF2" s="7" t="s">
        <v>225</v>
      </c>
      <c r="HG2" s="7" t="s">
        <v>226</v>
      </c>
      <c r="HH2" s="7" t="s">
        <v>227</v>
      </c>
      <c r="HI2" s="7" t="s">
        <v>228</v>
      </c>
      <c r="HJ2" s="7" t="s">
        <v>229</v>
      </c>
      <c r="HK2" s="7" t="s">
        <v>230</v>
      </c>
    </row>
    <row r="3" spans="1:219" x14ac:dyDescent="0.3">
      <c r="A3">
        <v>748967</v>
      </c>
      <c r="B3" t="s">
        <v>231</v>
      </c>
      <c r="D3" t="s">
        <v>232</v>
      </c>
      <c r="E3" s="8">
        <v>150</v>
      </c>
      <c r="F3" s="9">
        <f t="shared" ref="F3:F33" si="0">E3/SUM($E$3:$E$33)</f>
        <v>5.3751942687163247E-2</v>
      </c>
      <c r="G3">
        <v>75.8</v>
      </c>
      <c r="H3">
        <v>143.08000000000001</v>
      </c>
      <c r="I3">
        <v>12.4</v>
      </c>
      <c r="J3">
        <v>8.65</v>
      </c>
      <c r="K3">
        <v>9.9600000000000009</v>
      </c>
      <c r="L3">
        <v>0.85</v>
      </c>
      <c r="M3">
        <v>0.96</v>
      </c>
      <c r="N3">
        <v>0</v>
      </c>
      <c r="R3">
        <v>0.2</v>
      </c>
      <c r="S3">
        <v>0</v>
      </c>
      <c r="T3">
        <v>0.2</v>
      </c>
      <c r="U3">
        <v>0</v>
      </c>
      <c r="V3">
        <v>0</v>
      </c>
      <c r="W3">
        <v>0</v>
      </c>
      <c r="Y3">
        <v>0</v>
      </c>
      <c r="AB3">
        <v>48</v>
      </c>
      <c r="AC3">
        <v>1.67</v>
      </c>
      <c r="AD3">
        <v>11.4</v>
      </c>
      <c r="AE3">
        <v>184</v>
      </c>
      <c r="AF3">
        <v>132</v>
      </c>
      <c r="AG3">
        <v>129</v>
      </c>
      <c r="AH3">
        <v>1.24</v>
      </c>
      <c r="AI3">
        <v>0</v>
      </c>
      <c r="AJ3">
        <v>0</v>
      </c>
      <c r="AK3">
        <v>49.1</v>
      </c>
      <c r="AL3">
        <v>31.1</v>
      </c>
      <c r="AO3">
        <v>7.6999999999999999E-2</v>
      </c>
      <c r="AP3">
        <v>0.41899999999999998</v>
      </c>
      <c r="AQ3">
        <v>0</v>
      </c>
      <c r="AR3">
        <v>6.3E-2</v>
      </c>
      <c r="AS3">
        <v>71</v>
      </c>
      <c r="AV3">
        <v>335</v>
      </c>
      <c r="AW3">
        <v>1.02</v>
      </c>
      <c r="AX3">
        <v>180</v>
      </c>
      <c r="AZ3">
        <v>2.46</v>
      </c>
      <c r="BH3">
        <v>179</v>
      </c>
      <c r="BI3">
        <v>0</v>
      </c>
      <c r="BJ3">
        <v>0</v>
      </c>
      <c r="BK3">
        <v>0</v>
      </c>
      <c r="BL3">
        <v>0</v>
      </c>
      <c r="BM3">
        <v>98.4</v>
      </c>
      <c r="BN3">
        <v>0</v>
      </c>
      <c r="BO3">
        <v>2.46</v>
      </c>
      <c r="BR3">
        <v>0</v>
      </c>
      <c r="BS3">
        <v>0</v>
      </c>
      <c r="BT3">
        <v>0</v>
      </c>
      <c r="BV3">
        <v>230</v>
      </c>
      <c r="BW3">
        <v>229</v>
      </c>
      <c r="BX3">
        <v>57</v>
      </c>
      <c r="CI3">
        <v>0.6</v>
      </c>
      <c r="CJ3">
        <v>309</v>
      </c>
      <c r="CK3">
        <v>0.2</v>
      </c>
      <c r="CL3">
        <v>0.2</v>
      </c>
      <c r="CM3">
        <v>0.3</v>
      </c>
      <c r="CN3">
        <v>25.1</v>
      </c>
      <c r="CQ3">
        <v>3.2</v>
      </c>
      <c r="CR3">
        <v>3.63</v>
      </c>
      <c r="CS3">
        <v>1.82</v>
      </c>
      <c r="CU3">
        <v>411</v>
      </c>
      <c r="DA3">
        <v>3.2000000000000001E-2</v>
      </c>
      <c r="DB3">
        <v>2.3199999999999998</v>
      </c>
      <c r="DC3">
        <v>0.81299999999999994</v>
      </c>
      <c r="EG3">
        <v>0.23799999999999999</v>
      </c>
      <c r="EH3">
        <v>3.35</v>
      </c>
      <c r="EI3">
        <v>1.46</v>
      </c>
      <c r="EP3">
        <v>1.0999999999999999E-2</v>
      </c>
      <c r="FE3">
        <v>1.46</v>
      </c>
      <c r="FG3">
        <v>1.0999999999999999E-2</v>
      </c>
      <c r="FI3">
        <v>0.02</v>
      </c>
      <c r="FQ3">
        <v>0.02</v>
      </c>
      <c r="FT3">
        <v>0.16600000000000001</v>
      </c>
      <c r="FU3">
        <v>0.59399999999999997</v>
      </c>
      <c r="FV3">
        <v>0.61599999999999999</v>
      </c>
      <c r="FW3">
        <v>1.05</v>
      </c>
      <c r="FX3">
        <v>0.83199999999999996</v>
      </c>
      <c r="FY3">
        <v>0.41799999999999998</v>
      </c>
      <c r="FZ3">
        <v>0.66</v>
      </c>
      <c r="GA3">
        <v>0.51200000000000001</v>
      </c>
      <c r="GB3">
        <v>0.73399999999999999</v>
      </c>
      <c r="GC3">
        <v>0.78700000000000003</v>
      </c>
      <c r="GD3">
        <v>0.28299999999999997</v>
      </c>
      <c r="GE3">
        <v>0.66700000000000004</v>
      </c>
      <c r="GF3">
        <v>1.27</v>
      </c>
      <c r="GG3">
        <v>1.63</v>
      </c>
      <c r="GH3">
        <v>0.40799999999999997</v>
      </c>
      <c r="GI3">
        <v>0.56000000000000005</v>
      </c>
      <c r="GJ3">
        <v>0.91900000000000004</v>
      </c>
      <c r="GK3">
        <v>0</v>
      </c>
      <c r="GL3">
        <v>0.38500000000000001</v>
      </c>
      <c r="HG3">
        <v>0.56000000000000005</v>
      </c>
      <c r="HH3">
        <v>13</v>
      </c>
      <c r="HI3">
        <v>13</v>
      </c>
    </row>
    <row r="4" spans="1:219" x14ac:dyDescent="0.3">
      <c r="A4">
        <v>174158</v>
      </c>
      <c r="B4" t="s">
        <v>233</v>
      </c>
      <c r="D4" t="s">
        <v>234</v>
      </c>
      <c r="E4" s="8">
        <v>124.4548332074544</v>
      </c>
      <c r="F4" s="9">
        <f t="shared" si="0"/>
        <v>4.4597927078050333E-2</v>
      </c>
      <c r="G4">
        <v>100</v>
      </c>
      <c r="H4">
        <v>0</v>
      </c>
      <c r="I4">
        <v>0</v>
      </c>
      <c r="J4">
        <v>0</v>
      </c>
      <c r="K4">
        <v>0</v>
      </c>
      <c r="L4">
        <v>7.0000000000000007E-2</v>
      </c>
      <c r="M4">
        <v>0</v>
      </c>
      <c r="N4">
        <v>0</v>
      </c>
      <c r="R4">
        <v>0</v>
      </c>
      <c r="AB4">
        <v>10</v>
      </c>
      <c r="AC4">
        <v>0</v>
      </c>
      <c r="AD4">
        <v>2</v>
      </c>
      <c r="AE4">
        <v>0</v>
      </c>
      <c r="AF4">
        <v>0</v>
      </c>
      <c r="AG4">
        <v>2</v>
      </c>
      <c r="AH4">
        <v>0</v>
      </c>
      <c r="AI4">
        <v>7.0000000000000001E-3</v>
      </c>
      <c r="AL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F4">
        <v>0</v>
      </c>
      <c r="BG4">
        <v>0</v>
      </c>
      <c r="BH4">
        <v>0</v>
      </c>
      <c r="BI4">
        <v>0</v>
      </c>
      <c r="BL4">
        <v>0</v>
      </c>
      <c r="BM4">
        <v>0</v>
      </c>
      <c r="BR4">
        <v>0</v>
      </c>
      <c r="BU4">
        <v>0</v>
      </c>
      <c r="CH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E4">
        <v>0</v>
      </c>
      <c r="DF4">
        <v>0</v>
      </c>
      <c r="DG4">
        <v>0</v>
      </c>
      <c r="DH4">
        <v>0</v>
      </c>
      <c r="DI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HF4">
        <v>0</v>
      </c>
      <c r="HH4">
        <v>0</v>
      </c>
    </row>
    <row r="5" spans="1:219" x14ac:dyDescent="0.3">
      <c r="A5">
        <v>171320</v>
      </c>
      <c r="B5" t="s">
        <v>235</v>
      </c>
      <c r="D5" t="s">
        <v>234</v>
      </c>
      <c r="E5" s="8">
        <v>39.666666666666693</v>
      </c>
      <c r="F5" s="9">
        <f t="shared" si="0"/>
        <v>1.4214402621716513E-2</v>
      </c>
      <c r="G5">
        <v>10.6</v>
      </c>
      <c r="H5">
        <v>349.52</v>
      </c>
      <c r="I5">
        <v>3.99</v>
      </c>
      <c r="J5">
        <v>1.24</v>
      </c>
      <c r="K5">
        <v>1.24</v>
      </c>
      <c r="L5">
        <v>3.6</v>
      </c>
      <c r="M5">
        <v>80.599999999999994</v>
      </c>
      <c r="N5">
        <v>53.1</v>
      </c>
      <c r="R5">
        <v>2.17</v>
      </c>
      <c r="S5">
        <v>0.02</v>
      </c>
      <c r="T5">
        <v>1.04</v>
      </c>
      <c r="U5">
        <v>1.1100000000000001</v>
      </c>
      <c r="V5">
        <v>0</v>
      </c>
      <c r="W5">
        <v>0</v>
      </c>
      <c r="X5">
        <v>0</v>
      </c>
      <c r="AB5">
        <v>1000</v>
      </c>
      <c r="AC5">
        <v>8.32</v>
      </c>
      <c r="AD5">
        <v>60</v>
      </c>
      <c r="AE5">
        <v>64</v>
      </c>
      <c r="AF5">
        <v>431</v>
      </c>
      <c r="AG5">
        <v>10</v>
      </c>
      <c r="AH5">
        <v>1.83</v>
      </c>
      <c r="AI5">
        <v>0.33900000000000002</v>
      </c>
      <c r="AJ5">
        <v>17.5</v>
      </c>
      <c r="AL5">
        <v>3.1</v>
      </c>
      <c r="AO5">
        <v>2.1999999999999999E-2</v>
      </c>
      <c r="AP5">
        <v>4.1000000000000002E-2</v>
      </c>
      <c r="AQ5">
        <v>1.33</v>
      </c>
      <c r="AR5">
        <v>0.158</v>
      </c>
      <c r="AS5">
        <v>6</v>
      </c>
      <c r="AT5">
        <v>0</v>
      </c>
      <c r="AU5">
        <v>6</v>
      </c>
      <c r="AV5">
        <v>11</v>
      </c>
      <c r="AW5">
        <v>0</v>
      </c>
      <c r="AX5">
        <v>15</v>
      </c>
      <c r="AY5">
        <v>295</v>
      </c>
      <c r="AZ5">
        <v>0</v>
      </c>
      <c r="BA5">
        <v>31.2</v>
      </c>
      <c r="BB5">
        <v>2.3199999999999998</v>
      </c>
      <c r="BC5">
        <v>3.8</v>
      </c>
      <c r="BD5">
        <v>0.35799999999999998</v>
      </c>
      <c r="BF5">
        <v>0</v>
      </c>
      <c r="BG5">
        <v>0</v>
      </c>
      <c r="BH5">
        <v>0</v>
      </c>
      <c r="BI5">
        <v>112</v>
      </c>
      <c r="BL5">
        <v>1</v>
      </c>
      <c r="BM5">
        <v>0</v>
      </c>
      <c r="BR5">
        <v>15</v>
      </c>
      <c r="BU5">
        <v>222</v>
      </c>
      <c r="BY5">
        <v>0</v>
      </c>
      <c r="BZ5">
        <v>10.4</v>
      </c>
      <c r="CA5">
        <v>0.26</v>
      </c>
      <c r="CB5">
        <v>0</v>
      </c>
      <c r="CC5">
        <v>0</v>
      </c>
      <c r="CD5">
        <v>0</v>
      </c>
      <c r="CE5">
        <v>0</v>
      </c>
      <c r="CG5">
        <v>0</v>
      </c>
      <c r="CH5">
        <v>6</v>
      </c>
      <c r="CM5">
        <v>3.9</v>
      </c>
      <c r="CO5">
        <v>0</v>
      </c>
      <c r="CP5">
        <v>0</v>
      </c>
      <c r="CQ5">
        <v>0.34499999999999997</v>
      </c>
      <c r="CR5">
        <v>0.246</v>
      </c>
      <c r="CS5">
        <v>6.8000000000000005E-2</v>
      </c>
      <c r="CT5">
        <v>0</v>
      </c>
      <c r="CU5">
        <v>0</v>
      </c>
      <c r="CV5">
        <v>0</v>
      </c>
      <c r="CW5">
        <v>0</v>
      </c>
      <c r="CX5">
        <v>0</v>
      </c>
      <c r="CY5">
        <v>3.0000000000000001E-3</v>
      </c>
      <c r="CZ5">
        <v>6.0000000000000001E-3</v>
      </c>
      <c r="DA5">
        <v>8.9999999999999993E-3</v>
      </c>
      <c r="DB5">
        <v>0.104</v>
      </c>
      <c r="DC5">
        <v>8.2000000000000003E-2</v>
      </c>
      <c r="DD5">
        <v>0</v>
      </c>
      <c r="DE5">
        <v>0.246</v>
      </c>
      <c r="DF5">
        <v>4.3999999999999997E-2</v>
      </c>
      <c r="DG5">
        <v>1.0999999999999999E-2</v>
      </c>
      <c r="DH5">
        <v>0</v>
      </c>
      <c r="DI5">
        <v>0</v>
      </c>
      <c r="DJ5">
        <v>0</v>
      </c>
      <c r="DK5">
        <v>0</v>
      </c>
      <c r="DL5">
        <v>1E-3</v>
      </c>
      <c r="DM5">
        <v>0</v>
      </c>
      <c r="DN5">
        <v>0</v>
      </c>
      <c r="DO5">
        <v>0</v>
      </c>
      <c r="DP5">
        <v>0</v>
      </c>
      <c r="DQ5">
        <v>0</v>
      </c>
      <c r="DV5">
        <v>0</v>
      </c>
      <c r="DW5">
        <v>0.13600000000000001</v>
      </c>
      <c r="DX5">
        <v>0</v>
      </c>
      <c r="DZ5">
        <v>0</v>
      </c>
      <c r="EE5">
        <v>0</v>
      </c>
      <c r="EF5">
        <v>0</v>
      </c>
      <c r="EH5">
        <v>0.246</v>
      </c>
      <c r="EP5">
        <v>0</v>
      </c>
      <c r="EQ5">
        <v>0</v>
      </c>
      <c r="ER5">
        <v>0</v>
      </c>
      <c r="ES5">
        <v>0</v>
      </c>
      <c r="EV5">
        <v>0</v>
      </c>
      <c r="EW5">
        <v>0</v>
      </c>
      <c r="FO5">
        <v>1.0999999999999999E-2</v>
      </c>
      <c r="FT5">
        <v>4.9000000000000002E-2</v>
      </c>
      <c r="FU5">
        <v>0.13600000000000001</v>
      </c>
      <c r="FV5">
        <v>0.14599999999999999</v>
      </c>
      <c r="FW5">
        <v>0.253</v>
      </c>
      <c r="FX5">
        <v>0.24299999999999999</v>
      </c>
      <c r="FY5">
        <v>7.8E-2</v>
      </c>
      <c r="FZ5">
        <v>0.14599999999999999</v>
      </c>
      <c r="GA5">
        <v>0.13600000000000001</v>
      </c>
      <c r="GB5">
        <v>0.224</v>
      </c>
      <c r="GC5">
        <v>0.16600000000000001</v>
      </c>
      <c r="GD5">
        <v>0.11700000000000001</v>
      </c>
      <c r="GE5">
        <v>0.16600000000000001</v>
      </c>
      <c r="GF5">
        <v>0.438</v>
      </c>
      <c r="GG5">
        <v>0.37</v>
      </c>
      <c r="GH5">
        <v>0.19500000000000001</v>
      </c>
      <c r="GI5">
        <v>0.41899999999999998</v>
      </c>
      <c r="GJ5">
        <v>0.19500000000000001</v>
      </c>
      <c r="GK5">
        <v>0</v>
      </c>
      <c r="GL5">
        <v>5.8000000000000003E-2</v>
      </c>
      <c r="GM5">
        <v>26</v>
      </c>
      <c r="HF5">
        <v>0</v>
      </c>
      <c r="HH5">
        <v>129</v>
      </c>
    </row>
    <row r="6" spans="1:219" x14ac:dyDescent="0.3">
      <c r="A6">
        <v>172336</v>
      </c>
      <c r="B6" t="s">
        <v>236</v>
      </c>
      <c r="D6" t="s">
        <v>234</v>
      </c>
      <c r="E6" s="8">
        <v>139.52984069152731</v>
      </c>
      <c r="F6" s="9">
        <f t="shared" si="0"/>
        <v>4.9999999999999961E-2</v>
      </c>
      <c r="G6">
        <v>0</v>
      </c>
      <c r="H6">
        <v>900</v>
      </c>
      <c r="I6">
        <v>0</v>
      </c>
      <c r="J6">
        <v>100</v>
      </c>
      <c r="K6">
        <v>100</v>
      </c>
      <c r="L6">
        <v>0</v>
      </c>
      <c r="M6">
        <v>0</v>
      </c>
      <c r="N6">
        <v>0</v>
      </c>
      <c r="R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L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0.2</v>
      </c>
      <c r="AW6">
        <v>0</v>
      </c>
      <c r="AX6">
        <v>0</v>
      </c>
      <c r="AY6">
        <v>0</v>
      </c>
      <c r="AZ6">
        <v>0</v>
      </c>
      <c r="BA6">
        <v>71.3</v>
      </c>
      <c r="BB6">
        <v>17.5</v>
      </c>
      <c r="BC6">
        <v>0</v>
      </c>
      <c r="BD6">
        <v>0</v>
      </c>
      <c r="BF6">
        <v>0</v>
      </c>
      <c r="BG6">
        <v>0</v>
      </c>
      <c r="BH6">
        <v>0</v>
      </c>
      <c r="BI6">
        <v>0</v>
      </c>
      <c r="BL6">
        <v>0</v>
      </c>
      <c r="BM6">
        <v>0</v>
      </c>
      <c r="BR6">
        <v>0</v>
      </c>
      <c r="BU6">
        <v>0</v>
      </c>
      <c r="BY6">
        <v>0.01</v>
      </c>
      <c r="BZ6">
        <v>27.3</v>
      </c>
      <c r="CA6">
        <v>0.99</v>
      </c>
      <c r="CB6">
        <v>0.03</v>
      </c>
      <c r="CC6">
        <v>0</v>
      </c>
      <c r="CD6">
        <v>0</v>
      </c>
      <c r="CE6">
        <v>0.01</v>
      </c>
      <c r="CF6">
        <v>0</v>
      </c>
      <c r="CG6">
        <v>0</v>
      </c>
      <c r="CH6">
        <v>0</v>
      </c>
      <c r="CM6">
        <v>0</v>
      </c>
      <c r="CO6">
        <v>0</v>
      </c>
      <c r="CP6">
        <v>0</v>
      </c>
      <c r="CQ6">
        <v>7.36</v>
      </c>
      <c r="CR6">
        <v>63.3</v>
      </c>
      <c r="CS6">
        <v>28.1</v>
      </c>
      <c r="CT6">
        <v>0.39500000000000002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4.3</v>
      </c>
      <c r="DC6">
        <v>2.09</v>
      </c>
      <c r="DD6">
        <v>0.65</v>
      </c>
      <c r="DE6">
        <v>61.7</v>
      </c>
      <c r="DF6">
        <v>19</v>
      </c>
      <c r="DG6">
        <v>9.14</v>
      </c>
      <c r="DH6">
        <v>0</v>
      </c>
      <c r="DI6">
        <v>0</v>
      </c>
      <c r="DJ6">
        <v>0.33</v>
      </c>
      <c r="DK6">
        <v>0</v>
      </c>
      <c r="DL6">
        <v>0.214</v>
      </c>
      <c r="DM6">
        <v>0</v>
      </c>
      <c r="DN6">
        <v>1.32</v>
      </c>
      <c r="DO6">
        <v>0</v>
      </c>
      <c r="DP6">
        <v>0</v>
      </c>
      <c r="DQ6">
        <v>0</v>
      </c>
      <c r="DV6">
        <v>0</v>
      </c>
      <c r="DW6">
        <v>0</v>
      </c>
      <c r="DZ6">
        <v>0.03</v>
      </c>
      <c r="EC6">
        <v>0.36499999999999999</v>
      </c>
      <c r="EF6">
        <v>0</v>
      </c>
      <c r="EH6">
        <v>61.7</v>
      </c>
      <c r="EI6">
        <v>18.600000000000001</v>
      </c>
      <c r="EP6">
        <v>0</v>
      </c>
      <c r="EQ6">
        <v>0</v>
      </c>
      <c r="ER6">
        <v>0</v>
      </c>
      <c r="ES6">
        <v>0.03</v>
      </c>
      <c r="EU6">
        <v>0.36499999999999999</v>
      </c>
      <c r="EW6">
        <v>0</v>
      </c>
      <c r="FO6">
        <v>9.14</v>
      </c>
      <c r="GN6">
        <v>413</v>
      </c>
      <c r="GO6">
        <v>241</v>
      </c>
      <c r="GP6">
        <v>3</v>
      </c>
      <c r="HF6">
        <v>0</v>
      </c>
      <c r="HH6">
        <v>0</v>
      </c>
    </row>
    <row r="7" spans="1:219" x14ac:dyDescent="0.3">
      <c r="A7">
        <v>748366</v>
      </c>
      <c r="B7" t="s">
        <v>237</v>
      </c>
      <c r="D7" t="s">
        <v>232</v>
      </c>
      <c r="E7" s="8">
        <v>4.7867243541328603</v>
      </c>
      <c r="F7" s="9">
        <f t="shared" si="0"/>
        <v>1.7153048876173201E-3</v>
      </c>
      <c r="H7">
        <v>851.4</v>
      </c>
      <c r="J7">
        <v>94.6</v>
      </c>
      <c r="K7">
        <v>94.6</v>
      </c>
      <c r="BB7">
        <v>12.2</v>
      </c>
      <c r="BY7">
        <v>1.8</v>
      </c>
      <c r="BZ7">
        <v>70.400000000000006</v>
      </c>
      <c r="CA7">
        <v>22</v>
      </c>
      <c r="CB7">
        <v>0</v>
      </c>
      <c r="CC7">
        <v>1.6</v>
      </c>
      <c r="CD7">
        <v>0</v>
      </c>
      <c r="CE7">
        <v>0</v>
      </c>
      <c r="CQ7">
        <v>14.9</v>
      </c>
      <c r="CR7">
        <v>22.1</v>
      </c>
      <c r="CS7">
        <v>57.6</v>
      </c>
      <c r="DA7">
        <v>7.4999999999999997E-2</v>
      </c>
      <c r="DB7">
        <v>10.3</v>
      </c>
      <c r="DC7">
        <v>3.71</v>
      </c>
      <c r="DD7">
        <v>0.29399999999999998</v>
      </c>
      <c r="DJ7">
        <v>0.30599999999999999</v>
      </c>
      <c r="DV7">
        <v>1.4E-2</v>
      </c>
      <c r="DW7">
        <v>8.5999999999999993E-2</v>
      </c>
      <c r="DX7">
        <v>0.124</v>
      </c>
      <c r="EG7">
        <v>0.08</v>
      </c>
      <c r="EH7">
        <v>21.4</v>
      </c>
      <c r="EI7">
        <v>50.9</v>
      </c>
      <c r="EM7">
        <v>2.5000000000000001E-2</v>
      </c>
      <c r="FC7">
        <v>0.6</v>
      </c>
      <c r="FE7">
        <v>50.9</v>
      </c>
      <c r="FG7">
        <v>6.62</v>
      </c>
      <c r="FI7">
        <v>0</v>
      </c>
      <c r="FO7">
        <v>6.62</v>
      </c>
      <c r="FQ7">
        <v>0</v>
      </c>
      <c r="GN7">
        <v>153</v>
      </c>
      <c r="GO7">
        <v>58</v>
      </c>
      <c r="GP7">
        <v>55.4</v>
      </c>
      <c r="GQ7">
        <v>0</v>
      </c>
      <c r="GR7">
        <v>10.5</v>
      </c>
      <c r="GS7">
        <v>20.8</v>
      </c>
      <c r="HJ7">
        <v>2.15</v>
      </c>
      <c r="HK7">
        <v>5.62</v>
      </c>
    </row>
    <row r="8" spans="1:219" x14ac:dyDescent="0.3">
      <c r="A8">
        <v>173468</v>
      </c>
      <c r="B8" t="s">
        <v>238</v>
      </c>
      <c r="D8" t="s">
        <v>234</v>
      </c>
      <c r="E8" s="8">
        <v>3.1301471638805571</v>
      </c>
      <c r="F8" s="9">
        <f t="shared" si="0"/>
        <v>1.1216766063686285E-3</v>
      </c>
      <c r="G8">
        <v>0.2</v>
      </c>
      <c r="H8">
        <v>0</v>
      </c>
      <c r="I8">
        <v>0</v>
      </c>
      <c r="J8">
        <v>0</v>
      </c>
      <c r="K8">
        <v>0</v>
      </c>
      <c r="L8">
        <v>99.8</v>
      </c>
      <c r="M8">
        <v>0</v>
      </c>
      <c r="N8">
        <v>0</v>
      </c>
      <c r="R8">
        <v>0</v>
      </c>
      <c r="AB8">
        <v>24</v>
      </c>
      <c r="AC8">
        <v>0.33</v>
      </c>
      <c r="AD8">
        <v>1</v>
      </c>
      <c r="AE8">
        <v>0</v>
      </c>
      <c r="AF8">
        <v>8</v>
      </c>
      <c r="AG8">
        <v>38800</v>
      </c>
      <c r="AH8">
        <v>0.1</v>
      </c>
      <c r="AI8">
        <v>0.03</v>
      </c>
      <c r="AJ8">
        <v>0.1</v>
      </c>
      <c r="AL8">
        <v>0.1</v>
      </c>
      <c r="AN8">
        <v>2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F8">
        <v>0</v>
      </c>
      <c r="BG8">
        <v>0</v>
      </c>
      <c r="BH8">
        <v>0</v>
      </c>
      <c r="BI8">
        <v>0</v>
      </c>
      <c r="BL8">
        <v>0</v>
      </c>
      <c r="BM8">
        <v>0</v>
      </c>
      <c r="BR8">
        <v>0</v>
      </c>
      <c r="BU8">
        <v>0</v>
      </c>
      <c r="CH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E8">
        <v>0</v>
      </c>
      <c r="DF8">
        <v>0</v>
      </c>
      <c r="DG8">
        <v>0</v>
      </c>
      <c r="DH8">
        <v>0</v>
      </c>
      <c r="DI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L8">
        <v>0</v>
      </c>
      <c r="GM8">
        <v>0</v>
      </c>
      <c r="HF8">
        <v>0</v>
      </c>
      <c r="HH8">
        <v>0</v>
      </c>
    </row>
    <row r="9" spans="1:219" x14ac:dyDescent="0.3">
      <c r="A9">
        <v>2644283</v>
      </c>
      <c r="B9" t="s">
        <v>239</v>
      </c>
      <c r="D9" t="s">
        <v>232</v>
      </c>
      <c r="E9" s="8">
        <v>31.40091176311158</v>
      </c>
      <c r="F9" s="9">
        <f t="shared" si="0"/>
        <v>1.1252400062769626E-2</v>
      </c>
      <c r="G9">
        <v>9.4499999999999993</v>
      </c>
      <c r="H9">
        <v>360.48</v>
      </c>
      <c r="I9">
        <v>23.6</v>
      </c>
      <c r="J9">
        <v>1.92</v>
      </c>
      <c r="K9">
        <v>1.92</v>
      </c>
      <c r="L9">
        <v>2.88</v>
      </c>
      <c r="M9">
        <v>62.2</v>
      </c>
      <c r="Y9">
        <v>37.1</v>
      </c>
      <c r="Z9">
        <v>16</v>
      </c>
      <c r="AB9">
        <v>61.8</v>
      </c>
      <c r="AC9">
        <v>7.16</v>
      </c>
      <c r="AD9">
        <v>107</v>
      </c>
      <c r="AE9">
        <v>374</v>
      </c>
      <c r="AF9">
        <v>949</v>
      </c>
      <c r="AG9">
        <v>0</v>
      </c>
      <c r="AH9">
        <v>3.86</v>
      </c>
      <c r="AI9">
        <v>0.83799999999999997</v>
      </c>
      <c r="AJ9">
        <v>1.57</v>
      </c>
    </row>
    <row r="10" spans="1:219" x14ac:dyDescent="0.3">
      <c r="A10">
        <v>2707920</v>
      </c>
      <c r="B10" t="s">
        <v>240</v>
      </c>
      <c r="D10" t="s">
        <v>241</v>
      </c>
      <c r="E10" s="8">
        <v>95.734487082657211</v>
      </c>
      <c r="F10" s="9">
        <f t="shared" si="0"/>
        <v>3.4306097752346401E-2</v>
      </c>
      <c r="G10">
        <v>3.11</v>
      </c>
      <c r="H10">
        <v>476.74</v>
      </c>
      <c r="I10">
        <v>5.21</v>
      </c>
      <c r="J10">
        <v>19.100000000000001</v>
      </c>
      <c r="K10">
        <v>19.100000000000001</v>
      </c>
      <c r="M10">
        <v>71</v>
      </c>
      <c r="N10">
        <v>2.9</v>
      </c>
      <c r="R10">
        <v>40.700000000000003</v>
      </c>
      <c r="AB10">
        <v>21</v>
      </c>
      <c r="AC10">
        <v>12.1</v>
      </c>
      <c r="AD10">
        <v>47</v>
      </c>
      <c r="AE10">
        <v>93</v>
      </c>
      <c r="AF10">
        <v>234</v>
      </c>
      <c r="AG10">
        <v>388</v>
      </c>
      <c r="AH10">
        <v>0.74</v>
      </c>
      <c r="AI10">
        <v>0.33400000000000002</v>
      </c>
      <c r="AL10">
        <v>5.2</v>
      </c>
      <c r="AO10">
        <v>0.19700000000000001</v>
      </c>
      <c r="AP10">
        <v>0.23799999999999999</v>
      </c>
      <c r="AQ10">
        <v>2.6</v>
      </c>
      <c r="AR10">
        <v>2.3E-2</v>
      </c>
      <c r="AS10">
        <v>61</v>
      </c>
      <c r="AT10">
        <v>58</v>
      </c>
      <c r="AU10">
        <v>102</v>
      </c>
      <c r="AV10">
        <v>19.2</v>
      </c>
      <c r="AW10">
        <v>0</v>
      </c>
      <c r="AX10">
        <v>1</v>
      </c>
      <c r="AZ10">
        <v>0</v>
      </c>
      <c r="BA10">
        <v>27.4</v>
      </c>
      <c r="BB10">
        <v>2.4700000000000002</v>
      </c>
      <c r="BC10">
        <v>0</v>
      </c>
      <c r="BF10">
        <v>5</v>
      </c>
      <c r="BG10">
        <v>184</v>
      </c>
      <c r="BH10">
        <v>0</v>
      </c>
      <c r="BI10">
        <v>0</v>
      </c>
      <c r="BL10">
        <v>0</v>
      </c>
      <c r="BR10">
        <v>0</v>
      </c>
      <c r="BU10">
        <v>4</v>
      </c>
      <c r="CH10">
        <v>3</v>
      </c>
      <c r="CO10">
        <v>0</v>
      </c>
      <c r="CP10">
        <v>0</v>
      </c>
      <c r="CQ10">
        <v>5.65</v>
      </c>
      <c r="CR10">
        <v>9.2799999999999994</v>
      </c>
      <c r="CS10">
        <v>3.56</v>
      </c>
      <c r="CU10">
        <v>0</v>
      </c>
      <c r="CV10">
        <v>0</v>
      </c>
      <c r="CW10">
        <v>0</v>
      </c>
      <c r="CX10">
        <v>3.0000000000000001E-3</v>
      </c>
      <c r="CY10">
        <v>1.0999999999999999E-2</v>
      </c>
      <c r="CZ10">
        <v>4.4999999999999998E-2</v>
      </c>
      <c r="DA10">
        <v>0.111</v>
      </c>
      <c r="DB10">
        <v>4.45</v>
      </c>
      <c r="DC10">
        <v>0.85699999999999998</v>
      </c>
      <c r="DE10">
        <v>9.11</v>
      </c>
      <c r="DF10">
        <v>3.25</v>
      </c>
      <c r="DG10">
        <v>0.29799999999999999</v>
      </c>
      <c r="DH10">
        <v>4.0000000000000001E-3</v>
      </c>
      <c r="DI10">
        <v>0</v>
      </c>
      <c r="DL10">
        <v>3.5999999999999997E-2</v>
      </c>
      <c r="DM10">
        <v>0</v>
      </c>
      <c r="DN10">
        <v>0.12</v>
      </c>
      <c r="DO10">
        <v>0</v>
      </c>
      <c r="DP10">
        <v>3.0000000000000001E-3</v>
      </c>
      <c r="DQ10">
        <v>0</v>
      </c>
      <c r="HF10">
        <v>0</v>
      </c>
      <c r="HH10">
        <v>0</v>
      </c>
    </row>
    <row r="11" spans="1:219" x14ac:dyDescent="0.3">
      <c r="A11">
        <v>746782</v>
      </c>
      <c r="B11" t="s">
        <v>242</v>
      </c>
      <c r="D11" t="s">
        <v>232</v>
      </c>
      <c r="E11" s="8">
        <v>95.734487082657211</v>
      </c>
      <c r="F11" s="9">
        <f t="shared" si="0"/>
        <v>3.4306097752346401E-2</v>
      </c>
      <c r="G11">
        <v>88.1</v>
      </c>
      <c r="H11">
        <v>60.400000000000013</v>
      </c>
      <c r="I11">
        <v>3.27</v>
      </c>
      <c r="J11">
        <v>2.77</v>
      </c>
      <c r="K11">
        <v>3.2</v>
      </c>
      <c r="L11">
        <v>0.8</v>
      </c>
      <c r="M11">
        <v>4.63</v>
      </c>
      <c r="R11">
        <v>4.8099999999999996</v>
      </c>
      <c r="S11">
        <v>0</v>
      </c>
      <c r="T11">
        <v>0</v>
      </c>
      <c r="U11">
        <v>0</v>
      </c>
      <c r="V11">
        <v>4.8099999999999996</v>
      </c>
      <c r="W11">
        <v>0</v>
      </c>
      <c r="X11">
        <v>0</v>
      </c>
      <c r="AB11">
        <v>123</v>
      </c>
      <c r="AC11">
        <v>0</v>
      </c>
      <c r="AD11">
        <v>11.9</v>
      </c>
      <c r="AE11">
        <v>101</v>
      </c>
      <c r="AF11">
        <v>150</v>
      </c>
      <c r="AG11">
        <v>38</v>
      </c>
      <c r="AH11">
        <v>0.42</v>
      </c>
      <c r="AI11">
        <v>1E-3</v>
      </c>
      <c r="AJ11">
        <v>0</v>
      </c>
      <c r="AK11">
        <v>37.9</v>
      </c>
      <c r="AL11">
        <v>1.9</v>
      </c>
      <c r="AO11">
        <v>5.6000000000000001E-2</v>
      </c>
      <c r="AP11">
        <v>0.13800000000000001</v>
      </c>
      <c r="AQ11">
        <v>0.105</v>
      </c>
      <c r="AR11">
        <v>6.0999999999999999E-2</v>
      </c>
      <c r="AS11">
        <v>0</v>
      </c>
      <c r="AV11">
        <v>17.8</v>
      </c>
      <c r="AW11">
        <v>0.54</v>
      </c>
      <c r="AX11">
        <v>32</v>
      </c>
      <c r="AZ11">
        <v>0.96</v>
      </c>
      <c r="BB11">
        <v>0.05</v>
      </c>
      <c r="BD11">
        <v>0.36199999999999999</v>
      </c>
      <c r="BH11">
        <v>31</v>
      </c>
      <c r="BI11">
        <v>7</v>
      </c>
      <c r="BJ11">
        <v>2</v>
      </c>
      <c r="BK11">
        <v>5</v>
      </c>
      <c r="BL11">
        <v>0</v>
      </c>
      <c r="BM11">
        <v>38.4</v>
      </c>
      <c r="BN11">
        <v>0</v>
      </c>
      <c r="BO11">
        <v>0.96</v>
      </c>
      <c r="BR11">
        <v>0</v>
      </c>
      <c r="BS11">
        <v>0</v>
      </c>
      <c r="BT11">
        <v>0</v>
      </c>
      <c r="BV11">
        <v>5</v>
      </c>
      <c r="BW11">
        <v>1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I11">
        <v>3</v>
      </c>
      <c r="CJ11">
        <v>1.3</v>
      </c>
      <c r="CK11">
        <v>1.8</v>
      </c>
      <c r="CL11">
        <v>10.3</v>
      </c>
      <c r="CM11">
        <v>0.7</v>
      </c>
      <c r="CN11">
        <v>1.4</v>
      </c>
      <c r="CQ11">
        <v>1.86</v>
      </c>
      <c r="CR11">
        <v>0.68799999999999994</v>
      </c>
      <c r="CS11">
        <v>0.108</v>
      </c>
      <c r="CT11">
        <v>0.112</v>
      </c>
      <c r="CU11">
        <v>12</v>
      </c>
      <c r="CV11">
        <v>6.7000000000000004E-2</v>
      </c>
      <c r="CW11">
        <v>5.3999999999999999E-2</v>
      </c>
      <c r="CX11">
        <v>3.4000000000000002E-2</v>
      </c>
      <c r="CY11">
        <v>8.4000000000000005E-2</v>
      </c>
      <c r="CZ11">
        <v>9.7000000000000003E-2</v>
      </c>
      <c r="DA11">
        <v>0.30299999999999999</v>
      </c>
      <c r="DB11">
        <v>0.85699999999999998</v>
      </c>
      <c r="DC11">
        <v>0.309</v>
      </c>
      <c r="DD11">
        <v>4.0000000000000001E-3</v>
      </c>
      <c r="DH11">
        <v>4.0000000000000001E-3</v>
      </c>
      <c r="DI11">
        <v>0</v>
      </c>
      <c r="DJ11">
        <v>2E-3</v>
      </c>
      <c r="DM11">
        <v>0</v>
      </c>
      <c r="DO11">
        <v>1E-3</v>
      </c>
      <c r="DQ11">
        <v>2E-3</v>
      </c>
      <c r="DR11">
        <v>0</v>
      </c>
      <c r="DS11">
        <v>0</v>
      </c>
      <c r="DT11">
        <v>0</v>
      </c>
      <c r="DU11">
        <v>1E-3</v>
      </c>
      <c r="DV11">
        <v>3.2000000000000001E-2</v>
      </c>
      <c r="DW11">
        <v>1.7999999999999999E-2</v>
      </c>
      <c r="DX11">
        <v>1E-3</v>
      </c>
      <c r="DY11">
        <v>8.0000000000000002E-3</v>
      </c>
      <c r="DZ11">
        <v>8.2000000000000003E-2</v>
      </c>
      <c r="EA11">
        <v>0</v>
      </c>
      <c r="EB11">
        <v>1.7999999999999999E-2</v>
      </c>
      <c r="ED11">
        <v>1.2999999999999999E-2</v>
      </c>
      <c r="EE11">
        <v>0</v>
      </c>
      <c r="EF11">
        <v>1E-3</v>
      </c>
      <c r="EG11">
        <v>3.9E-2</v>
      </c>
      <c r="EH11">
        <v>0.61199999999999999</v>
      </c>
      <c r="EI11">
        <v>8.4000000000000005E-2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1E-3</v>
      </c>
      <c r="EQ11">
        <v>5.0000000000000001E-3</v>
      </c>
      <c r="ES11">
        <v>9.5000000000000001E-2</v>
      </c>
      <c r="ET11">
        <v>1.7999999999999999E-2</v>
      </c>
      <c r="EU11">
        <v>0</v>
      </c>
      <c r="EW11">
        <v>0</v>
      </c>
      <c r="EX11">
        <v>0</v>
      </c>
      <c r="EY11">
        <v>0</v>
      </c>
      <c r="EZ11">
        <v>5.0000000000000001E-3</v>
      </c>
      <c r="FA11">
        <v>2.4E-2</v>
      </c>
      <c r="FB11">
        <v>5.0000000000000001E-3</v>
      </c>
      <c r="FC11">
        <v>4.0000000000000001E-3</v>
      </c>
      <c r="FD11">
        <v>0</v>
      </c>
      <c r="FE11">
        <v>9.7000000000000003E-2</v>
      </c>
      <c r="FG11">
        <v>1.2999999999999999E-2</v>
      </c>
      <c r="FH11">
        <v>0</v>
      </c>
      <c r="FI11">
        <v>4.0000000000000001E-3</v>
      </c>
      <c r="FJ11">
        <v>4.0000000000000001E-3</v>
      </c>
      <c r="FK11">
        <v>1E-3</v>
      </c>
      <c r="FL11">
        <v>2E-3</v>
      </c>
      <c r="FM11">
        <v>0</v>
      </c>
      <c r="FN11">
        <v>1E-3</v>
      </c>
      <c r="FO11">
        <v>1.2E-2</v>
      </c>
      <c r="FP11">
        <v>0</v>
      </c>
      <c r="FQ11">
        <v>4.0000000000000001E-3</v>
      </c>
      <c r="FR11">
        <v>1E-3</v>
      </c>
      <c r="FS11">
        <v>0</v>
      </c>
      <c r="FT11">
        <v>4.2999999999999997E-2</v>
      </c>
      <c r="FU11">
        <v>0.154</v>
      </c>
      <c r="FV11">
        <v>0.17299999999999999</v>
      </c>
      <c r="FW11">
        <v>0.33300000000000002</v>
      </c>
      <c r="FX11">
        <v>0.29799999999999999</v>
      </c>
      <c r="FY11">
        <v>0.09</v>
      </c>
      <c r="FZ11">
        <v>0.161</v>
      </c>
      <c r="GA11">
        <v>0.16200000000000001</v>
      </c>
      <c r="GB11">
        <v>0.20699999999999999</v>
      </c>
      <c r="GC11">
        <v>0.127</v>
      </c>
      <c r="GD11">
        <v>9.7000000000000003E-2</v>
      </c>
      <c r="GE11">
        <v>0.11</v>
      </c>
      <c r="GF11">
        <v>0.27900000000000003</v>
      </c>
      <c r="GG11">
        <v>0.78800000000000003</v>
      </c>
      <c r="GH11">
        <v>6.9000000000000006E-2</v>
      </c>
      <c r="GI11">
        <v>0.33300000000000002</v>
      </c>
      <c r="GJ11">
        <v>0.188</v>
      </c>
      <c r="GK11">
        <v>0</v>
      </c>
      <c r="GL11">
        <v>3.7999999999999999E-2</v>
      </c>
      <c r="HG11">
        <v>0</v>
      </c>
      <c r="HH11">
        <v>0</v>
      </c>
      <c r="HI11">
        <v>0</v>
      </c>
    </row>
    <row r="12" spans="1:219" x14ac:dyDescent="0.3">
      <c r="A12">
        <v>2720960</v>
      </c>
      <c r="B12" t="s">
        <v>243</v>
      </c>
      <c r="C12" t="s">
        <v>244</v>
      </c>
      <c r="D12" t="s">
        <v>245</v>
      </c>
      <c r="E12" s="8">
        <v>95.734487082657211</v>
      </c>
      <c r="F12" s="9">
        <f t="shared" si="0"/>
        <v>3.4306097752346401E-2</v>
      </c>
      <c r="G12">
        <v>4.2999999999999829</v>
      </c>
      <c r="H12">
        <v>529.20000000000005</v>
      </c>
      <c r="I12">
        <v>4.5</v>
      </c>
      <c r="J12">
        <v>31.2</v>
      </c>
      <c r="K12">
        <v>31.2</v>
      </c>
      <c r="M12">
        <v>57.6</v>
      </c>
      <c r="N12">
        <v>2.4</v>
      </c>
      <c r="R12">
        <v>4.3</v>
      </c>
      <c r="AA12">
        <v>3.2</v>
      </c>
      <c r="AB12">
        <v>9.6999999999999993</v>
      </c>
      <c r="AC12">
        <v>0.6</v>
      </c>
      <c r="AF12">
        <v>412</v>
      </c>
      <c r="AG12">
        <v>482</v>
      </c>
      <c r="AZ12">
        <v>0</v>
      </c>
      <c r="CQ12">
        <v>8.6</v>
      </c>
      <c r="CT12">
        <v>0</v>
      </c>
      <c r="CU12">
        <v>0</v>
      </c>
    </row>
    <row r="13" spans="1:219" x14ac:dyDescent="0.3">
      <c r="A13">
        <v>2257045</v>
      </c>
      <c r="B13" t="s">
        <v>246</v>
      </c>
      <c r="D13" t="s">
        <v>232</v>
      </c>
      <c r="E13" s="8">
        <v>95.734487082657211</v>
      </c>
      <c r="F13" s="9">
        <f t="shared" si="0"/>
        <v>3.4306097752346401E-2</v>
      </c>
      <c r="G13">
        <v>96.5</v>
      </c>
      <c r="H13">
        <v>19.347999999999999</v>
      </c>
      <c r="I13">
        <v>0.65600000000000003</v>
      </c>
      <c r="J13">
        <v>1.56</v>
      </c>
      <c r="K13">
        <v>1.56</v>
      </c>
      <c r="L13">
        <v>0.59499999999999997</v>
      </c>
      <c r="M13">
        <v>0.67100000000000004</v>
      </c>
      <c r="N13">
        <v>0</v>
      </c>
      <c r="S13">
        <v>3.8600000000000002E-2</v>
      </c>
      <c r="T13">
        <v>0</v>
      </c>
      <c r="U13">
        <v>0</v>
      </c>
      <c r="V13">
        <v>0</v>
      </c>
      <c r="W13">
        <v>0</v>
      </c>
      <c r="X13">
        <v>0</v>
      </c>
      <c r="AB13">
        <v>158</v>
      </c>
      <c r="AC13">
        <v>0.125</v>
      </c>
      <c r="AD13">
        <v>8.25</v>
      </c>
      <c r="AE13">
        <v>19.100000000000001</v>
      </c>
      <c r="AF13">
        <v>49.3</v>
      </c>
      <c r="AG13">
        <v>59.2</v>
      </c>
      <c r="AH13">
        <v>7.6600000000000001E-2</v>
      </c>
      <c r="AI13">
        <v>2.69E-2</v>
      </c>
      <c r="AJ13">
        <v>5.6399999999999999E-2</v>
      </c>
      <c r="AO13">
        <v>5.0000000000000001E-3</v>
      </c>
      <c r="AP13">
        <v>8.3299999999999999E-2</v>
      </c>
      <c r="AQ13">
        <v>8.8800000000000004E-2</v>
      </c>
      <c r="AR13">
        <v>0</v>
      </c>
      <c r="AS13">
        <v>0</v>
      </c>
      <c r="AW13">
        <v>0.44900000000000001</v>
      </c>
      <c r="AZ13">
        <v>1.59</v>
      </c>
      <c r="BA13">
        <v>0</v>
      </c>
      <c r="BE13">
        <v>1.42</v>
      </c>
      <c r="BH13">
        <v>60.9</v>
      </c>
      <c r="BM13">
        <v>63.6</v>
      </c>
      <c r="BN13">
        <v>1.58</v>
      </c>
      <c r="BO13">
        <v>1.0200000000000001E-2</v>
      </c>
      <c r="BQ13">
        <v>0</v>
      </c>
      <c r="CF13">
        <v>0</v>
      </c>
      <c r="CG13">
        <v>0</v>
      </c>
      <c r="FT13">
        <v>1.25E-3</v>
      </c>
      <c r="FU13">
        <v>0.01</v>
      </c>
      <c r="FV13">
        <v>2.6200000000000001E-2</v>
      </c>
      <c r="FW13">
        <v>4.6199999999999998E-2</v>
      </c>
      <c r="FX13">
        <v>3.1199999999999999E-2</v>
      </c>
      <c r="FY13">
        <v>1.25E-3</v>
      </c>
      <c r="FZ13">
        <v>4.2500000000000003E-2</v>
      </c>
      <c r="GA13">
        <v>1.8800000000000001E-2</v>
      </c>
      <c r="GB13">
        <v>1.7500000000000002E-2</v>
      </c>
      <c r="GC13">
        <v>9.2499999999999999E-2</v>
      </c>
      <c r="GD13">
        <v>1.38E-2</v>
      </c>
      <c r="GE13">
        <v>2.8799999999999999E-2</v>
      </c>
      <c r="GF13">
        <v>7.7499999999999999E-2</v>
      </c>
      <c r="GG13">
        <v>0.13800000000000001</v>
      </c>
      <c r="GH13">
        <v>4.4999999999999998E-2</v>
      </c>
      <c r="GI13">
        <v>3.1199999999999999E-2</v>
      </c>
      <c r="GJ13">
        <v>0.02</v>
      </c>
      <c r="GK13">
        <v>0</v>
      </c>
      <c r="GL13">
        <v>1.25E-3</v>
      </c>
    </row>
    <row r="14" spans="1:219" x14ac:dyDescent="0.3">
      <c r="A14">
        <v>1999631</v>
      </c>
      <c r="B14" t="s">
        <v>247</v>
      </c>
      <c r="D14" t="s">
        <v>232</v>
      </c>
      <c r="E14" s="8">
        <v>95.734487082657211</v>
      </c>
      <c r="F14" s="9">
        <f t="shared" si="0"/>
        <v>3.4306097752346401E-2</v>
      </c>
      <c r="G14">
        <v>97.4</v>
      </c>
      <c r="H14">
        <v>14.548</v>
      </c>
      <c r="I14">
        <v>0.55500000000000005</v>
      </c>
      <c r="J14">
        <v>1.1100000000000001</v>
      </c>
      <c r="K14">
        <v>1.22</v>
      </c>
      <c r="L14">
        <v>0.48699999999999999</v>
      </c>
      <c r="M14">
        <v>0.33700000000000002</v>
      </c>
      <c r="N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AB14">
        <v>173</v>
      </c>
      <c r="AC14">
        <v>0.28999999999999998</v>
      </c>
      <c r="AD14">
        <v>6.78</v>
      </c>
      <c r="AE14">
        <v>29.8</v>
      </c>
      <c r="AF14">
        <v>30.8</v>
      </c>
      <c r="AG14">
        <v>59.6</v>
      </c>
      <c r="AH14">
        <v>0.17199999999999999</v>
      </c>
      <c r="AI14">
        <v>2.1299999999999999E-2</v>
      </c>
      <c r="AJ14">
        <v>4.4999999999999998E-2</v>
      </c>
      <c r="AK14">
        <v>0</v>
      </c>
      <c r="AL14">
        <v>0</v>
      </c>
      <c r="AM14">
        <v>0</v>
      </c>
      <c r="AO14">
        <v>0</v>
      </c>
      <c r="AP14">
        <v>3.3399999999999999E-2</v>
      </c>
      <c r="AQ14">
        <v>7.4399999999999994E-2</v>
      </c>
      <c r="AR14">
        <v>0</v>
      </c>
      <c r="AS14">
        <v>0</v>
      </c>
      <c r="AW14">
        <v>0.33800000000000002</v>
      </c>
      <c r="AX14">
        <v>41.4</v>
      </c>
      <c r="AZ14">
        <v>0.92700000000000005</v>
      </c>
      <c r="BB14">
        <v>3.32</v>
      </c>
      <c r="BE14">
        <v>1.02</v>
      </c>
      <c r="BH14">
        <v>41.4</v>
      </c>
      <c r="BM14">
        <v>37.1</v>
      </c>
      <c r="BN14">
        <v>0.92700000000000005</v>
      </c>
      <c r="BO14">
        <v>0</v>
      </c>
      <c r="BY14">
        <v>0</v>
      </c>
      <c r="BZ14">
        <v>2.75E-2</v>
      </c>
      <c r="CA14">
        <v>0</v>
      </c>
      <c r="CB14">
        <v>0</v>
      </c>
      <c r="CC14">
        <v>0</v>
      </c>
      <c r="CD14">
        <v>0</v>
      </c>
      <c r="CE14">
        <v>0</v>
      </c>
      <c r="CQ14">
        <v>0.104</v>
      </c>
      <c r="CR14">
        <v>0.72899999999999998</v>
      </c>
      <c r="CS14">
        <v>0.27600000000000002</v>
      </c>
      <c r="CT14">
        <v>0</v>
      </c>
      <c r="CV14">
        <v>3.6900000000000001E-3</v>
      </c>
      <c r="CW14">
        <v>0</v>
      </c>
      <c r="CX14">
        <v>0</v>
      </c>
      <c r="CY14">
        <v>0</v>
      </c>
      <c r="CZ14">
        <v>0</v>
      </c>
      <c r="DA14">
        <v>2.3800000000000002E-3</v>
      </c>
      <c r="DB14">
        <v>7.7799999999999994E-2</v>
      </c>
      <c r="DC14">
        <v>1.95E-2</v>
      </c>
      <c r="DD14">
        <v>0</v>
      </c>
      <c r="DH14">
        <v>0</v>
      </c>
      <c r="DI14">
        <v>0</v>
      </c>
      <c r="DJ14">
        <v>0</v>
      </c>
      <c r="DM14">
        <v>0</v>
      </c>
      <c r="DO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1.25E-3</v>
      </c>
      <c r="DW14">
        <v>8.7500000000000002E-4</v>
      </c>
      <c r="DX14">
        <v>0</v>
      </c>
      <c r="DY14">
        <v>0</v>
      </c>
      <c r="DZ14">
        <v>0</v>
      </c>
      <c r="EA14">
        <v>0</v>
      </c>
      <c r="EB14">
        <v>1.25E-4</v>
      </c>
      <c r="ED14">
        <v>0</v>
      </c>
      <c r="EE14">
        <v>0</v>
      </c>
      <c r="EF14">
        <v>0</v>
      </c>
      <c r="EG14">
        <v>5.8100000000000001E-3</v>
      </c>
      <c r="EH14">
        <v>0.72099999999999997</v>
      </c>
      <c r="EI14">
        <v>0.27600000000000002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1.25E-3</v>
      </c>
      <c r="ES14">
        <v>0</v>
      </c>
      <c r="EU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1.25E-3</v>
      </c>
      <c r="FC14">
        <v>8.7500000000000002E-4</v>
      </c>
      <c r="FD14">
        <v>0</v>
      </c>
      <c r="FE14">
        <v>0.27600000000000002</v>
      </c>
      <c r="FF14">
        <v>1.25E-4</v>
      </c>
      <c r="FG14">
        <v>6.2500000000000001E-4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6.2500000000000001E-4</v>
      </c>
      <c r="FP14">
        <v>0</v>
      </c>
      <c r="FQ14">
        <v>0</v>
      </c>
      <c r="FR14">
        <v>0</v>
      </c>
      <c r="FS14">
        <v>0</v>
      </c>
      <c r="GX14">
        <v>0</v>
      </c>
      <c r="GY14">
        <v>7.8799999999999999E-3</v>
      </c>
      <c r="GZ14">
        <v>7.4999999999999997E-3</v>
      </c>
    </row>
    <row r="15" spans="1:219" x14ac:dyDescent="0.3">
      <c r="A15">
        <v>2259796</v>
      </c>
      <c r="B15" t="s">
        <v>248</v>
      </c>
      <c r="D15" t="s">
        <v>232</v>
      </c>
      <c r="E15" s="8">
        <v>95.734487082657211</v>
      </c>
      <c r="F15" s="9">
        <f t="shared" si="0"/>
        <v>3.4306097752346401E-2</v>
      </c>
      <c r="G15">
        <v>51.9</v>
      </c>
      <c r="H15">
        <v>273.02</v>
      </c>
      <c r="I15">
        <v>19.7</v>
      </c>
      <c r="J15">
        <v>19.100000000000001</v>
      </c>
      <c r="K15">
        <v>19.100000000000001</v>
      </c>
      <c r="L15">
        <v>3.74</v>
      </c>
      <c r="M15">
        <v>5.58</v>
      </c>
      <c r="R15">
        <v>1.63</v>
      </c>
      <c r="S15">
        <v>0</v>
      </c>
      <c r="T15">
        <v>0.58599999999999997</v>
      </c>
      <c r="U15">
        <v>0</v>
      </c>
      <c r="V15">
        <v>0.61</v>
      </c>
      <c r="W15">
        <v>0</v>
      </c>
      <c r="X15">
        <v>0.42899999999999999</v>
      </c>
      <c r="AB15">
        <v>371</v>
      </c>
      <c r="AC15">
        <v>6.7500000000000004E-2</v>
      </c>
      <c r="AD15">
        <v>17.7</v>
      </c>
      <c r="AE15">
        <v>328</v>
      </c>
      <c r="AF15">
        <v>105</v>
      </c>
      <c r="AG15">
        <v>1030</v>
      </c>
      <c r="AH15">
        <v>2.35</v>
      </c>
      <c r="AI15">
        <v>3.1600000000000003E-2</v>
      </c>
      <c r="AJ15">
        <v>0.02</v>
      </c>
      <c r="AK15">
        <v>48.4</v>
      </c>
      <c r="AO15">
        <v>5.6399999999999999E-2</v>
      </c>
      <c r="AP15">
        <v>0.44400000000000001</v>
      </c>
      <c r="AQ15">
        <v>0.26400000000000001</v>
      </c>
      <c r="AR15">
        <v>3.8300000000000001E-2</v>
      </c>
      <c r="AZ15">
        <v>0</v>
      </c>
      <c r="BA15">
        <v>1.2</v>
      </c>
      <c r="BE15">
        <v>0.46400000000000002</v>
      </c>
      <c r="BH15">
        <v>147</v>
      </c>
      <c r="BM15">
        <v>0</v>
      </c>
      <c r="BN15">
        <v>0</v>
      </c>
      <c r="BO15">
        <v>0</v>
      </c>
      <c r="BQ15">
        <v>0</v>
      </c>
      <c r="CF15">
        <v>4.8</v>
      </c>
      <c r="CG15">
        <v>0</v>
      </c>
      <c r="CQ15">
        <v>11.2</v>
      </c>
      <c r="CR15">
        <v>4.18</v>
      </c>
      <c r="CU15">
        <v>57.5</v>
      </c>
      <c r="CV15">
        <v>0.40400000000000003</v>
      </c>
      <c r="CW15">
        <v>0.33400000000000002</v>
      </c>
      <c r="CY15">
        <v>0.48099999999999998</v>
      </c>
      <c r="CZ15">
        <v>0.54500000000000004</v>
      </c>
      <c r="DA15">
        <v>1.8</v>
      </c>
      <c r="DB15">
        <v>5.31</v>
      </c>
      <c r="DC15">
        <v>1.74</v>
      </c>
      <c r="EG15">
        <v>0.28499999999999998</v>
      </c>
      <c r="EH15">
        <v>3.66</v>
      </c>
      <c r="EI15">
        <v>0.42399999999999999</v>
      </c>
    </row>
    <row r="16" spans="1:219" x14ac:dyDescent="0.3">
      <c r="A16">
        <v>746766</v>
      </c>
      <c r="B16" t="s">
        <v>249</v>
      </c>
      <c r="D16" t="s">
        <v>232</v>
      </c>
      <c r="E16" s="8">
        <v>95.734487082657211</v>
      </c>
      <c r="F16" s="9">
        <f t="shared" si="0"/>
        <v>3.4306097752346401E-2</v>
      </c>
      <c r="G16">
        <v>72.900000000000006</v>
      </c>
      <c r="H16">
        <v>157.68</v>
      </c>
      <c r="I16">
        <v>7.81</v>
      </c>
      <c r="J16">
        <v>10.3</v>
      </c>
      <c r="K16">
        <v>11</v>
      </c>
      <c r="L16">
        <v>1.36</v>
      </c>
      <c r="M16">
        <v>6.86</v>
      </c>
      <c r="AB16">
        <v>224</v>
      </c>
      <c r="AC16">
        <v>0.1</v>
      </c>
      <c r="AD16">
        <v>19.7</v>
      </c>
      <c r="AE16">
        <v>162</v>
      </c>
      <c r="AF16">
        <v>230</v>
      </c>
      <c r="AG16">
        <v>105</v>
      </c>
      <c r="AH16">
        <v>0.56000000000000005</v>
      </c>
      <c r="AI16">
        <v>0</v>
      </c>
      <c r="AJ16">
        <v>0</v>
      </c>
      <c r="AL16">
        <v>5.5</v>
      </c>
      <c r="AO16">
        <v>4.2999999999999997E-2</v>
      </c>
      <c r="AP16">
        <v>0.32700000000000001</v>
      </c>
      <c r="AQ16">
        <v>0.16800000000000001</v>
      </c>
      <c r="AR16">
        <v>9.9000000000000005E-2</v>
      </c>
      <c r="AS16">
        <v>4</v>
      </c>
      <c r="AW16">
        <v>0.78</v>
      </c>
      <c r="AX16">
        <v>127</v>
      </c>
      <c r="BA16">
        <v>0.6</v>
      </c>
      <c r="BB16">
        <v>0.27</v>
      </c>
      <c r="BD16">
        <v>0.67300000000000004</v>
      </c>
      <c r="BH16">
        <v>127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3.1</v>
      </c>
      <c r="CG16">
        <v>0</v>
      </c>
      <c r="CQ16">
        <v>6.97</v>
      </c>
      <c r="CR16">
        <v>2.56</v>
      </c>
      <c r="CS16">
        <v>0.38900000000000001</v>
      </c>
      <c r="CT16">
        <v>0.35099999999999998</v>
      </c>
      <c r="CU16">
        <v>48</v>
      </c>
      <c r="CV16">
        <v>0.251</v>
      </c>
      <c r="CW16">
        <v>0.19900000000000001</v>
      </c>
      <c r="CX16">
        <v>0.125</v>
      </c>
      <c r="CY16">
        <v>0.30599999999999999</v>
      </c>
      <c r="CZ16">
        <v>0.36</v>
      </c>
      <c r="DA16">
        <v>1.1499999999999999</v>
      </c>
      <c r="DB16">
        <v>3.36</v>
      </c>
      <c r="DC16">
        <v>1.02</v>
      </c>
      <c r="DD16">
        <v>1.4E-2</v>
      </c>
      <c r="DH16">
        <v>1.4999999999999999E-2</v>
      </c>
      <c r="DI16">
        <v>0</v>
      </c>
      <c r="DJ16">
        <v>6.0000000000000001E-3</v>
      </c>
      <c r="DM16">
        <v>1E-3</v>
      </c>
      <c r="DO16">
        <v>5.0000000000000001E-3</v>
      </c>
      <c r="DQ16">
        <v>7.0000000000000001E-3</v>
      </c>
      <c r="DV16">
        <v>0.11600000000000001</v>
      </c>
      <c r="DW16">
        <v>6.7000000000000004E-2</v>
      </c>
      <c r="DX16">
        <v>4.0000000000000001E-3</v>
      </c>
      <c r="DY16">
        <v>3.2000000000000001E-2</v>
      </c>
      <c r="DZ16">
        <v>0.251</v>
      </c>
      <c r="EA16">
        <v>0</v>
      </c>
      <c r="EB16">
        <v>6.8000000000000005E-2</v>
      </c>
      <c r="ED16">
        <v>4.9000000000000002E-2</v>
      </c>
      <c r="EE16">
        <v>0</v>
      </c>
      <c r="EF16">
        <v>1E-3</v>
      </c>
      <c r="EG16">
        <v>0.184</v>
      </c>
      <c r="EH16">
        <v>2.2200000000000002</v>
      </c>
      <c r="EI16">
        <v>0.25900000000000001</v>
      </c>
      <c r="EJ16">
        <v>2E-3</v>
      </c>
      <c r="EK16">
        <v>2E-3</v>
      </c>
      <c r="EP16">
        <v>0</v>
      </c>
      <c r="EQ16">
        <v>2.1000000000000001E-2</v>
      </c>
      <c r="ES16">
        <v>0.28299999999999997</v>
      </c>
      <c r="ET16">
        <v>6.8000000000000005E-2</v>
      </c>
      <c r="EU16">
        <v>1E-3</v>
      </c>
      <c r="EW16">
        <v>0</v>
      </c>
      <c r="EX16">
        <v>0</v>
      </c>
      <c r="EY16">
        <v>0</v>
      </c>
      <c r="FA16">
        <v>0.11700000000000001</v>
      </c>
      <c r="FB16">
        <v>2.1000000000000001E-2</v>
      </c>
      <c r="FC16">
        <v>0.02</v>
      </c>
      <c r="FE16">
        <v>0.308</v>
      </c>
      <c r="FG16">
        <v>4.2000000000000003E-2</v>
      </c>
      <c r="FH16">
        <v>1E-3</v>
      </c>
      <c r="FI16">
        <v>1.2E-2</v>
      </c>
      <c r="FJ16">
        <v>1.4999999999999999E-2</v>
      </c>
      <c r="FK16">
        <v>5.0000000000000001E-3</v>
      </c>
      <c r="FL16">
        <v>7.0000000000000001E-3</v>
      </c>
      <c r="FM16">
        <v>0</v>
      </c>
      <c r="FN16">
        <v>1E-3</v>
      </c>
      <c r="FO16">
        <v>4.2000000000000003E-2</v>
      </c>
      <c r="FP16">
        <v>0</v>
      </c>
      <c r="FQ16">
        <v>1.2E-2</v>
      </c>
      <c r="FR16">
        <v>3.0000000000000001E-3</v>
      </c>
      <c r="FS16">
        <v>0</v>
      </c>
      <c r="FT16">
        <v>0.115</v>
      </c>
      <c r="FU16">
        <v>0.39500000000000002</v>
      </c>
      <c r="FV16">
        <v>0.36499999999999999</v>
      </c>
      <c r="FW16">
        <v>0.78500000000000003</v>
      </c>
      <c r="FX16">
        <v>0.65500000000000003</v>
      </c>
      <c r="FY16">
        <v>0.17</v>
      </c>
      <c r="FZ16">
        <v>0.27</v>
      </c>
      <c r="GA16">
        <v>0.25</v>
      </c>
      <c r="GB16">
        <v>0.32500000000000001</v>
      </c>
      <c r="GC16">
        <v>0.21</v>
      </c>
      <c r="GD16">
        <v>0.17499999999999999</v>
      </c>
      <c r="GE16">
        <v>0.32500000000000001</v>
      </c>
      <c r="GF16">
        <v>0.73499999999999999</v>
      </c>
      <c r="GG16">
        <v>1.3</v>
      </c>
      <c r="GH16">
        <v>0.13500000000000001</v>
      </c>
      <c r="GI16">
        <v>0.56499999999999995</v>
      </c>
      <c r="GJ16">
        <v>0.36499999999999999</v>
      </c>
      <c r="GK16">
        <v>0</v>
      </c>
      <c r="GL16">
        <v>0.18</v>
      </c>
    </row>
    <row r="17" spans="1:217" x14ac:dyDescent="0.3">
      <c r="A17">
        <v>746772</v>
      </c>
      <c r="B17" t="s">
        <v>250</v>
      </c>
      <c r="D17" t="s">
        <v>232</v>
      </c>
      <c r="E17" s="8">
        <v>95.734487082657211</v>
      </c>
      <c r="F17" s="9">
        <f t="shared" si="0"/>
        <v>3.4306097752346401E-2</v>
      </c>
      <c r="G17">
        <v>89.7</v>
      </c>
      <c r="H17">
        <v>42.789999999999992</v>
      </c>
      <c r="I17">
        <v>3.38</v>
      </c>
      <c r="J17">
        <v>0.85</v>
      </c>
      <c r="K17">
        <v>0.95</v>
      </c>
      <c r="L17">
        <v>0.8</v>
      </c>
      <c r="M17">
        <v>5.18</v>
      </c>
      <c r="R17">
        <v>4.96</v>
      </c>
      <c r="S17">
        <v>0</v>
      </c>
      <c r="T17">
        <v>0</v>
      </c>
      <c r="U17">
        <v>0</v>
      </c>
      <c r="V17">
        <v>4.96</v>
      </c>
      <c r="W17">
        <v>0</v>
      </c>
      <c r="X17">
        <v>0</v>
      </c>
      <c r="AB17">
        <v>126</v>
      </c>
      <c r="AC17">
        <v>0</v>
      </c>
      <c r="AD17">
        <v>12</v>
      </c>
      <c r="AE17">
        <v>103</v>
      </c>
      <c r="AF17">
        <v>159</v>
      </c>
      <c r="AG17">
        <v>39</v>
      </c>
      <c r="AH17">
        <v>0.43</v>
      </c>
      <c r="AI17">
        <v>1E-3</v>
      </c>
      <c r="AJ17">
        <v>0</v>
      </c>
      <c r="AK17">
        <v>36.200000000000003</v>
      </c>
      <c r="AL17">
        <v>2.1</v>
      </c>
      <c r="AO17">
        <v>5.7000000000000002E-2</v>
      </c>
      <c r="AP17">
        <v>0.14000000000000001</v>
      </c>
      <c r="AQ17">
        <v>0.113</v>
      </c>
      <c r="AR17">
        <v>0.06</v>
      </c>
      <c r="AS17">
        <v>2</v>
      </c>
      <c r="AV17">
        <v>17.399999999999999</v>
      </c>
      <c r="AW17">
        <v>0.61</v>
      </c>
      <c r="AX17">
        <v>58</v>
      </c>
      <c r="AZ17">
        <v>1.06</v>
      </c>
      <c r="BB17">
        <v>0.02</v>
      </c>
      <c r="BD17">
        <v>0.36799999999999999</v>
      </c>
      <c r="BH17">
        <v>58</v>
      </c>
      <c r="BI17">
        <v>1</v>
      </c>
      <c r="BJ17">
        <v>0</v>
      </c>
      <c r="BK17">
        <v>1</v>
      </c>
      <c r="BL17">
        <v>0</v>
      </c>
      <c r="BM17">
        <v>42.4</v>
      </c>
      <c r="BN17">
        <v>0</v>
      </c>
      <c r="BO17">
        <v>1.06</v>
      </c>
      <c r="BR17">
        <v>0</v>
      </c>
      <c r="BS17">
        <v>0</v>
      </c>
      <c r="BT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I17">
        <v>3</v>
      </c>
      <c r="CJ17">
        <v>0.9</v>
      </c>
      <c r="CK17">
        <v>1.8</v>
      </c>
      <c r="CL17">
        <v>10.9</v>
      </c>
      <c r="CM17">
        <v>0.9</v>
      </c>
      <c r="CN17">
        <v>0.8</v>
      </c>
      <c r="CQ17">
        <v>0.56799999999999995</v>
      </c>
      <c r="CR17">
        <v>0.21</v>
      </c>
      <c r="CS17">
        <v>3.2000000000000001E-2</v>
      </c>
      <c r="CT17">
        <v>3.5999999999999997E-2</v>
      </c>
      <c r="CU17">
        <v>5</v>
      </c>
      <c r="CV17">
        <v>2.1999999999999999E-2</v>
      </c>
      <c r="CW17">
        <v>1.4999999999999999E-2</v>
      </c>
      <c r="CX17">
        <v>1.0999999999999999E-2</v>
      </c>
      <c r="CY17">
        <v>2.3E-2</v>
      </c>
      <c r="CZ17">
        <v>2.5999999999999999E-2</v>
      </c>
      <c r="DA17">
        <v>9.2999999999999999E-2</v>
      </c>
      <c r="DB17">
        <v>0.26500000000000001</v>
      </c>
      <c r="DC17">
        <v>9.6000000000000002E-2</v>
      </c>
      <c r="DD17">
        <v>1E-3</v>
      </c>
      <c r="DH17">
        <v>1E-3</v>
      </c>
      <c r="DI17">
        <v>0</v>
      </c>
      <c r="DJ17">
        <v>0</v>
      </c>
      <c r="DM17">
        <v>0</v>
      </c>
      <c r="DO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0.01</v>
      </c>
      <c r="DW17">
        <v>6.0000000000000001E-3</v>
      </c>
      <c r="DX17">
        <v>0</v>
      </c>
      <c r="DY17">
        <v>2E-3</v>
      </c>
      <c r="DZ17">
        <v>2.7E-2</v>
      </c>
      <c r="EA17">
        <v>0</v>
      </c>
      <c r="EB17">
        <v>4.0000000000000001E-3</v>
      </c>
      <c r="ED17">
        <v>4.0000000000000001E-3</v>
      </c>
      <c r="EE17">
        <v>0</v>
      </c>
      <c r="EF17">
        <v>0</v>
      </c>
      <c r="EG17">
        <v>1.2E-2</v>
      </c>
      <c r="EH17">
        <v>0.187</v>
      </c>
      <c r="EI17">
        <v>2.5999999999999999E-2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2E-3</v>
      </c>
      <c r="ES17">
        <v>3.1E-2</v>
      </c>
      <c r="ET17">
        <v>4.0000000000000001E-3</v>
      </c>
      <c r="EU17">
        <v>0</v>
      </c>
      <c r="EW17">
        <v>0</v>
      </c>
      <c r="EX17">
        <v>0</v>
      </c>
      <c r="EY17">
        <v>0</v>
      </c>
      <c r="EZ17">
        <v>1E-3</v>
      </c>
      <c r="FA17">
        <v>7.0000000000000001E-3</v>
      </c>
      <c r="FB17">
        <v>2E-3</v>
      </c>
      <c r="FC17">
        <v>1E-3</v>
      </c>
      <c r="FD17">
        <v>0</v>
      </c>
      <c r="FE17">
        <v>2.9000000000000001E-2</v>
      </c>
      <c r="FG17">
        <v>4.0000000000000001E-3</v>
      </c>
      <c r="FH17">
        <v>0</v>
      </c>
      <c r="FI17">
        <v>1E-3</v>
      </c>
      <c r="FJ17">
        <v>1E-3</v>
      </c>
      <c r="FK17">
        <v>0</v>
      </c>
      <c r="FL17">
        <v>0</v>
      </c>
      <c r="FM17">
        <v>0</v>
      </c>
      <c r="FN17">
        <v>0</v>
      </c>
      <c r="FO17">
        <v>4.0000000000000001E-3</v>
      </c>
      <c r="FP17">
        <v>0</v>
      </c>
      <c r="FQ17">
        <v>1E-3</v>
      </c>
      <c r="FR17">
        <v>0</v>
      </c>
      <c r="FS17">
        <v>0</v>
      </c>
      <c r="FT17">
        <v>4.4999999999999998E-2</v>
      </c>
      <c r="FU17">
        <v>0.158</v>
      </c>
      <c r="FV17">
        <v>0.17399999999999999</v>
      </c>
      <c r="FW17">
        <v>0.34200000000000003</v>
      </c>
      <c r="FX17">
        <v>0.308</v>
      </c>
      <c r="FY17">
        <v>9.1999999999999998E-2</v>
      </c>
      <c r="FZ17">
        <v>0.16800000000000001</v>
      </c>
      <c r="GA17">
        <v>0.16700000000000001</v>
      </c>
      <c r="GB17">
        <v>0.21</v>
      </c>
      <c r="GC17">
        <v>0.128</v>
      </c>
      <c r="GD17">
        <v>9.9000000000000005E-2</v>
      </c>
      <c r="GE17">
        <v>0.111</v>
      </c>
      <c r="GF17">
        <v>0.28599999999999998</v>
      </c>
      <c r="GG17">
        <v>0.80900000000000005</v>
      </c>
      <c r="GH17">
        <v>6.9000000000000006E-2</v>
      </c>
      <c r="GI17">
        <v>0.34899999999999998</v>
      </c>
      <c r="GJ17">
        <v>0.19400000000000001</v>
      </c>
      <c r="GK17">
        <v>0</v>
      </c>
      <c r="GL17">
        <v>3.5999999999999997E-2</v>
      </c>
      <c r="HG17">
        <v>0</v>
      </c>
      <c r="HH17">
        <v>0</v>
      </c>
      <c r="HI17">
        <v>0</v>
      </c>
    </row>
    <row r="18" spans="1:217" x14ac:dyDescent="0.3">
      <c r="A18">
        <v>746776</v>
      </c>
      <c r="B18" t="s">
        <v>251</v>
      </c>
      <c r="D18" t="s">
        <v>232</v>
      </c>
      <c r="E18" s="8">
        <v>95.734487082657211</v>
      </c>
      <c r="F18" s="9">
        <f t="shared" si="0"/>
        <v>3.4306097752346401E-2</v>
      </c>
      <c r="G18">
        <v>90.8</v>
      </c>
      <c r="H18">
        <v>34.119999999999997</v>
      </c>
      <c r="I18">
        <v>3.43</v>
      </c>
      <c r="J18">
        <v>7.0000000000000007E-2</v>
      </c>
      <c r="K18">
        <v>0.08</v>
      </c>
      <c r="L18">
        <v>0.77</v>
      </c>
      <c r="M18">
        <v>4.92</v>
      </c>
      <c r="R18">
        <v>5.05</v>
      </c>
      <c r="S18">
        <v>0</v>
      </c>
      <c r="T18">
        <v>0</v>
      </c>
      <c r="U18">
        <v>0</v>
      </c>
      <c r="V18">
        <v>5.05</v>
      </c>
      <c r="W18">
        <v>0</v>
      </c>
      <c r="X18">
        <v>0</v>
      </c>
      <c r="AB18">
        <v>132</v>
      </c>
      <c r="AC18">
        <v>0</v>
      </c>
      <c r="AD18">
        <v>12.5</v>
      </c>
      <c r="AE18">
        <v>107</v>
      </c>
      <c r="AF18">
        <v>167</v>
      </c>
      <c r="AG18">
        <v>41</v>
      </c>
      <c r="AH18">
        <v>0.45</v>
      </c>
      <c r="AI18">
        <v>2E-3</v>
      </c>
      <c r="AJ18">
        <v>1E-3</v>
      </c>
      <c r="AK18">
        <v>35.700000000000003</v>
      </c>
      <c r="AL18">
        <v>2</v>
      </c>
      <c r="AO18">
        <v>5.6000000000000001E-2</v>
      </c>
      <c r="AP18">
        <v>0.13100000000000001</v>
      </c>
      <c r="AQ18">
        <v>0.11799999999999999</v>
      </c>
      <c r="AR18">
        <v>5.8000000000000003E-2</v>
      </c>
      <c r="AS18">
        <v>2</v>
      </c>
      <c r="AV18">
        <v>18.2</v>
      </c>
      <c r="AW18">
        <v>0.57999999999999996</v>
      </c>
      <c r="AX18">
        <v>64</v>
      </c>
      <c r="AZ18">
        <v>1.1000000000000001</v>
      </c>
      <c r="BB18">
        <v>0</v>
      </c>
      <c r="BD18">
        <v>0.38800000000000001</v>
      </c>
      <c r="BH18">
        <v>64</v>
      </c>
      <c r="BI18">
        <v>2</v>
      </c>
      <c r="BJ18">
        <v>1</v>
      </c>
      <c r="BK18">
        <v>1</v>
      </c>
      <c r="BL18">
        <v>0</v>
      </c>
      <c r="BM18">
        <v>44</v>
      </c>
      <c r="BN18">
        <v>0</v>
      </c>
      <c r="BO18">
        <v>1.1000000000000001</v>
      </c>
      <c r="BR18">
        <v>0</v>
      </c>
      <c r="BS18">
        <v>0</v>
      </c>
      <c r="BT18">
        <v>0</v>
      </c>
      <c r="BV18">
        <v>1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I18">
        <v>3.1</v>
      </c>
      <c r="CJ18">
        <v>0.8</v>
      </c>
      <c r="CK18">
        <v>2</v>
      </c>
      <c r="CL18">
        <v>11.5</v>
      </c>
      <c r="CM18">
        <v>0.9</v>
      </c>
      <c r="CN18">
        <v>0.9</v>
      </c>
      <c r="CQ18">
        <v>4.9000000000000002E-2</v>
      </c>
      <c r="CR18">
        <v>1.7000000000000001E-2</v>
      </c>
      <c r="CS18">
        <v>6.0000000000000001E-3</v>
      </c>
      <c r="CT18">
        <v>0</v>
      </c>
      <c r="CU18">
        <v>3</v>
      </c>
      <c r="CV18">
        <v>3.0000000000000001E-3</v>
      </c>
      <c r="CW18">
        <v>1E-3</v>
      </c>
      <c r="CX18">
        <v>1E-3</v>
      </c>
      <c r="CY18">
        <v>2E-3</v>
      </c>
      <c r="CZ18">
        <v>2E-3</v>
      </c>
      <c r="DA18">
        <v>8.0000000000000002E-3</v>
      </c>
      <c r="DB18">
        <v>2.1000000000000001E-2</v>
      </c>
      <c r="DC18">
        <v>8.9999999999999993E-3</v>
      </c>
      <c r="DD18">
        <v>0</v>
      </c>
      <c r="DH18">
        <v>0</v>
      </c>
      <c r="DI18">
        <v>0</v>
      </c>
      <c r="DJ18">
        <v>0</v>
      </c>
      <c r="DM18">
        <v>0</v>
      </c>
      <c r="DO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1E-3</v>
      </c>
      <c r="DW18">
        <v>1E-3</v>
      </c>
      <c r="DX18">
        <v>0</v>
      </c>
      <c r="DY18">
        <v>0</v>
      </c>
      <c r="DZ18">
        <v>1E-3</v>
      </c>
      <c r="EA18">
        <v>0</v>
      </c>
      <c r="EB18">
        <v>0</v>
      </c>
      <c r="ED18">
        <v>0</v>
      </c>
      <c r="EE18">
        <v>0</v>
      </c>
      <c r="EF18">
        <v>0</v>
      </c>
      <c r="EG18">
        <v>1E-3</v>
      </c>
      <c r="EH18">
        <v>1.7000000000000001E-2</v>
      </c>
      <c r="EI18">
        <v>5.0000000000000001E-3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S18">
        <v>1E-3</v>
      </c>
      <c r="ET18">
        <v>0</v>
      </c>
      <c r="EU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5.0000000000000001E-3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4.8000000000000001E-2</v>
      </c>
      <c r="FU18">
        <v>0.16600000000000001</v>
      </c>
      <c r="FV18">
        <v>0.182</v>
      </c>
      <c r="FW18">
        <v>0.34699999999999998</v>
      </c>
      <c r="FX18">
        <v>0.30199999999999999</v>
      </c>
      <c r="FY18">
        <v>9.2999999999999999E-2</v>
      </c>
      <c r="FZ18">
        <v>0.16800000000000001</v>
      </c>
      <c r="GA18">
        <v>0.16800000000000001</v>
      </c>
      <c r="GB18">
        <v>0.222</v>
      </c>
      <c r="GC18">
        <v>0.13100000000000001</v>
      </c>
      <c r="GD18">
        <v>0.10100000000000001</v>
      </c>
      <c r="GE18">
        <v>0.11799999999999999</v>
      </c>
      <c r="GF18">
        <v>0.29899999999999999</v>
      </c>
      <c r="GG18">
        <v>0.83199999999999996</v>
      </c>
      <c r="GH18">
        <v>7.0999999999999994E-2</v>
      </c>
      <c r="GI18">
        <v>0.34799999999999998</v>
      </c>
      <c r="GJ18">
        <v>0.20200000000000001</v>
      </c>
      <c r="GK18">
        <v>0</v>
      </c>
      <c r="GL18">
        <v>3.7999999999999999E-2</v>
      </c>
      <c r="HG18">
        <v>0</v>
      </c>
      <c r="HH18">
        <v>0</v>
      </c>
      <c r="HI18">
        <v>0</v>
      </c>
    </row>
    <row r="19" spans="1:217" x14ac:dyDescent="0.3">
      <c r="A19">
        <v>746778</v>
      </c>
      <c r="B19" t="s">
        <v>252</v>
      </c>
      <c r="D19" t="s">
        <v>232</v>
      </c>
      <c r="E19" s="8">
        <v>95.734487082657211</v>
      </c>
      <c r="F19" s="9">
        <f t="shared" si="0"/>
        <v>3.4306097752346401E-2</v>
      </c>
      <c r="G19">
        <v>89.1</v>
      </c>
      <c r="H19">
        <v>50.14</v>
      </c>
      <c r="I19">
        <v>3.36</v>
      </c>
      <c r="J19">
        <v>1.64</v>
      </c>
      <c r="K19">
        <v>1.9</v>
      </c>
      <c r="L19">
        <v>0.75</v>
      </c>
      <c r="M19">
        <v>4.9000000000000004</v>
      </c>
      <c r="R19">
        <v>4.8899999999999997</v>
      </c>
      <c r="S19">
        <v>0</v>
      </c>
      <c r="T19">
        <v>0</v>
      </c>
      <c r="U19">
        <v>0</v>
      </c>
      <c r="V19">
        <v>4.8899999999999997</v>
      </c>
      <c r="W19">
        <v>0</v>
      </c>
      <c r="X19">
        <v>0</v>
      </c>
      <c r="AB19">
        <v>126</v>
      </c>
      <c r="AC19">
        <v>0</v>
      </c>
      <c r="AD19">
        <v>12</v>
      </c>
      <c r="AE19">
        <v>103</v>
      </c>
      <c r="AF19">
        <v>159</v>
      </c>
      <c r="AG19">
        <v>39</v>
      </c>
      <c r="AH19">
        <v>0.43</v>
      </c>
      <c r="AI19">
        <v>1E-3</v>
      </c>
      <c r="AJ19">
        <v>1E-3</v>
      </c>
      <c r="AK19">
        <v>39.6</v>
      </c>
      <c r="AL19">
        <v>1.8</v>
      </c>
      <c r="AO19">
        <v>5.8999999999999997E-2</v>
      </c>
      <c r="AP19">
        <v>0.13700000000000001</v>
      </c>
      <c r="AQ19">
        <v>0.112</v>
      </c>
      <c r="AR19">
        <v>6.0999999999999999E-2</v>
      </c>
      <c r="AS19">
        <v>2</v>
      </c>
      <c r="AV19">
        <v>18.2</v>
      </c>
      <c r="AW19">
        <v>0.55000000000000004</v>
      </c>
      <c r="AX19">
        <v>83</v>
      </c>
      <c r="AZ19">
        <v>1.1299999999999999</v>
      </c>
      <c r="BB19">
        <v>0.03</v>
      </c>
      <c r="BD19">
        <v>0.39</v>
      </c>
      <c r="BH19">
        <v>83</v>
      </c>
      <c r="BI19">
        <v>3</v>
      </c>
      <c r="BJ19">
        <v>1</v>
      </c>
      <c r="BK19">
        <v>2</v>
      </c>
      <c r="BL19">
        <v>0</v>
      </c>
      <c r="BM19">
        <v>45.2</v>
      </c>
      <c r="BN19">
        <v>0</v>
      </c>
      <c r="BO19">
        <v>1.1299999999999999</v>
      </c>
      <c r="BR19">
        <v>0</v>
      </c>
      <c r="BS19">
        <v>0</v>
      </c>
      <c r="BT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I19">
        <v>3.1</v>
      </c>
      <c r="CJ19">
        <v>1.1000000000000001</v>
      </c>
      <c r="CK19">
        <v>1.9</v>
      </c>
      <c r="CL19">
        <v>11</v>
      </c>
      <c r="CM19">
        <v>0.7</v>
      </c>
      <c r="CN19">
        <v>1.2</v>
      </c>
      <c r="CQ19">
        <v>1.1100000000000001</v>
      </c>
      <c r="CR19">
        <v>0.4</v>
      </c>
      <c r="CS19">
        <v>5.8000000000000003E-2</v>
      </c>
      <c r="CT19">
        <v>7.0000000000000007E-2</v>
      </c>
      <c r="CU19">
        <v>8</v>
      </c>
      <c r="CV19">
        <v>4.1000000000000002E-2</v>
      </c>
      <c r="CW19">
        <v>3.2000000000000001E-2</v>
      </c>
      <c r="CX19">
        <v>2.1000000000000001E-2</v>
      </c>
      <c r="CY19">
        <v>4.9000000000000002E-2</v>
      </c>
      <c r="CZ19">
        <v>5.8000000000000003E-2</v>
      </c>
      <c r="DA19">
        <v>0.18099999999999999</v>
      </c>
      <c r="DB19">
        <v>0.51200000000000001</v>
      </c>
      <c r="DC19">
        <v>0.184</v>
      </c>
      <c r="DD19">
        <v>2E-3</v>
      </c>
      <c r="DH19">
        <v>3.0000000000000001E-3</v>
      </c>
      <c r="DI19">
        <v>0</v>
      </c>
      <c r="DJ19">
        <v>1E-3</v>
      </c>
      <c r="DM19">
        <v>0</v>
      </c>
      <c r="DO19">
        <v>0</v>
      </c>
      <c r="DQ19">
        <v>1E-3</v>
      </c>
      <c r="DR19">
        <v>0</v>
      </c>
      <c r="DS19">
        <v>0</v>
      </c>
      <c r="DT19">
        <v>0</v>
      </c>
      <c r="DU19">
        <v>1E-3</v>
      </c>
      <c r="DV19">
        <v>1.9E-2</v>
      </c>
      <c r="DW19">
        <v>1.0999999999999999E-2</v>
      </c>
      <c r="DX19">
        <v>0</v>
      </c>
      <c r="DY19">
        <v>5.0000000000000001E-3</v>
      </c>
      <c r="DZ19">
        <v>5.1999999999999998E-2</v>
      </c>
      <c r="EA19">
        <v>0</v>
      </c>
      <c r="EB19">
        <v>8.9999999999999993E-3</v>
      </c>
      <c r="ED19">
        <v>7.0000000000000001E-3</v>
      </c>
      <c r="EE19">
        <v>0</v>
      </c>
      <c r="EF19">
        <v>0</v>
      </c>
      <c r="EG19">
        <v>2.4E-2</v>
      </c>
      <c r="EH19">
        <v>0.35799999999999998</v>
      </c>
      <c r="EI19">
        <v>4.4999999999999998E-2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3.0000000000000001E-3</v>
      </c>
      <c r="ES19">
        <v>0.06</v>
      </c>
      <c r="ET19">
        <v>8.9999999999999993E-3</v>
      </c>
      <c r="EU19">
        <v>0</v>
      </c>
      <c r="EW19">
        <v>0</v>
      </c>
      <c r="EX19">
        <v>0</v>
      </c>
      <c r="EY19">
        <v>0</v>
      </c>
      <c r="EZ19">
        <v>3.0000000000000001E-3</v>
      </c>
      <c r="FA19">
        <v>1.4E-2</v>
      </c>
      <c r="FB19">
        <v>3.0000000000000001E-3</v>
      </c>
      <c r="FC19">
        <v>2E-3</v>
      </c>
      <c r="FD19">
        <v>0</v>
      </c>
      <c r="FE19">
        <v>5.1999999999999998E-2</v>
      </c>
      <c r="FG19">
        <v>7.0000000000000001E-3</v>
      </c>
      <c r="FH19">
        <v>0</v>
      </c>
      <c r="FI19">
        <v>2E-3</v>
      </c>
      <c r="FJ19">
        <v>3.0000000000000001E-3</v>
      </c>
      <c r="FK19">
        <v>0</v>
      </c>
      <c r="FL19">
        <v>1E-3</v>
      </c>
      <c r="FM19">
        <v>0</v>
      </c>
      <c r="FN19">
        <v>0</v>
      </c>
      <c r="FO19">
        <v>7.0000000000000001E-3</v>
      </c>
      <c r="FP19">
        <v>0</v>
      </c>
      <c r="FQ19">
        <v>2E-3</v>
      </c>
      <c r="FR19">
        <v>0</v>
      </c>
      <c r="FS19">
        <v>0</v>
      </c>
      <c r="FT19">
        <v>4.2000000000000003E-2</v>
      </c>
      <c r="FU19">
        <v>0.16200000000000001</v>
      </c>
      <c r="FV19">
        <v>0.17299999999999999</v>
      </c>
      <c r="FW19">
        <v>0.33500000000000002</v>
      </c>
      <c r="FX19">
        <v>0.29299999999999998</v>
      </c>
      <c r="FY19">
        <v>8.8999999999999996E-2</v>
      </c>
      <c r="FZ19">
        <v>0.16300000000000001</v>
      </c>
      <c r="GA19">
        <v>0.16500000000000001</v>
      </c>
      <c r="GB19">
        <v>0.21299999999999999</v>
      </c>
      <c r="GC19">
        <v>0.125</v>
      </c>
      <c r="GD19">
        <v>9.9000000000000005E-2</v>
      </c>
      <c r="GE19">
        <v>0.113</v>
      </c>
      <c r="GF19">
        <v>0.29099999999999998</v>
      </c>
      <c r="GG19">
        <v>0.80100000000000005</v>
      </c>
      <c r="GH19">
        <v>6.8000000000000005E-2</v>
      </c>
      <c r="GI19">
        <v>0.33200000000000002</v>
      </c>
      <c r="GJ19">
        <v>0.19700000000000001</v>
      </c>
      <c r="GK19">
        <v>0</v>
      </c>
      <c r="GL19">
        <v>3.5000000000000003E-2</v>
      </c>
      <c r="HG19">
        <v>0</v>
      </c>
      <c r="HH19">
        <v>0</v>
      </c>
      <c r="HI19">
        <v>0</v>
      </c>
    </row>
    <row r="20" spans="1:217" x14ac:dyDescent="0.3">
      <c r="A20">
        <v>2257046</v>
      </c>
      <c r="B20" t="s">
        <v>253</v>
      </c>
      <c r="D20" t="s">
        <v>232</v>
      </c>
      <c r="E20" s="8">
        <v>95.734487082657211</v>
      </c>
      <c r="F20" s="9">
        <f t="shared" si="0"/>
        <v>3.4306097752346401E-2</v>
      </c>
      <c r="G20">
        <v>90.6</v>
      </c>
      <c r="H20">
        <v>48.337999999999987</v>
      </c>
      <c r="I20">
        <v>0.79700000000000004</v>
      </c>
      <c r="J20">
        <v>2.75</v>
      </c>
      <c r="K20">
        <v>2.75</v>
      </c>
      <c r="L20">
        <v>0.79400000000000004</v>
      </c>
      <c r="M20">
        <v>5.0999999999999996</v>
      </c>
      <c r="N20">
        <v>0</v>
      </c>
      <c r="R20">
        <v>2.3199999999999998</v>
      </c>
      <c r="S20">
        <v>0</v>
      </c>
      <c r="T20">
        <v>0.77100000000000002</v>
      </c>
      <c r="U20">
        <v>0</v>
      </c>
      <c r="V20">
        <v>0</v>
      </c>
      <c r="W20">
        <v>1.55</v>
      </c>
      <c r="X20">
        <v>0</v>
      </c>
      <c r="AB20">
        <v>148</v>
      </c>
      <c r="AC20">
        <v>0.26100000000000001</v>
      </c>
      <c r="AD20">
        <v>5.91</v>
      </c>
      <c r="AE20">
        <v>89.2</v>
      </c>
      <c r="AF20">
        <v>148</v>
      </c>
      <c r="AG20">
        <v>42</v>
      </c>
      <c r="AH20">
        <v>9.06E-2</v>
      </c>
      <c r="AI20">
        <v>2.7099999999999999E-2</v>
      </c>
      <c r="AJ20">
        <v>0.126</v>
      </c>
      <c r="AL20">
        <v>0</v>
      </c>
      <c r="AM20">
        <v>10.1</v>
      </c>
      <c r="AO20">
        <v>0.04</v>
      </c>
      <c r="AP20">
        <v>0.28100000000000003</v>
      </c>
      <c r="AQ20">
        <v>9.6199999999999994E-2</v>
      </c>
      <c r="AR20">
        <v>6.4999999999999997E-3</v>
      </c>
      <c r="AS20">
        <v>0</v>
      </c>
      <c r="AW20">
        <v>0.50600000000000001</v>
      </c>
      <c r="AZ20">
        <v>1.7</v>
      </c>
      <c r="BA20">
        <v>0.4</v>
      </c>
      <c r="BE20">
        <v>1.41</v>
      </c>
      <c r="BH20">
        <v>84.7</v>
      </c>
      <c r="BM20">
        <v>68</v>
      </c>
      <c r="BN20">
        <v>1.69</v>
      </c>
      <c r="BO20">
        <v>7.6899999999999998E-3</v>
      </c>
      <c r="BQ20">
        <v>0</v>
      </c>
      <c r="CF20">
        <v>0</v>
      </c>
      <c r="CG20">
        <v>0</v>
      </c>
      <c r="FT20">
        <v>8.7500000000000008E-3</v>
      </c>
      <c r="FU20">
        <v>2.2499999999999999E-2</v>
      </c>
      <c r="FV20">
        <v>2.5000000000000001E-2</v>
      </c>
      <c r="FW20">
        <v>8.1199999999999994E-2</v>
      </c>
      <c r="FX20">
        <v>6.1199999999999997E-2</v>
      </c>
      <c r="FY20">
        <v>0.01</v>
      </c>
      <c r="FZ20">
        <v>7.2499999999999995E-2</v>
      </c>
      <c r="GA20">
        <v>4.1200000000000001E-2</v>
      </c>
      <c r="GB20">
        <v>3.2500000000000001E-2</v>
      </c>
      <c r="GC20">
        <v>8.2500000000000004E-2</v>
      </c>
      <c r="GD20">
        <v>1.7500000000000002E-2</v>
      </c>
      <c r="GE20">
        <v>3.7499999999999999E-2</v>
      </c>
      <c r="GF20">
        <v>8.2500000000000004E-2</v>
      </c>
      <c r="GG20">
        <v>0.15</v>
      </c>
      <c r="GH20">
        <v>5.62E-2</v>
      </c>
      <c r="GI20">
        <v>7.2499999999999995E-2</v>
      </c>
      <c r="GJ20">
        <v>5.62E-2</v>
      </c>
      <c r="GK20">
        <v>0</v>
      </c>
      <c r="GL20">
        <v>2.5000000000000001E-2</v>
      </c>
    </row>
    <row r="21" spans="1:217" x14ac:dyDescent="0.3">
      <c r="A21">
        <v>2257044</v>
      </c>
      <c r="B21" t="s">
        <v>254</v>
      </c>
      <c r="D21" t="s">
        <v>232</v>
      </c>
      <c r="E21" s="8">
        <v>95.734487082657211</v>
      </c>
      <c r="F21" s="9">
        <f t="shared" si="0"/>
        <v>3.4306097752346401E-2</v>
      </c>
      <c r="G21">
        <v>91.5</v>
      </c>
      <c r="H21">
        <v>40.76</v>
      </c>
      <c r="I21">
        <v>2.78</v>
      </c>
      <c r="J21">
        <v>1.96</v>
      </c>
      <c r="K21">
        <v>1.96</v>
      </c>
      <c r="L21">
        <v>0.75</v>
      </c>
      <c r="M21">
        <v>3</v>
      </c>
      <c r="N21">
        <v>0</v>
      </c>
      <c r="S21">
        <v>2.58</v>
      </c>
      <c r="T21">
        <v>0</v>
      </c>
      <c r="U21">
        <v>0</v>
      </c>
      <c r="V21">
        <v>0</v>
      </c>
      <c r="W21">
        <v>0</v>
      </c>
      <c r="X21">
        <v>0</v>
      </c>
      <c r="AB21">
        <v>155</v>
      </c>
      <c r="AC21">
        <v>0.36699999999999999</v>
      </c>
      <c r="AD21">
        <v>17.5</v>
      </c>
      <c r="AE21">
        <v>46</v>
      </c>
      <c r="AF21">
        <v>118</v>
      </c>
      <c r="AG21">
        <v>39.4</v>
      </c>
      <c r="AH21">
        <v>0.26400000000000001</v>
      </c>
      <c r="AI21">
        <v>9.5600000000000004E-2</v>
      </c>
      <c r="AJ21">
        <v>0.16</v>
      </c>
      <c r="AL21">
        <v>0</v>
      </c>
      <c r="AM21">
        <v>32.299999999999997</v>
      </c>
      <c r="AO21">
        <v>4.36E-2</v>
      </c>
      <c r="AP21">
        <v>0.33100000000000002</v>
      </c>
      <c r="AQ21">
        <v>0.13300000000000001</v>
      </c>
      <c r="AR21">
        <v>3.6400000000000002E-2</v>
      </c>
      <c r="AS21">
        <v>15.8</v>
      </c>
      <c r="AW21">
        <v>1.33</v>
      </c>
      <c r="AZ21">
        <v>4.63</v>
      </c>
      <c r="BA21">
        <v>2.8</v>
      </c>
      <c r="BE21">
        <v>2.16</v>
      </c>
      <c r="BH21">
        <v>89.4</v>
      </c>
      <c r="BM21">
        <v>185</v>
      </c>
      <c r="BN21">
        <v>4.6100000000000003</v>
      </c>
      <c r="BO21">
        <v>2.01E-2</v>
      </c>
      <c r="BQ21">
        <v>0</v>
      </c>
      <c r="CF21">
        <v>0</v>
      </c>
      <c r="CG21">
        <v>0</v>
      </c>
      <c r="FT21">
        <v>3.4299999999999997E-2</v>
      </c>
      <c r="FU21">
        <v>0.1</v>
      </c>
      <c r="FV21">
        <v>0.1</v>
      </c>
      <c r="FW21">
        <v>0.2</v>
      </c>
      <c r="FX21">
        <v>0.2</v>
      </c>
      <c r="FY21">
        <v>3.2899999999999999E-2</v>
      </c>
      <c r="FZ21">
        <v>0.157</v>
      </c>
      <c r="GA21">
        <v>0.1</v>
      </c>
      <c r="GB21">
        <v>0.10100000000000001</v>
      </c>
      <c r="GC21">
        <v>0.2</v>
      </c>
      <c r="GD21">
        <v>0.1</v>
      </c>
      <c r="GE21">
        <v>0.1</v>
      </c>
      <c r="GF21">
        <v>0.32900000000000001</v>
      </c>
      <c r="GG21">
        <v>0.48599999999999999</v>
      </c>
      <c r="GH21">
        <v>0.1</v>
      </c>
      <c r="GI21">
        <v>0.114</v>
      </c>
      <c r="GJ21">
        <v>0.17100000000000001</v>
      </c>
      <c r="GK21">
        <v>0</v>
      </c>
      <c r="GL21">
        <v>4.8599999999999997E-2</v>
      </c>
      <c r="HA21">
        <v>7.96</v>
      </c>
      <c r="HB21">
        <v>14.7</v>
      </c>
      <c r="HC21">
        <v>0.36399999999999999</v>
      </c>
      <c r="HD21">
        <v>0.13900000000000001</v>
      </c>
      <c r="HE21">
        <v>0.23599999999999999</v>
      </c>
    </row>
    <row r="22" spans="1:217" x14ac:dyDescent="0.3">
      <c r="A22">
        <v>1999630</v>
      </c>
      <c r="B22" t="s">
        <v>255</v>
      </c>
      <c r="D22" t="s">
        <v>232</v>
      </c>
      <c r="E22" s="8">
        <v>95.734487082657211</v>
      </c>
      <c r="F22" s="9">
        <f t="shared" si="0"/>
        <v>3.4306097752346401E-2</v>
      </c>
      <c r="G22">
        <v>92.4</v>
      </c>
      <c r="H22">
        <v>38.44</v>
      </c>
      <c r="I22">
        <v>3.55</v>
      </c>
      <c r="J22">
        <v>1.88</v>
      </c>
      <c r="K22">
        <v>2.12</v>
      </c>
      <c r="L22">
        <v>0.63500000000000001</v>
      </c>
      <c r="M22">
        <v>1.29</v>
      </c>
      <c r="N22">
        <v>0</v>
      </c>
      <c r="R22">
        <v>0.55700000000000005</v>
      </c>
      <c r="S22">
        <v>0.55700000000000005</v>
      </c>
      <c r="T22">
        <v>0</v>
      </c>
      <c r="U22">
        <v>0</v>
      </c>
      <c r="V22">
        <v>0</v>
      </c>
      <c r="W22">
        <v>0</v>
      </c>
      <c r="X22">
        <v>0</v>
      </c>
      <c r="AB22">
        <v>101</v>
      </c>
      <c r="AC22">
        <v>0.54200000000000004</v>
      </c>
      <c r="AD22">
        <v>21.5</v>
      </c>
      <c r="AE22">
        <v>68.599999999999994</v>
      </c>
      <c r="AF22">
        <v>158</v>
      </c>
      <c r="AG22">
        <v>34.299999999999997</v>
      </c>
      <c r="AH22">
        <v>0.312</v>
      </c>
      <c r="AI22">
        <v>0.108</v>
      </c>
      <c r="AJ22">
        <v>0.20799999999999999</v>
      </c>
      <c r="AK22">
        <v>0</v>
      </c>
      <c r="AL22">
        <v>1.94</v>
      </c>
      <c r="AM22">
        <v>58.4</v>
      </c>
      <c r="AO22">
        <v>6.3200000000000006E-2</v>
      </c>
      <c r="AP22">
        <v>8.4000000000000005E-2</v>
      </c>
      <c r="AQ22">
        <v>0.23599999999999999</v>
      </c>
      <c r="AR22">
        <v>5.5199999999999999E-2</v>
      </c>
      <c r="AS22">
        <v>19.7</v>
      </c>
      <c r="AW22">
        <v>0.39300000000000002</v>
      </c>
      <c r="AX22">
        <v>58.2</v>
      </c>
      <c r="AZ22">
        <v>0.68100000000000005</v>
      </c>
      <c r="BB22">
        <v>0.156</v>
      </c>
      <c r="BE22">
        <v>3.34</v>
      </c>
      <c r="BH22">
        <v>58.2</v>
      </c>
      <c r="BI22">
        <v>0</v>
      </c>
      <c r="BJ22">
        <v>0</v>
      </c>
      <c r="BK22">
        <v>0</v>
      </c>
      <c r="BL22">
        <v>0</v>
      </c>
      <c r="BM22">
        <v>27.2</v>
      </c>
      <c r="BN22">
        <v>0.68100000000000005</v>
      </c>
      <c r="BO22">
        <v>0</v>
      </c>
      <c r="BP22">
        <v>0</v>
      </c>
      <c r="BR22">
        <v>0</v>
      </c>
      <c r="BS22">
        <v>0</v>
      </c>
      <c r="BT22">
        <v>0</v>
      </c>
      <c r="BU22">
        <v>8.2200000000000006</v>
      </c>
      <c r="BW22">
        <v>7.26</v>
      </c>
      <c r="BX22">
        <v>0.96599999999999997</v>
      </c>
      <c r="BY22">
        <v>0</v>
      </c>
      <c r="BZ22">
        <v>1.42</v>
      </c>
      <c r="CA22">
        <v>0.874</v>
      </c>
      <c r="CB22">
        <v>0</v>
      </c>
      <c r="CC22">
        <v>0</v>
      </c>
      <c r="CD22">
        <v>0</v>
      </c>
      <c r="CE22">
        <v>0</v>
      </c>
      <c r="CQ22">
        <v>0.314</v>
      </c>
      <c r="CR22">
        <v>0.41599999999999998</v>
      </c>
      <c r="CS22">
        <v>1.1499999999999999</v>
      </c>
      <c r="CT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3.81E-3</v>
      </c>
      <c r="DB22">
        <v>0.218</v>
      </c>
      <c r="DC22">
        <v>7.2800000000000004E-2</v>
      </c>
      <c r="DD22">
        <v>5.62E-3</v>
      </c>
      <c r="DH22">
        <v>0</v>
      </c>
      <c r="DI22">
        <v>0</v>
      </c>
      <c r="DJ22">
        <v>6.7499999999999999E-3</v>
      </c>
      <c r="DM22">
        <v>0</v>
      </c>
      <c r="DO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1.6900000000000001E-3</v>
      </c>
      <c r="DW22">
        <v>2E-3</v>
      </c>
      <c r="DX22">
        <v>2.31E-3</v>
      </c>
      <c r="DY22">
        <v>0</v>
      </c>
      <c r="DZ22">
        <v>8.12E-4</v>
      </c>
      <c r="EA22">
        <v>0</v>
      </c>
      <c r="EB22">
        <v>1.1199999999999999E-3</v>
      </c>
      <c r="ED22">
        <v>0</v>
      </c>
      <c r="EE22">
        <v>0</v>
      </c>
      <c r="EF22">
        <v>5.62E-4</v>
      </c>
      <c r="EG22">
        <v>1.9400000000000001E-3</v>
      </c>
      <c r="EH22">
        <v>0.40899999999999997</v>
      </c>
      <c r="EI22">
        <v>0.98799999999999999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1E-3</v>
      </c>
      <c r="ES22">
        <v>8.12E-4</v>
      </c>
      <c r="EU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1E-3</v>
      </c>
      <c r="FC22">
        <v>4.81E-3</v>
      </c>
      <c r="FD22">
        <v>0</v>
      </c>
      <c r="FE22">
        <v>0.98799999999999999</v>
      </c>
      <c r="FF22">
        <v>1.1199999999999999E-3</v>
      </c>
      <c r="FG22">
        <v>0.16600000000000001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5.62E-4</v>
      </c>
      <c r="FO22">
        <v>0.16600000000000001</v>
      </c>
      <c r="FP22">
        <v>0</v>
      </c>
      <c r="FQ22">
        <v>0</v>
      </c>
      <c r="FR22">
        <v>0</v>
      </c>
      <c r="FS22">
        <v>0</v>
      </c>
      <c r="FT22">
        <v>4.6199999999999998E-2</v>
      </c>
      <c r="FU22">
        <v>0.128</v>
      </c>
      <c r="FV22">
        <v>0.14499999999999999</v>
      </c>
      <c r="FW22">
        <v>0.249</v>
      </c>
      <c r="FX22">
        <v>0.221</v>
      </c>
      <c r="FY22">
        <v>4.6199999999999998E-2</v>
      </c>
      <c r="FZ22">
        <v>0.17499999999999999</v>
      </c>
      <c r="GA22">
        <v>0.124</v>
      </c>
      <c r="GB22">
        <v>0.14199999999999999</v>
      </c>
      <c r="GC22">
        <v>0.26900000000000002</v>
      </c>
      <c r="GD22">
        <v>9.7500000000000003E-2</v>
      </c>
      <c r="GE22">
        <v>0.13900000000000001</v>
      </c>
      <c r="GF22">
        <v>0.39600000000000002</v>
      </c>
      <c r="GG22">
        <v>0.61899999999999999</v>
      </c>
      <c r="GH22">
        <v>0.14099999999999999</v>
      </c>
      <c r="GI22">
        <v>0.13700000000000001</v>
      </c>
      <c r="GJ22">
        <v>0.16800000000000001</v>
      </c>
      <c r="GK22">
        <v>0</v>
      </c>
      <c r="GL22">
        <v>5.7500000000000002E-2</v>
      </c>
      <c r="GX22">
        <v>2.6200000000000001E-2</v>
      </c>
      <c r="GY22">
        <v>6.6500000000000004E-2</v>
      </c>
      <c r="GZ22">
        <v>0.434</v>
      </c>
      <c r="HA22">
        <v>12.9</v>
      </c>
      <c r="HB22">
        <v>18.8</v>
      </c>
      <c r="HC22">
        <v>1.36</v>
      </c>
      <c r="HD22">
        <v>0.45700000000000002</v>
      </c>
      <c r="HE22">
        <v>0.38</v>
      </c>
      <c r="HH22">
        <v>0</v>
      </c>
      <c r="HI22">
        <v>0</v>
      </c>
    </row>
    <row r="23" spans="1:217" x14ac:dyDescent="0.3">
      <c r="A23">
        <v>173532</v>
      </c>
      <c r="B23" t="s">
        <v>256</v>
      </c>
      <c r="D23" t="s">
        <v>234</v>
      </c>
      <c r="E23" s="8">
        <v>95.734487082657211</v>
      </c>
      <c r="F23" s="9">
        <f t="shared" si="0"/>
        <v>3.4306097752346401E-2</v>
      </c>
      <c r="G23">
        <v>74.2</v>
      </c>
      <c r="H23">
        <v>116</v>
      </c>
      <c r="I23">
        <v>5</v>
      </c>
      <c r="J23">
        <v>3.6</v>
      </c>
      <c r="K23">
        <v>3.6</v>
      </c>
      <c r="L23">
        <v>1.2</v>
      </c>
      <c r="M23">
        <v>15.9</v>
      </c>
      <c r="AB23">
        <v>294</v>
      </c>
      <c r="AC23">
        <v>11.3</v>
      </c>
      <c r="AD23">
        <v>28</v>
      </c>
      <c r="AE23">
        <v>184</v>
      </c>
      <c r="AF23">
        <v>171</v>
      </c>
      <c r="AG23">
        <v>48</v>
      </c>
      <c r="AH23">
        <v>0.72</v>
      </c>
      <c r="AI23">
        <v>6.4000000000000001E-2</v>
      </c>
      <c r="AO23">
        <v>0.44700000000000001</v>
      </c>
      <c r="AP23">
        <v>0.58299999999999996</v>
      </c>
      <c r="AQ23">
        <v>6.26</v>
      </c>
      <c r="AR23">
        <v>6.7000000000000004E-2</v>
      </c>
      <c r="AS23">
        <v>11</v>
      </c>
      <c r="AT23">
        <v>0</v>
      </c>
      <c r="AU23">
        <v>11</v>
      </c>
      <c r="AW23">
        <v>0.3</v>
      </c>
      <c r="BD23">
        <v>0.443</v>
      </c>
      <c r="CH23">
        <v>11</v>
      </c>
    </row>
    <row r="24" spans="1:217" x14ac:dyDescent="0.3">
      <c r="A24">
        <v>173534</v>
      </c>
      <c r="B24" t="s">
        <v>257</v>
      </c>
      <c r="D24" t="s">
        <v>234</v>
      </c>
      <c r="E24" s="8">
        <v>95.734487082657211</v>
      </c>
      <c r="F24" s="9">
        <f t="shared" si="0"/>
        <v>3.4306097752346401E-2</v>
      </c>
      <c r="G24">
        <v>81.8</v>
      </c>
      <c r="H24">
        <v>86.16</v>
      </c>
      <c r="I24">
        <v>3.57</v>
      </c>
      <c r="J24">
        <v>3.32</v>
      </c>
      <c r="K24">
        <v>3.32</v>
      </c>
      <c r="L24">
        <v>0.81</v>
      </c>
      <c r="M24">
        <v>10.5</v>
      </c>
      <c r="N24">
        <v>0.1</v>
      </c>
      <c r="R24">
        <v>6.13</v>
      </c>
      <c r="S24">
        <v>0</v>
      </c>
      <c r="T24">
        <v>0</v>
      </c>
      <c r="U24">
        <v>0</v>
      </c>
      <c r="V24">
        <v>4.67</v>
      </c>
      <c r="W24">
        <v>0</v>
      </c>
      <c r="X24">
        <v>0</v>
      </c>
      <c r="AB24">
        <v>156</v>
      </c>
      <c r="AC24">
        <v>3.63</v>
      </c>
      <c r="AD24">
        <v>20</v>
      </c>
      <c r="AE24">
        <v>109</v>
      </c>
      <c r="AF24">
        <v>180</v>
      </c>
      <c r="AG24">
        <v>47</v>
      </c>
      <c r="AH24">
        <v>0.46</v>
      </c>
      <c r="AI24">
        <v>4.2000000000000003E-2</v>
      </c>
      <c r="AJ24">
        <v>4.0000000000000001E-3</v>
      </c>
      <c r="AL24">
        <v>4.3</v>
      </c>
      <c r="AO24">
        <v>0.68400000000000005</v>
      </c>
      <c r="AP24">
        <v>0.44400000000000001</v>
      </c>
      <c r="AQ24">
        <v>1.85</v>
      </c>
      <c r="AR24">
        <v>8.5000000000000006E-2</v>
      </c>
      <c r="AS24">
        <v>6</v>
      </c>
      <c r="AT24">
        <v>0</v>
      </c>
      <c r="AU24">
        <v>6</v>
      </c>
      <c r="AV24">
        <v>15.2</v>
      </c>
      <c r="AW24">
        <v>0.43</v>
      </c>
      <c r="AX24">
        <v>43</v>
      </c>
      <c r="AY24">
        <v>152</v>
      </c>
      <c r="AZ24">
        <v>1.2</v>
      </c>
      <c r="BA24">
        <v>0.5</v>
      </c>
      <c r="BB24">
        <v>0.09</v>
      </c>
      <c r="BC24">
        <v>0.2</v>
      </c>
      <c r="BD24">
        <v>0.34499999999999997</v>
      </c>
      <c r="BF24">
        <v>0</v>
      </c>
      <c r="BG24">
        <v>0</v>
      </c>
      <c r="BH24">
        <v>42</v>
      </c>
      <c r="BI24">
        <v>7</v>
      </c>
      <c r="BL24">
        <v>1</v>
      </c>
      <c r="BM24">
        <v>47</v>
      </c>
      <c r="BO24">
        <v>1.2</v>
      </c>
      <c r="BR24">
        <v>0</v>
      </c>
      <c r="BU24">
        <v>3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0.9</v>
      </c>
      <c r="CG24">
        <v>0</v>
      </c>
      <c r="CH24">
        <v>6</v>
      </c>
      <c r="CM24">
        <v>0.6</v>
      </c>
      <c r="CO24">
        <v>0</v>
      </c>
      <c r="CP24">
        <v>0</v>
      </c>
      <c r="CQ24">
        <v>1.8</v>
      </c>
      <c r="CR24">
        <v>0.82599999999999996</v>
      </c>
      <c r="CS24">
        <v>0.29399999999999998</v>
      </c>
      <c r="CU24">
        <v>10</v>
      </c>
      <c r="CV24">
        <v>6.9000000000000006E-2</v>
      </c>
      <c r="CW24">
        <v>6.9000000000000006E-2</v>
      </c>
      <c r="CX24">
        <v>6.9000000000000006E-2</v>
      </c>
      <c r="CY24">
        <v>6.9000000000000006E-2</v>
      </c>
      <c r="CZ24">
        <v>7.0999999999999994E-2</v>
      </c>
      <c r="DA24">
        <v>0.27600000000000002</v>
      </c>
      <c r="DB24">
        <v>0.82599999999999996</v>
      </c>
      <c r="DC24">
        <v>0.34499999999999997</v>
      </c>
      <c r="DD24">
        <v>0</v>
      </c>
      <c r="DE24">
        <v>0.82299999999999995</v>
      </c>
      <c r="DF24">
        <v>0.20899999999999999</v>
      </c>
      <c r="DG24">
        <v>8.5000000000000006E-2</v>
      </c>
      <c r="DH24">
        <v>0</v>
      </c>
      <c r="DI24">
        <v>0</v>
      </c>
      <c r="DJ24">
        <v>0</v>
      </c>
      <c r="DK24">
        <v>0</v>
      </c>
      <c r="DL24">
        <v>2E-3</v>
      </c>
      <c r="DM24">
        <v>0</v>
      </c>
      <c r="DN24">
        <v>0</v>
      </c>
      <c r="DO24">
        <v>0</v>
      </c>
      <c r="DP24">
        <v>0</v>
      </c>
      <c r="DQ24">
        <v>0</v>
      </c>
      <c r="DV24">
        <v>0</v>
      </c>
      <c r="DW24">
        <v>0</v>
      </c>
      <c r="DX24">
        <v>0</v>
      </c>
      <c r="EV24">
        <v>0</v>
      </c>
      <c r="FT24">
        <v>7.9000000000000001E-2</v>
      </c>
      <c r="FU24">
        <v>0.16300000000000001</v>
      </c>
      <c r="FV24">
        <v>0.184</v>
      </c>
      <c r="FW24">
        <v>0.30199999999999999</v>
      </c>
      <c r="FX24">
        <v>0.161</v>
      </c>
      <c r="FY24">
        <v>8.5000000000000006E-2</v>
      </c>
      <c r="FZ24">
        <v>0.16300000000000001</v>
      </c>
      <c r="GA24">
        <v>0.16500000000000001</v>
      </c>
      <c r="GB24">
        <v>0.215</v>
      </c>
      <c r="GC24">
        <v>0.113</v>
      </c>
      <c r="GD24">
        <v>8.7999999999999995E-2</v>
      </c>
      <c r="GE24">
        <v>0.13100000000000001</v>
      </c>
      <c r="GF24">
        <v>0.28000000000000003</v>
      </c>
      <c r="GG24">
        <v>0.70199999999999996</v>
      </c>
      <c r="GH24">
        <v>9.5000000000000001E-2</v>
      </c>
      <c r="GI24">
        <v>0.34100000000000003</v>
      </c>
      <c r="GJ24">
        <v>0.13200000000000001</v>
      </c>
      <c r="GL24">
        <v>2.9000000000000001E-2</v>
      </c>
      <c r="HF24">
        <v>0</v>
      </c>
      <c r="HH24">
        <v>0</v>
      </c>
    </row>
    <row r="25" spans="1:217" x14ac:dyDescent="0.3">
      <c r="A25">
        <v>2003591</v>
      </c>
      <c r="B25" t="s">
        <v>258</v>
      </c>
      <c r="D25" t="s">
        <v>232</v>
      </c>
      <c r="E25" s="8">
        <v>95.734487082657211</v>
      </c>
      <c r="F25" s="9">
        <f t="shared" si="0"/>
        <v>3.4306097752346401E-2</v>
      </c>
      <c r="G25">
        <v>88.2</v>
      </c>
      <c r="H25">
        <v>47.061</v>
      </c>
      <c r="I25">
        <v>0.73399999999999999</v>
      </c>
      <c r="J25">
        <v>0.32500000000000001</v>
      </c>
      <c r="K25">
        <v>0.32500000000000001</v>
      </c>
      <c r="L25">
        <v>0.35</v>
      </c>
      <c r="M25">
        <v>10.3</v>
      </c>
      <c r="R25">
        <v>8.2799999999999994</v>
      </c>
      <c r="S25">
        <v>4.3899999999999997</v>
      </c>
      <c r="T25">
        <v>1.79</v>
      </c>
      <c r="U25">
        <v>2.1</v>
      </c>
      <c r="V25">
        <v>0</v>
      </c>
      <c r="W25">
        <v>0</v>
      </c>
      <c r="X25">
        <v>0</v>
      </c>
      <c r="AB25">
        <v>12.8</v>
      </c>
      <c r="AC25">
        <v>6.4600000000000005E-2</v>
      </c>
      <c r="AD25">
        <v>10.6</v>
      </c>
      <c r="AE25">
        <v>18.2</v>
      </c>
      <c r="AF25">
        <v>180</v>
      </c>
      <c r="AG25">
        <v>5.23</v>
      </c>
      <c r="AH25">
        <v>3.1899999999999998E-2</v>
      </c>
      <c r="AI25">
        <v>3.2199999999999999E-2</v>
      </c>
      <c r="AJ25">
        <v>2.9899999999999999E-2</v>
      </c>
      <c r="AO25">
        <v>7.0099999999999996E-2</v>
      </c>
      <c r="AQ25">
        <v>4.0300000000000002E-2</v>
      </c>
      <c r="AR25">
        <v>4.2900000000000001E-2</v>
      </c>
      <c r="AS25">
        <v>29.8</v>
      </c>
      <c r="BC25">
        <v>26.9</v>
      </c>
      <c r="GT25">
        <v>706</v>
      </c>
      <c r="GU25">
        <v>161</v>
      </c>
      <c r="GV25">
        <v>0</v>
      </c>
      <c r="GW25">
        <v>12.3</v>
      </c>
    </row>
    <row r="26" spans="1:217" x14ac:dyDescent="0.3">
      <c r="A26">
        <v>2003597</v>
      </c>
      <c r="B26" t="s">
        <v>259</v>
      </c>
      <c r="D26" t="s">
        <v>232</v>
      </c>
      <c r="E26" s="8">
        <v>95.734487082657211</v>
      </c>
      <c r="F26" s="9">
        <f t="shared" si="0"/>
        <v>3.4306097752346401E-2</v>
      </c>
      <c r="G26">
        <v>88.5</v>
      </c>
      <c r="H26">
        <v>46.451999999999998</v>
      </c>
      <c r="I26">
        <v>0.81200000000000006</v>
      </c>
      <c r="J26">
        <v>0.35599999999999998</v>
      </c>
      <c r="K26">
        <v>0.35599999999999998</v>
      </c>
      <c r="L26">
        <v>0.33900000000000002</v>
      </c>
      <c r="M26">
        <v>10</v>
      </c>
      <c r="R26">
        <v>8.08</v>
      </c>
      <c r="S26">
        <v>4.1399999999999997</v>
      </c>
      <c r="T26">
        <v>1.81</v>
      </c>
      <c r="U26">
        <v>2.12</v>
      </c>
      <c r="V26">
        <v>0</v>
      </c>
      <c r="W26">
        <v>0</v>
      </c>
      <c r="X26">
        <v>0</v>
      </c>
      <c r="AB26">
        <v>9.2899999999999991</v>
      </c>
      <c r="AC26">
        <v>7.0599999999999996E-2</v>
      </c>
      <c r="AD26">
        <v>10.3</v>
      </c>
      <c r="AE26">
        <v>19</v>
      </c>
      <c r="AF26">
        <v>183</v>
      </c>
      <c r="AG26">
        <v>7.4999999999999997E-2</v>
      </c>
      <c r="AH26">
        <v>3.2099999999999997E-2</v>
      </c>
      <c r="AI26">
        <v>3.5299999999999998E-2</v>
      </c>
      <c r="AJ26">
        <v>2.7699999999999999E-2</v>
      </c>
      <c r="AO26">
        <v>7.46E-2</v>
      </c>
      <c r="AQ26">
        <v>2.9100000000000001E-2</v>
      </c>
      <c r="AR26">
        <v>4.1099999999999998E-2</v>
      </c>
      <c r="AS26">
        <v>29</v>
      </c>
      <c r="BC26">
        <v>30.5</v>
      </c>
      <c r="GT26">
        <v>757</v>
      </c>
      <c r="GU26">
        <v>160</v>
      </c>
      <c r="GV26">
        <v>0</v>
      </c>
      <c r="GW26">
        <v>0</v>
      </c>
    </row>
    <row r="27" spans="1:217" x14ac:dyDescent="0.3">
      <c r="A27">
        <v>169102</v>
      </c>
      <c r="B27" t="s">
        <v>260</v>
      </c>
      <c r="D27" t="s">
        <v>234</v>
      </c>
      <c r="E27" s="8">
        <v>95.734487082657211</v>
      </c>
      <c r="F27" s="9">
        <f t="shared" si="0"/>
        <v>3.4306097752346401E-2</v>
      </c>
      <c r="G27">
        <v>90.1</v>
      </c>
      <c r="H27">
        <v>38.14</v>
      </c>
      <c r="I27">
        <v>0.6</v>
      </c>
      <c r="J27">
        <v>0.06</v>
      </c>
      <c r="K27">
        <v>0.06</v>
      </c>
      <c r="L27">
        <v>0.47</v>
      </c>
      <c r="M27">
        <v>8.8000000000000007</v>
      </c>
      <c r="N27">
        <v>0.2</v>
      </c>
      <c r="R27">
        <v>7.42</v>
      </c>
      <c r="AB27">
        <v>12</v>
      </c>
      <c r="AC27">
        <v>0.08</v>
      </c>
      <c r="AD27">
        <v>10</v>
      </c>
      <c r="AE27">
        <v>15</v>
      </c>
      <c r="AF27">
        <v>158</v>
      </c>
      <c r="AG27">
        <v>4</v>
      </c>
      <c r="AH27">
        <v>0.04</v>
      </c>
      <c r="AI27">
        <v>2.1000000000000001E-2</v>
      </c>
      <c r="AL27">
        <v>0.1</v>
      </c>
      <c r="AO27">
        <v>6.9000000000000006E-2</v>
      </c>
      <c r="AP27">
        <v>4.3999999999999997E-2</v>
      </c>
      <c r="AQ27">
        <v>0.27300000000000002</v>
      </c>
      <c r="AR27">
        <v>6.5000000000000002E-2</v>
      </c>
      <c r="AS27">
        <v>19</v>
      </c>
      <c r="AT27">
        <v>0</v>
      </c>
      <c r="AU27">
        <v>19</v>
      </c>
      <c r="AV27">
        <v>5</v>
      </c>
      <c r="AW27">
        <v>0</v>
      </c>
      <c r="AX27">
        <v>3</v>
      </c>
      <c r="AY27">
        <v>66</v>
      </c>
      <c r="AZ27">
        <v>0</v>
      </c>
      <c r="BA27">
        <v>0.1</v>
      </c>
      <c r="BB27">
        <v>0.15</v>
      </c>
      <c r="BC27">
        <v>36.200000000000003</v>
      </c>
      <c r="BF27">
        <v>0</v>
      </c>
      <c r="BG27">
        <v>0</v>
      </c>
      <c r="BH27">
        <v>0</v>
      </c>
      <c r="BI27">
        <v>13</v>
      </c>
      <c r="BL27">
        <v>5</v>
      </c>
      <c r="BM27">
        <v>0</v>
      </c>
      <c r="BR27">
        <v>0</v>
      </c>
      <c r="BU27">
        <v>83</v>
      </c>
      <c r="CH27">
        <v>19</v>
      </c>
      <c r="CO27">
        <v>0</v>
      </c>
      <c r="CP27">
        <v>0</v>
      </c>
      <c r="CQ27">
        <v>1.4999999999999999E-2</v>
      </c>
      <c r="CR27">
        <v>1.2E-2</v>
      </c>
      <c r="CS27">
        <v>1.6E-2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1E-3</v>
      </c>
      <c r="DA27">
        <v>1E-3</v>
      </c>
      <c r="DB27">
        <v>1.0999999999999999E-2</v>
      </c>
      <c r="DC27">
        <v>2E-3</v>
      </c>
      <c r="DE27">
        <v>1.0999999999999999E-2</v>
      </c>
      <c r="DF27">
        <v>1.2E-2</v>
      </c>
      <c r="DG27">
        <v>4.0000000000000001E-3</v>
      </c>
      <c r="DH27">
        <v>0</v>
      </c>
      <c r="DI27">
        <v>0</v>
      </c>
      <c r="DL27">
        <v>2E-3</v>
      </c>
      <c r="DM27">
        <v>0</v>
      </c>
      <c r="DN27">
        <v>0</v>
      </c>
      <c r="DO27">
        <v>0</v>
      </c>
      <c r="DP27">
        <v>0</v>
      </c>
      <c r="DQ27">
        <v>0</v>
      </c>
      <c r="HF27">
        <v>0</v>
      </c>
      <c r="HH27">
        <v>48</v>
      </c>
    </row>
    <row r="28" spans="1:217" x14ac:dyDescent="0.3">
      <c r="A28">
        <v>168113</v>
      </c>
      <c r="B28" t="s">
        <v>261</v>
      </c>
      <c r="D28" t="s">
        <v>234</v>
      </c>
      <c r="E28" s="8">
        <v>95.734487082657211</v>
      </c>
      <c r="F28" s="9">
        <f t="shared" si="0"/>
        <v>3.4306097752346401E-2</v>
      </c>
      <c r="G28">
        <v>76.099999999999994</v>
      </c>
      <c r="H28">
        <v>94.8</v>
      </c>
      <c r="I28">
        <v>0.5</v>
      </c>
      <c r="J28">
        <v>0</v>
      </c>
      <c r="K28">
        <v>0</v>
      </c>
      <c r="L28">
        <v>0.23</v>
      </c>
      <c r="M28">
        <v>23.2</v>
      </c>
      <c r="N28">
        <v>0.1</v>
      </c>
      <c r="R28">
        <v>20</v>
      </c>
      <c r="AB28">
        <v>9</v>
      </c>
      <c r="AC28">
        <v>0.47</v>
      </c>
      <c r="AD28">
        <v>8</v>
      </c>
      <c r="AE28">
        <v>13</v>
      </c>
      <c r="AF28">
        <v>100</v>
      </c>
      <c r="AG28">
        <v>8</v>
      </c>
      <c r="AH28">
        <v>0.02</v>
      </c>
      <c r="AI28">
        <v>2.1999999999999999E-2</v>
      </c>
      <c r="AJ28">
        <v>8.0000000000000002E-3</v>
      </c>
      <c r="AL28">
        <v>0.1</v>
      </c>
      <c r="AN28">
        <v>77</v>
      </c>
      <c r="AO28">
        <v>0.01</v>
      </c>
      <c r="AP28">
        <v>0.03</v>
      </c>
      <c r="AQ28">
        <v>0.16</v>
      </c>
      <c r="AR28">
        <v>1.7999999999999999E-2</v>
      </c>
      <c r="AS28">
        <v>18</v>
      </c>
      <c r="AT28">
        <v>0</v>
      </c>
      <c r="AU28">
        <v>18</v>
      </c>
      <c r="AV28">
        <v>2.9</v>
      </c>
      <c r="AW28">
        <v>0</v>
      </c>
      <c r="AX28">
        <v>1</v>
      </c>
      <c r="AY28">
        <v>21</v>
      </c>
      <c r="AZ28">
        <v>0</v>
      </c>
      <c r="BA28">
        <v>0.1</v>
      </c>
      <c r="BB28">
        <v>0.04</v>
      </c>
      <c r="BC28">
        <v>25.7</v>
      </c>
      <c r="BD28">
        <v>6.5000000000000002E-2</v>
      </c>
      <c r="BF28">
        <v>0</v>
      </c>
      <c r="BG28">
        <v>0</v>
      </c>
      <c r="BH28">
        <v>0</v>
      </c>
      <c r="BI28">
        <v>12</v>
      </c>
      <c r="BL28">
        <v>0</v>
      </c>
      <c r="BM28">
        <v>0</v>
      </c>
      <c r="BR28">
        <v>0</v>
      </c>
      <c r="BU28">
        <v>39</v>
      </c>
      <c r="CH28">
        <v>18</v>
      </c>
      <c r="CO28">
        <v>0</v>
      </c>
      <c r="CP28">
        <v>0</v>
      </c>
      <c r="CQ28">
        <v>0</v>
      </c>
      <c r="CR28">
        <v>0</v>
      </c>
      <c r="CS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HF28">
        <v>0</v>
      </c>
      <c r="HH28">
        <v>0</v>
      </c>
    </row>
    <row r="29" spans="1:217" x14ac:dyDescent="0.3">
      <c r="A29">
        <v>171354</v>
      </c>
      <c r="B29" t="s">
        <v>262</v>
      </c>
      <c r="D29" t="s">
        <v>234</v>
      </c>
      <c r="E29" s="8">
        <v>95.734487082657211</v>
      </c>
      <c r="F29" s="9">
        <f t="shared" si="0"/>
        <v>3.4306097752346401E-2</v>
      </c>
      <c r="G29">
        <v>88.5</v>
      </c>
      <c r="H29">
        <v>45.9</v>
      </c>
      <c r="I29">
        <v>0.6</v>
      </c>
      <c r="J29">
        <v>0.3</v>
      </c>
      <c r="K29">
        <v>0.3</v>
      </c>
      <c r="L29">
        <v>0.4</v>
      </c>
      <c r="M29">
        <v>10.199999999999999</v>
      </c>
      <c r="N29">
        <v>0.1</v>
      </c>
      <c r="R29">
        <v>8.26</v>
      </c>
      <c r="AB29">
        <v>12</v>
      </c>
      <c r="AC29">
        <v>0.17</v>
      </c>
      <c r="AD29">
        <v>9</v>
      </c>
      <c r="AE29">
        <v>11</v>
      </c>
      <c r="AF29">
        <v>184</v>
      </c>
      <c r="AG29">
        <v>0</v>
      </c>
      <c r="AH29">
        <v>0.06</v>
      </c>
      <c r="AI29">
        <v>4.5999999999999999E-2</v>
      </c>
      <c r="AL29">
        <v>0.1</v>
      </c>
      <c r="AO29">
        <v>4.4999999999999998E-2</v>
      </c>
      <c r="AP29">
        <v>2.8000000000000001E-2</v>
      </c>
      <c r="AQ29">
        <v>0.23899999999999999</v>
      </c>
      <c r="AR29">
        <v>5.3999999999999999E-2</v>
      </c>
      <c r="AS29">
        <v>26</v>
      </c>
      <c r="AT29">
        <v>0</v>
      </c>
      <c r="AU29">
        <v>26</v>
      </c>
      <c r="AV29">
        <v>6.2</v>
      </c>
      <c r="AW29">
        <v>0</v>
      </c>
      <c r="AX29">
        <v>3</v>
      </c>
      <c r="AY29">
        <v>55</v>
      </c>
      <c r="AZ29">
        <v>0</v>
      </c>
      <c r="BA29">
        <v>0.1</v>
      </c>
      <c r="BB29">
        <v>0.04</v>
      </c>
      <c r="BC29">
        <v>62.5</v>
      </c>
      <c r="BD29">
        <v>0.13700000000000001</v>
      </c>
      <c r="BF29">
        <v>0</v>
      </c>
      <c r="BG29">
        <v>0</v>
      </c>
      <c r="BH29">
        <v>0</v>
      </c>
      <c r="BI29">
        <v>9</v>
      </c>
      <c r="BL29">
        <v>2</v>
      </c>
      <c r="BM29">
        <v>0</v>
      </c>
      <c r="BR29">
        <v>0</v>
      </c>
      <c r="BU29">
        <v>113</v>
      </c>
      <c r="CH29">
        <v>26</v>
      </c>
      <c r="CO29">
        <v>0</v>
      </c>
      <c r="CP29">
        <v>0</v>
      </c>
      <c r="CQ29">
        <v>3.5000000000000003E-2</v>
      </c>
      <c r="CR29">
        <v>0.05</v>
      </c>
      <c r="CS29">
        <v>0.06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3.5000000000000003E-2</v>
      </c>
      <c r="DC29">
        <v>0</v>
      </c>
      <c r="DE29">
        <v>4.4999999999999998E-2</v>
      </c>
      <c r="DF29">
        <v>4.4999999999999998E-2</v>
      </c>
      <c r="DG29">
        <v>1.4999999999999999E-2</v>
      </c>
      <c r="DH29">
        <v>0</v>
      </c>
      <c r="DI29">
        <v>0</v>
      </c>
      <c r="DL29">
        <v>5.0000000000000001E-3</v>
      </c>
      <c r="DM29">
        <v>0</v>
      </c>
      <c r="DN29">
        <v>0</v>
      </c>
      <c r="DO29">
        <v>0</v>
      </c>
      <c r="DP29">
        <v>0</v>
      </c>
      <c r="DQ29">
        <v>0</v>
      </c>
      <c r="HF29">
        <v>0</v>
      </c>
      <c r="HH29">
        <v>47</v>
      </c>
    </row>
    <row r="30" spans="1:217" x14ac:dyDescent="0.3">
      <c r="A30">
        <v>1104812</v>
      </c>
      <c r="B30" t="s">
        <v>263</v>
      </c>
      <c r="D30" t="s">
        <v>232</v>
      </c>
      <c r="E30" s="8">
        <v>95.734487082657211</v>
      </c>
      <c r="F30" s="9">
        <f t="shared" si="0"/>
        <v>3.4306097752346401E-2</v>
      </c>
      <c r="G30">
        <v>12.1</v>
      </c>
      <c r="H30">
        <v>365.41</v>
      </c>
      <c r="I30">
        <v>7.19</v>
      </c>
      <c r="J30">
        <v>3.85</v>
      </c>
      <c r="K30">
        <v>3.85</v>
      </c>
      <c r="L30">
        <v>1.4</v>
      </c>
      <c r="M30">
        <v>75.5</v>
      </c>
      <c r="AB30">
        <v>10</v>
      </c>
      <c r="AC30">
        <v>1.5</v>
      </c>
      <c r="AD30">
        <v>124</v>
      </c>
      <c r="AE30">
        <v>319</v>
      </c>
      <c r="AF30">
        <v>265</v>
      </c>
      <c r="AG30">
        <v>1</v>
      </c>
      <c r="AH30">
        <v>1.91</v>
      </c>
      <c r="AI30">
        <v>0.28599999999999998</v>
      </c>
      <c r="AJ30">
        <v>2.84</v>
      </c>
      <c r="AL30">
        <v>9.68</v>
      </c>
      <c r="AM30">
        <v>56.2</v>
      </c>
      <c r="AO30">
        <v>0.32200000000000001</v>
      </c>
      <c r="AP30">
        <v>8.0000000000000002E-3</v>
      </c>
      <c r="AQ30">
        <v>5.99</v>
      </c>
      <c r="AR30">
        <v>0.13200000000000001</v>
      </c>
    </row>
    <row r="31" spans="1:217" x14ac:dyDescent="0.3">
      <c r="A31">
        <v>169707</v>
      </c>
      <c r="B31" t="s">
        <v>264</v>
      </c>
      <c r="D31" t="s">
        <v>234</v>
      </c>
      <c r="E31" s="8">
        <v>95.734487082657211</v>
      </c>
      <c r="F31" s="9">
        <f t="shared" si="0"/>
        <v>3.4306097752346401E-2</v>
      </c>
      <c r="G31">
        <v>9.86</v>
      </c>
      <c r="H31">
        <v>362.91</v>
      </c>
      <c r="I31">
        <v>7.51</v>
      </c>
      <c r="J31">
        <v>1.03</v>
      </c>
      <c r="K31">
        <v>1.03</v>
      </c>
      <c r="L31">
        <v>0.71</v>
      </c>
      <c r="M31">
        <v>80.900000000000006</v>
      </c>
      <c r="N31">
        <v>1.8</v>
      </c>
      <c r="R31">
        <v>0.33</v>
      </c>
      <c r="S31">
        <v>0.21</v>
      </c>
      <c r="T31">
        <v>0.11</v>
      </c>
      <c r="U31">
        <v>0.02</v>
      </c>
      <c r="V31">
        <v>0</v>
      </c>
      <c r="W31">
        <v>0</v>
      </c>
      <c r="X31">
        <v>0</v>
      </c>
      <c r="Y31">
        <v>68.3</v>
      </c>
      <c r="AB31">
        <v>71</v>
      </c>
      <c r="AC31">
        <v>3.33</v>
      </c>
      <c r="AD31">
        <v>27</v>
      </c>
      <c r="AE31">
        <v>153</v>
      </c>
      <c r="AF31">
        <v>174</v>
      </c>
      <c r="AG31">
        <v>2</v>
      </c>
      <c r="AH31">
        <v>1.02</v>
      </c>
      <c r="AI31">
        <v>0.28399999999999997</v>
      </c>
      <c r="AJ31">
        <v>1.04</v>
      </c>
      <c r="AL31">
        <v>19.899999999999999</v>
      </c>
      <c r="AO31">
        <v>0.60299999999999998</v>
      </c>
      <c r="AP31">
        <v>0.05</v>
      </c>
      <c r="AQ31">
        <v>5.05</v>
      </c>
      <c r="AR31">
        <v>0.45200000000000001</v>
      </c>
      <c r="AS31">
        <v>257</v>
      </c>
      <c r="AT31">
        <v>249</v>
      </c>
      <c r="AU31">
        <v>431</v>
      </c>
      <c r="AV31">
        <v>6</v>
      </c>
      <c r="AW31">
        <v>0</v>
      </c>
      <c r="AX31">
        <v>0</v>
      </c>
      <c r="AY31">
        <v>0</v>
      </c>
      <c r="AZ31">
        <v>0</v>
      </c>
      <c r="BA31">
        <v>0.1</v>
      </c>
      <c r="BB31">
        <v>0.03</v>
      </c>
      <c r="BC31">
        <v>0</v>
      </c>
      <c r="BD31">
        <v>0.67200000000000004</v>
      </c>
      <c r="BF31">
        <v>0</v>
      </c>
      <c r="BG31">
        <v>0</v>
      </c>
      <c r="BH31">
        <v>0</v>
      </c>
      <c r="BI31">
        <v>0</v>
      </c>
      <c r="BL31">
        <v>0</v>
      </c>
      <c r="BM31">
        <v>0</v>
      </c>
      <c r="BR31">
        <v>0</v>
      </c>
      <c r="BU31">
        <v>0</v>
      </c>
      <c r="BY31">
        <v>0.02</v>
      </c>
      <c r="BZ31">
        <v>0.17</v>
      </c>
      <c r="CA31">
        <v>0</v>
      </c>
      <c r="CB31">
        <v>0.05</v>
      </c>
      <c r="CC31">
        <v>0</v>
      </c>
      <c r="CD31">
        <v>0</v>
      </c>
      <c r="CE31">
        <v>0</v>
      </c>
      <c r="CH31">
        <v>8</v>
      </c>
      <c r="CO31">
        <v>0</v>
      </c>
      <c r="CP31">
        <v>0</v>
      </c>
      <c r="CQ31">
        <v>0.29399999999999998</v>
      </c>
      <c r="CR31">
        <v>0.25800000000000001</v>
      </c>
      <c r="CS31">
        <v>0.32200000000000001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0.27700000000000002</v>
      </c>
      <c r="DC31">
        <v>1.7000000000000001E-2</v>
      </c>
      <c r="DD31">
        <v>0</v>
      </c>
      <c r="DE31">
        <v>0.25800000000000001</v>
      </c>
      <c r="DF31">
        <v>0.30499999999999999</v>
      </c>
      <c r="DG31">
        <v>1.7000000000000001E-2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V31">
        <v>0</v>
      </c>
      <c r="DW31">
        <v>0</v>
      </c>
      <c r="DX31">
        <v>0</v>
      </c>
      <c r="FT31">
        <v>0.10299999999999999</v>
      </c>
      <c r="FU31">
        <v>0.27100000000000002</v>
      </c>
      <c r="FV31">
        <v>0.33900000000000002</v>
      </c>
      <c r="FW31">
        <v>0.65600000000000003</v>
      </c>
      <c r="FX31">
        <v>0.215</v>
      </c>
      <c r="FY31">
        <v>0.183</v>
      </c>
      <c r="FZ31">
        <v>0.39800000000000002</v>
      </c>
      <c r="GA31">
        <v>0.216</v>
      </c>
      <c r="GB31">
        <v>0.47</v>
      </c>
      <c r="GC31">
        <v>0.65100000000000002</v>
      </c>
      <c r="GD31">
        <v>0.185</v>
      </c>
      <c r="GE31">
        <v>0.433</v>
      </c>
      <c r="GF31">
        <v>0.79500000000000004</v>
      </c>
      <c r="GG31">
        <v>1.4</v>
      </c>
      <c r="GH31">
        <v>0.35799999999999998</v>
      </c>
      <c r="GI31">
        <v>0.48399999999999999</v>
      </c>
      <c r="GJ31">
        <v>0.36599999999999999</v>
      </c>
      <c r="GL31">
        <v>0.153</v>
      </c>
      <c r="HF31">
        <v>0</v>
      </c>
      <c r="HH31">
        <v>0</v>
      </c>
    </row>
    <row r="32" spans="1:217" x14ac:dyDescent="0.3">
      <c r="A32">
        <v>169758</v>
      </c>
      <c r="B32" t="s">
        <v>265</v>
      </c>
      <c r="D32" t="s">
        <v>234</v>
      </c>
      <c r="E32" s="8">
        <v>95.734487082657211</v>
      </c>
      <c r="F32" s="9">
        <f t="shared" si="0"/>
        <v>3.4306097752346401E-2</v>
      </c>
      <c r="G32">
        <v>9.86</v>
      </c>
      <c r="H32">
        <v>362.91</v>
      </c>
      <c r="I32">
        <v>7.51</v>
      </c>
      <c r="J32">
        <v>1.03</v>
      </c>
      <c r="K32">
        <v>1.03</v>
      </c>
      <c r="L32">
        <v>0.71</v>
      </c>
      <c r="M32">
        <v>80.900000000000006</v>
      </c>
      <c r="N32">
        <v>1.8</v>
      </c>
      <c r="R32">
        <v>0.33</v>
      </c>
      <c r="S32">
        <v>0.21</v>
      </c>
      <c r="T32">
        <v>0.11</v>
      </c>
      <c r="U32">
        <v>0.02</v>
      </c>
      <c r="V32">
        <v>0</v>
      </c>
      <c r="W32">
        <v>0</v>
      </c>
      <c r="X32">
        <v>0</v>
      </c>
      <c r="Y32">
        <v>68.3</v>
      </c>
      <c r="AB32">
        <v>71</v>
      </c>
      <c r="AC32">
        <v>0.74</v>
      </c>
      <c r="AD32">
        <v>27</v>
      </c>
      <c r="AE32">
        <v>153</v>
      </c>
      <c r="AF32">
        <v>174</v>
      </c>
      <c r="AG32">
        <v>2</v>
      </c>
      <c r="AH32">
        <v>1.02</v>
      </c>
      <c r="AI32">
        <v>0.28399999999999997</v>
      </c>
      <c r="AJ32">
        <v>1.04</v>
      </c>
      <c r="AL32">
        <v>19.899999999999999</v>
      </c>
      <c r="AO32">
        <v>0.224</v>
      </c>
      <c r="AP32">
        <v>0.05</v>
      </c>
      <c r="AQ32">
        <v>5.05</v>
      </c>
      <c r="AR32">
        <v>0.45200000000000001</v>
      </c>
      <c r="AS32">
        <v>8</v>
      </c>
      <c r="AT32">
        <v>0</v>
      </c>
      <c r="AU32">
        <v>8</v>
      </c>
      <c r="AW32">
        <v>0</v>
      </c>
      <c r="AY32">
        <v>0</v>
      </c>
      <c r="AZ32">
        <v>0</v>
      </c>
      <c r="BA32">
        <v>0.1</v>
      </c>
      <c r="BB32">
        <v>0.03</v>
      </c>
      <c r="BC32">
        <v>0</v>
      </c>
      <c r="BD32">
        <v>0.67200000000000004</v>
      </c>
      <c r="BH32">
        <v>0</v>
      </c>
      <c r="BM32">
        <v>0</v>
      </c>
      <c r="BY32">
        <v>0.02</v>
      </c>
      <c r="BZ32">
        <v>0.17</v>
      </c>
      <c r="CA32">
        <v>0</v>
      </c>
      <c r="CB32">
        <v>0.05</v>
      </c>
      <c r="CC32">
        <v>0</v>
      </c>
      <c r="CD32">
        <v>0</v>
      </c>
      <c r="CE32">
        <v>0</v>
      </c>
      <c r="CH32">
        <v>8</v>
      </c>
      <c r="CO32">
        <v>0</v>
      </c>
      <c r="CP32">
        <v>0</v>
      </c>
      <c r="CQ32">
        <v>0.29399999999999998</v>
      </c>
      <c r="CR32">
        <v>0.25800000000000001</v>
      </c>
      <c r="CS32">
        <v>0.32200000000000001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0.27700000000000002</v>
      </c>
      <c r="DC32">
        <v>1.7000000000000001E-2</v>
      </c>
      <c r="DD32">
        <v>0</v>
      </c>
      <c r="DE32">
        <v>0.25800000000000001</v>
      </c>
      <c r="DF32">
        <v>0.30499999999999999</v>
      </c>
      <c r="DG32">
        <v>1.7000000000000001E-2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V32">
        <v>0</v>
      </c>
      <c r="DW32">
        <v>0</v>
      </c>
      <c r="DX32">
        <v>0</v>
      </c>
      <c r="FT32">
        <v>0.10299999999999999</v>
      </c>
      <c r="FU32">
        <v>0.27100000000000002</v>
      </c>
      <c r="FV32">
        <v>0.33900000000000002</v>
      </c>
      <c r="FW32">
        <v>0.65600000000000003</v>
      </c>
      <c r="FX32">
        <v>0.215</v>
      </c>
      <c r="FY32">
        <v>0.183</v>
      </c>
      <c r="FZ32">
        <v>0.39800000000000002</v>
      </c>
      <c r="GA32">
        <v>0.216</v>
      </c>
      <c r="GB32">
        <v>0.47</v>
      </c>
      <c r="GC32">
        <v>0.65100000000000002</v>
      </c>
      <c r="GD32">
        <v>0.185</v>
      </c>
      <c r="GE32">
        <v>0.433</v>
      </c>
      <c r="GF32">
        <v>0.79500000000000004</v>
      </c>
      <c r="GG32">
        <v>1.4</v>
      </c>
      <c r="GH32">
        <v>0.35799999999999998</v>
      </c>
      <c r="GI32">
        <v>0.48399999999999999</v>
      </c>
      <c r="GJ32">
        <v>0.36599999999999999</v>
      </c>
      <c r="GL32">
        <v>0.153</v>
      </c>
      <c r="HF32">
        <v>0</v>
      </c>
    </row>
    <row r="33" spans="1:219" x14ac:dyDescent="0.3">
      <c r="A33">
        <v>2512381</v>
      </c>
      <c r="B33" t="s">
        <v>266</v>
      </c>
      <c r="D33" t="s">
        <v>232</v>
      </c>
      <c r="E33" s="8">
        <v>95.734487082657211</v>
      </c>
      <c r="F33" s="9">
        <f t="shared" si="0"/>
        <v>3.4306097752346401E-2</v>
      </c>
      <c r="G33">
        <v>11.2</v>
      </c>
      <c r="H33">
        <v>358.63</v>
      </c>
      <c r="I33">
        <v>7.04</v>
      </c>
      <c r="J33">
        <v>1.03</v>
      </c>
      <c r="K33">
        <v>1.03</v>
      </c>
      <c r="L33">
        <v>0.42499999999999999</v>
      </c>
      <c r="M33">
        <v>80.3</v>
      </c>
      <c r="N33">
        <v>0.14899999999999999</v>
      </c>
      <c r="O33">
        <v>2.77</v>
      </c>
      <c r="P33">
        <v>1.93</v>
      </c>
      <c r="Q33">
        <v>0.29599999999999999</v>
      </c>
      <c r="Y33">
        <v>74.400000000000006</v>
      </c>
      <c r="AB33">
        <v>4.46</v>
      </c>
      <c r="AC33">
        <v>0.14000000000000001</v>
      </c>
      <c r="AD33">
        <v>26.5</v>
      </c>
      <c r="AE33">
        <v>108</v>
      </c>
      <c r="AF33">
        <v>82.3</v>
      </c>
      <c r="AG33">
        <v>0.46200000000000002</v>
      </c>
      <c r="AH33">
        <v>1.35</v>
      </c>
      <c r="AI33">
        <v>0.214</v>
      </c>
      <c r="AJ33">
        <v>0.98099999999999998</v>
      </c>
      <c r="AL33">
        <v>6.6</v>
      </c>
      <c r="AM33">
        <v>64.2</v>
      </c>
      <c r="AO33">
        <v>6.5000000000000002E-2</v>
      </c>
      <c r="AP33">
        <v>0.08</v>
      </c>
      <c r="AQ33">
        <v>1.43</v>
      </c>
      <c r="AR33">
        <v>5.79E-2</v>
      </c>
      <c r="BE33">
        <v>0</v>
      </c>
    </row>
    <row r="34" spans="1:219" x14ac:dyDescent="0.3">
      <c r="A34" t="s">
        <v>267</v>
      </c>
      <c r="B34" t="s">
        <v>268</v>
      </c>
      <c r="C34" t="s">
        <v>268</v>
      </c>
      <c r="D34" t="s">
        <v>268</v>
      </c>
      <c r="E34" s="10">
        <f>SUBTOTAL(9,E3:E33)</f>
        <v>2790.5968138305484</v>
      </c>
      <c r="F34" s="11" t="s">
        <v>269</v>
      </c>
      <c r="G34" s="12">
        <f>SUMPRODUCT($F$3:$F$33,$G$3:$G$33)</f>
        <v>63.29454882928195</v>
      </c>
      <c r="H34" s="12">
        <f>SUMPRODUCT($F$3:$F$33,$H$3:$H$33)</f>
        <v>190.44781085310291</v>
      </c>
      <c r="I34" s="12">
        <f>SUMPRODUCT($F$3:$F$33,$I$3:$I$33)</f>
        <v>4.4216015627536258</v>
      </c>
      <c r="J34" s="12">
        <f>SUMPRODUCT($F$3:$F$33,$J$3:$J$33)</f>
        <v>9.4123697336604621</v>
      </c>
      <c r="K34" s="12">
        <f>SUMPRODUCT($F$3:$F$33,$K$3:$K$33)</f>
        <v>9.5462510594224845</v>
      </c>
      <c r="L34" s="12">
        <f>SUMPRODUCT($F$3:$F$33,$L$3:$L$33)</f>
        <v>0.87985355397631448</v>
      </c>
      <c r="M34" s="12">
        <f>SUMPRODUCT($F$3:$F$33,$M$3:$M$33)</f>
        <v>21.711286266821507</v>
      </c>
      <c r="N34" s="12">
        <f>SUMPRODUCT($F$3:$F$33,$N$3:$N$33)</f>
        <v>1.0823737066503027</v>
      </c>
      <c r="O34" s="12">
        <f>SUMPRODUCT($F$3:$F$33,$O$3:$O$33)</f>
        <v>9.5027890773999535E-2</v>
      </c>
      <c r="P34" s="12">
        <f>SUMPRODUCT($F$3:$F$33,$P$3:$P$33)</f>
        <v>6.6210768662028546E-2</v>
      </c>
      <c r="Q34" s="12">
        <f>SUMPRODUCT($F$3:$F$33,$Q$3:$Q$33)</f>
        <v>1.0154604934694535E-2</v>
      </c>
      <c r="R34" s="12">
        <f>SUMPRODUCT($F$3:$F$33,$R$3:$R$33)</f>
        <v>4.4343885411212565</v>
      </c>
      <c r="S34" s="12">
        <f>SUMPRODUCT($F$3:$F$33,$S$3:$S$33)</f>
        <v>0.41626630695828581</v>
      </c>
      <c r="T34" s="12">
        <f>SUMPRODUCT($F$3:$F$33,$T$3:$T$33)</f>
        <v>0.20313603532791519</v>
      </c>
      <c r="U34" s="12">
        <f>SUMPRODUCT($F$3:$F$33,$U$3:$U$33)</f>
        <v>0.16192196333510098</v>
      </c>
      <c r="V34" s="12">
        <f>SUMPRODUCT($F$3:$F$33,$V$3:$V$33)</f>
        <v>0.85730938283113645</v>
      </c>
      <c r="W34" s="12">
        <f>SUMPRODUCT($F$3:$F$33,$W$3:$W$33)</f>
        <v>5.3174451516136922E-2</v>
      </c>
      <c r="X34" s="12">
        <f>SUMPRODUCT($F$3:$F$33,$X$3:$X$33)</f>
        <v>1.4717315935756606E-2</v>
      </c>
      <c r="Y34" s="12">
        <f>SUMPRODUCT($F$3:$F$33,$Y$3:$Y$33)</f>
        <v>7.6560506680738429</v>
      </c>
      <c r="Z34" s="12">
        <f>SUMPRODUCT($F$3:$F$33,$Z$3:$Z$33)</f>
        <v>0.18003840100431401</v>
      </c>
      <c r="AA34" s="12">
        <f>SUMPRODUCT($F$3:$F$33,$AA$3:$AA$33)</f>
        <v>0.10977951280750849</v>
      </c>
      <c r="AB34" s="12">
        <f>SUMPRODUCT($F$3:$F$33,$AB$3:$AB$33)</f>
        <v>104.73149144403504</v>
      </c>
      <c r="AC34" s="12">
        <f>SUMPRODUCT($F$3:$F$33,$AC$3:$AC$33)</f>
        <v>1.5221922220017989</v>
      </c>
      <c r="AD34" s="12">
        <f>SUMPRODUCT($F$3:$F$33,$AD$3:$AD$33)</f>
        <v>19.677669687007576</v>
      </c>
      <c r="AE34" s="12">
        <f>SUMPRODUCT($F$3:$F$33,$AE$3:$AE$33)</f>
        <v>95.692988149447217</v>
      </c>
      <c r="AF34" s="12">
        <f>SUMPRODUCT($F$3:$F$33,$AF$3:$AF$33)</f>
        <v>160.15240165075315</v>
      </c>
      <c r="AG34" s="12">
        <f>SUMPRODUCT($F$3:$F$33,$AG$3:$AG$33)</f>
        <v>136.94108229161887</v>
      </c>
      <c r="AH34" s="12">
        <f>SUMPRODUCT($F$3:$F$33,$AH$3:$AH$33)</f>
        <v>0.58079077962495862</v>
      </c>
      <c r="AI34" s="12">
        <f>SUMPRODUCT($F$3:$F$33,$AI$3:$AI$33)</f>
        <v>8.2520103078746132E-2</v>
      </c>
      <c r="AJ34" s="12">
        <f>SUMPRODUCT($F$3:$F$33,$AJ$3:$AJ$33)</f>
        <v>0.49253905363168238</v>
      </c>
      <c r="AK34" s="12">
        <f>SUMPRODUCT($F$3:$F$33,$AK$3:$AK$33)</f>
        <v>9.4249665213538343</v>
      </c>
      <c r="AL34" s="12">
        <f>SUMPRODUCT($F$3:$F$33,$AL$3:$AL$33)</f>
        <v>4.4987728830290754</v>
      </c>
      <c r="AM34" s="12">
        <f>SUMPRODUCT($F$3:$F$33,$AM$3:$AM$33)</f>
        <v>7.5885088228190245</v>
      </c>
      <c r="AN34" s="12">
        <f>SUMPRODUCT($F$3:$F$33,$AN$3:$AN$33)</f>
        <v>2.6438128801434102</v>
      </c>
      <c r="AO34" s="12">
        <f>SUMPRODUCT($F$3:$F$33,$AO$3:$AO$33)</f>
        <v>0.11731524744003374</v>
      </c>
      <c r="AP34" s="12">
        <f>SUMPRODUCT($F$3:$F$33,$AP$3:$AP$33)</f>
        <v>0.14951253288148256</v>
      </c>
      <c r="AQ34" s="12">
        <f>SUMPRODUCT($F$3:$F$33,$AQ$3:$AQ$33)</f>
        <v>1.0645481537588508</v>
      </c>
      <c r="AR34" s="12">
        <f>SUMPRODUCT($F$3:$F$33,$AR$3:$AR$33)</f>
        <v>7.3054021916208869E-2</v>
      </c>
      <c r="AS34" s="12">
        <f>SUMPRODUCT($F$3:$F$33,$AS$3:$AS$33)</f>
        <v>21.408076029541256</v>
      </c>
      <c r="AT34" s="12">
        <f>SUMPRODUCT($F$3:$F$33,$AT$3:$AT$33)</f>
        <v>10.531972009970344</v>
      </c>
      <c r="AU34" s="12">
        <f>SUMPRODUCT($F$3:$F$33,$AU$3:$AU$33)</f>
        <v>21.389373119937417</v>
      </c>
      <c r="AV34" s="12">
        <f>SUMPRODUCT($F$3:$F$33,$AV$3:$AV$33)</f>
        <v>22.499258155609446</v>
      </c>
      <c r="AW34" s="12">
        <f>SUMPRODUCT($F$3:$F$33,$AW$3:$AW$33)</f>
        <v>0.28831428284337612</v>
      </c>
      <c r="AX34" s="12">
        <f>SUMPRODUCT($F$3:$F$33,$AX$3:$AX$33)</f>
        <v>27.54248362637259</v>
      </c>
      <c r="AY34" s="12">
        <f>SUMPRODUCT($F$3:$F$33,$AY$3:$AY$33)</f>
        <v>14.279241512596212</v>
      </c>
      <c r="AZ34" s="12">
        <f>SUMPRODUCT($F$3:$F$33,$AZ$3:$AZ$33)</f>
        <v>0.64606651114506597</v>
      </c>
      <c r="BA34" s="12">
        <f>SUMPRODUCT($F$3:$F$33,$BA$3:$BA$33)</f>
        <v>5.1543130267259212</v>
      </c>
      <c r="BB34" s="12">
        <f>SUMPRODUCT($F$3:$F$33,$BB$3:$BB$33)</f>
        <v>1.158617764261024</v>
      </c>
      <c r="BC34" s="12">
        <f>SUMPRODUCT($F$3:$F$33,$BC$3:$BC$33)</f>
        <v>6.2977245208895685</v>
      </c>
      <c r="BD34" s="12">
        <f>SUMPRODUCT($F$3:$F$33,$BD$3:$BD$33)</f>
        <v>0.1599807874904185</v>
      </c>
      <c r="BE34" s="12">
        <f>SUMPRODUCT($F$3:$F$33,$BE$3:$BE$33)</f>
        <v>0.33668004334152757</v>
      </c>
      <c r="BF34" s="12">
        <f>SUMPRODUCT($F$3:$F$33,$BF$3:$BF$33)</f>
        <v>0.17153048876173199</v>
      </c>
      <c r="BG34" s="12">
        <f>SUMPRODUCT($F$3:$F$33,$BG$3:$BG$33)</f>
        <v>6.3123219864317379</v>
      </c>
      <c r="BH34" s="12">
        <f>SUMPRODUCT($F$3:$F$33,$BH$3:$BH$33)</f>
        <v>40.037384008232536</v>
      </c>
      <c r="BI34" s="12">
        <f>SUMPRODUCT($F$3:$F$33,$BI$3:$BI$33)</f>
        <v>3.444542372258955</v>
      </c>
      <c r="BJ34" s="12">
        <f>SUMPRODUCT($F$3:$F$33,$BJ$3:$BJ$33)</f>
        <v>0.1372243910093856</v>
      </c>
      <c r="BK34" s="12">
        <f>SUMPRODUCT($F$3:$F$33,$BK$3:$BK$33)</f>
        <v>0.3087548797711176</v>
      </c>
      <c r="BL34" s="12">
        <f>SUMPRODUCT($F$3:$F$33,$BL$3:$BL$33)</f>
        <v>0.28866318464048768</v>
      </c>
      <c r="BM34" s="12">
        <f>SUMPRODUCT($F$3:$F$33,$BM$3:$BM$33)</f>
        <v>25.800807006544776</v>
      </c>
      <c r="BN34" s="12">
        <f>SUMPRODUCT($F$3:$F$33,$BN$3:$BN$33)</f>
        <v>0.32549625547426264</v>
      </c>
      <c r="BO34" s="12">
        <f>SUMPRODUCT($F$3:$F$33,$BO$3:$BO$33)</f>
        <v>0.32050130041432112</v>
      </c>
      <c r="BP34" s="12">
        <f>SUMPRODUCT($F$3:$F$33,$BP$3:$BP$33)</f>
        <v>0</v>
      </c>
      <c r="BQ34" s="12">
        <f>SUMPRODUCT($F$3:$F$33,$BQ$3:$BQ$33)</f>
        <v>0</v>
      </c>
      <c r="BR34" s="12">
        <f>SUMPRODUCT($F$3:$F$33,$BR$3:$BR$33)</f>
        <v>0.21321603932574767</v>
      </c>
      <c r="BS34" s="12">
        <f>SUMPRODUCT($F$3:$F$33,$BS$3:$BS$33)</f>
        <v>0</v>
      </c>
      <c r="BT34" s="12">
        <f>SUMPRODUCT($F$3:$F$33,$BT$3:$BT$33)</f>
        <v>0</v>
      </c>
      <c r="BU34" s="12">
        <f>SUMPRODUCT($F$3:$F$33,$BU$3:$BU$33)</f>
        <v>11.739669161613183</v>
      </c>
      <c r="BV34" s="12">
        <f>SUMPRODUCT($F$3:$F$33,$BV$3:$BV$33)</f>
        <v>12.568783404561625</v>
      </c>
      <c r="BW34" s="12">
        <f>SUMPRODUCT($F$3:$F$33,$BW$3:$BW$33)</f>
        <v>12.592563242794764</v>
      </c>
      <c r="BX34" s="12">
        <f>SUMPRODUCT($F$3:$F$33,$BX$3:$BX$33)</f>
        <v>3.0970004235970716</v>
      </c>
      <c r="BY34" s="12">
        <f>SUMPRODUCT($F$3:$F$33,$BY$3:$BY$33)</f>
        <v>4.9597927078050318E-3</v>
      </c>
      <c r="BZ34" s="12">
        <f>SUMPRODUCT($F$3:$F$33,$BZ$3:$BZ$33)</f>
        <v>1.6949094010864294</v>
      </c>
      <c r="CA34" s="12">
        <f>SUMPRODUCT($F$3:$F$33,$CA$3:$CA$33)</f>
        <v>0.12091598164477806</v>
      </c>
      <c r="CB34" s="12">
        <f>SUMPRODUCT($F$3:$F$33,$CB$3:$CB$33)</f>
        <v>4.9306097752346385E-3</v>
      </c>
      <c r="CC34" s="12">
        <f>SUMPRODUCT($F$3:$F$33,$CC$3:$CC$33)</f>
        <v>2.7444878201877123E-3</v>
      </c>
      <c r="CD34" s="12">
        <f>SUMPRODUCT($F$3:$F$33,$CD$3:$CD$33)</f>
        <v>0</v>
      </c>
      <c r="CE34" s="12">
        <f>SUMPRODUCT($F$3:$F$33,$CE$3:$CE$33)</f>
        <v>4.9999999999999958E-4</v>
      </c>
      <c r="CF34" s="12">
        <f>SUMPRODUCT($F$3:$F$33,$CF$3:$CF$33)</f>
        <v>0.30189366022064829</v>
      </c>
      <c r="CG34" s="12">
        <f>SUMPRODUCT($F$3:$F$33,$CG$3:$CG$33)</f>
        <v>0</v>
      </c>
      <c r="CH34" s="12">
        <f>SUMPRODUCT($F$3:$F$33,$CH$3:$CH$33)</f>
        <v>3.4815900932125929</v>
      </c>
      <c r="CI34" s="12">
        <f>SUMPRODUCT($F$3:$F$33,$CI$3:$CI$33)</f>
        <v>0.45078555819092403</v>
      </c>
      <c r="CJ34" s="12">
        <f>SUMPRODUCT($F$3:$F$33,$CJ$3:$CJ$33)</f>
        <v>16.750005291118065</v>
      </c>
      <c r="CK34" s="12">
        <f>SUMPRODUCT($F$3:$F$33,$CK$3:$CK$33)</f>
        <v>0.26804612168003067</v>
      </c>
      <c r="CL34" s="12">
        <f>SUMPRODUCT($F$3:$F$33,$CL$3:$CL$33)</f>
        <v>1.5099268603149705</v>
      </c>
      <c r="CM34" s="12">
        <f>SUMPRODUCT($F$3:$F$33,$CM$3:$CM$33)</f>
        <v>0.20192492448975968</v>
      </c>
      <c r="CN34" s="12">
        <f>SUMPRODUCT($F$3:$F$33,$CN$3:$CN$33)</f>
        <v>1.4966899817828871</v>
      </c>
      <c r="CO34" s="12">
        <f>SUMPRODUCT($F$3:$F$33,$CO$3:$CO$33)</f>
        <v>0</v>
      </c>
      <c r="CP34" s="12">
        <f>SUMPRODUCT($F$3:$F$33,$CP$3:$CP$33)</f>
        <v>0</v>
      </c>
      <c r="CQ34" s="12">
        <f>SUMPRODUCT($F$3:$F$33,$CQ$3:$CQ$33)</f>
        <v>1.9037061052783504</v>
      </c>
      <c r="CR34" s="12">
        <f>SUMPRODUCT($F$3:$F$33,$CR$3:$CR$33)</f>
        <v>4.0836669807233408</v>
      </c>
      <c r="CS34" s="12">
        <f>SUMPRODUCT($F$3:$F$33,$CS$3:$CS$33)</f>
        <v>1.8287767790768903</v>
      </c>
      <c r="CT34" s="12">
        <f>SUMPRODUCT($F$3:$F$33,$CT$3:$CT$33)</f>
        <v>3.9270169621085087E-2</v>
      </c>
      <c r="CU34" s="12">
        <f>SUMPRODUCT($F$3:$F$33,$CU$3:$CU$33)</f>
        <v>27.014973471885806</v>
      </c>
      <c r="CV34" s="12">
        <f>SUMPRODUCT($F$3:$F$33,$CV$3:$CV$33)</f>
        <v>2.9526915274467026E-2</v>
      </c>
      <c r="CW34" s="12">
        <f>SUMPRODUCT($F$3:$F$33,$CW$3:$CW$33)</f>
        <v>2.4151492817651866E-2</v>
      </c>
      <c r="CX34" s="12">
        <f>SUMPRODUCT($F$3:$F$33,$CX$3:$CX$33)</f>
        <v>9.0568098066194508E-3</v>
      </c>
      <c r="CY34" s="12">
        <f>SUMPRODUCT($F$3:$F$33,$CY$3:$CY$33)</f>
        <v>3.5206393404020209E-2</v>
      </c>
      <c r="CZ34" s="12">
        <f>SUMPRODUCT($F$3:$F$33,$CZ$3:$CZ$33)</f>
        <v>4.1424134207307714E-2</v>
      </c>
      <c r="DA34" s="12">
        <f>SUMPRODUCT($F$3:$F$33,$DA$3:$DA$33)</f>
        <v>0.13677181588369794</v>
      </c>
      <c r="DB34" s="12">
        <f>SUMPRODUCT($F$3:$F$33,$DB$3:$DB$33)</f>
        <v>0.92479127865024358</v>
      </c>
      <c r="DC34" s="12">
        <f>SUMPRODUCT($F$3:$F$33,$DC$3:$DC$33)</f>
        <v>0.31656696964503023</v>
      </c>
      <c r="DD34" s="12">
        <f>SUMPRODUCT($F$3:$F$33,$DD$3:$DD$33)</f>
        <v>3.391752795912692E-2</v>
      </c>
      <c r="DE34" s="12">
        <f>SUMPRODUCT($F$3:$F$33,$DE$3:$DE$33)</f>
        <v>3.4488822999333384</v>
      </c>
      <c r="DF34" s="12">
        <f>SUMPRODUCT($F$3:$F$33,$DF$3:$DF$33)</f>
        <v>1.0921723930415361</v>
      </c>
      <c r="DG34" s="12">
        <f>SUMPRODUCT($F$3:$F$33,$DG$3:$DG$33)</f>
        <v>0.47211381704886157</v>
      </c>
      <c r="DH34" s="12">
        <f>SUMPRODUCT($F$3:$F$33,$DH$3:$DH$33)</f>
        <v>9.2626463931335279E-4</v>
      </c>
      <c r="DI34" s="12">
        <f>SUMPRODUCT($F$3:$F$33,$DI$3:$DI$33)</f>
        <v>0</v>
      </c>
      <c r="DJ34" s="12">
        <f>SUMPRODUCT($F$3:$F$33,$DJ$3:$DJ$33)</f>
        <v>1.756520433521034E-2</v>
      </c>
      <c r="DK34" s="12">
        <f>SUMPRODUCT($F$3:$F$33,$DK$3:$DK$33)</f>
        <v>0</v>
      </c>
      <c r="DL34" s="12">
        <f>SUMPRODUCT($F$3:$F$33,$DL$3:$DL$33)</f>
        <v>1.2257988801477295E-2</v>
      </c>
      <c r="DM34" s="12">
        <f>SUMPRODUCT($F$3:$F$33,$DM$3:$DM$33)</f>
        <v>3.4306097752346399E-5</v>
      </c>
      <c r="DN34" s="12">
        <f>SUMPRODUCT($F$3:$F$33,$DN$3:$DN$33)</f>
        <v>7.0116731730281517E-2</v>
      </c>
      <c r="DO34" s="12">
        <f>SUMPRODUCT($F$3:$F$33,$DO$3:$DO$33)</f>
        <v>2.0583658651407842E-4</v>
      </c>
      <c r="DP34" s="12">
        <f>SUMPRODUCT($F$3:$F$33,$DP$3:$DP$33)</f>
        <v>1.0291829325703921E-4</v>
      </c>
      <c r="DQ34" s="12">
        <f>SUMPRODUCT($F$3:$F$33,$DQ$3:$DQ$33)</f>
        <v>3.4306097752346404E-4</v>
      </c>
      <c r="DR34" s="12">
        <f>SUMPRODUCT($F$3:$F$33,$DR$3:$DR$33)</f>
        <v>0</v>
      </c>
      <c r="DS34" s="12">
        <f>SUMPRODUCT($F$3:$F$33,$DS$3:$DS$33)</f>
        <v>0</v>
      </c>
      <c r="DT34" s="12">
        <f>SUMPRODUCT($F$3:$F$33,$DT$3:$DT$33)</f>
        <v>0</v>
      </c>
      <c r="DU34" s="12">
        <f>SUMPRODUCT($F$3:$F$33,$DU$3:$DU$33)</f>
        <v>6.8612195504692797E-5</v>
      </c>
      <c r="DV34" s="12">
        <f>SUMPRODUCT($F$3:$F$33,$DV$3:$DV$33)</f>
        <v>6.2313595957362005E-3</v>
      </c>
      <c r="DW34" s="12">
        <f>SUMPRODUCT($F$3:$F$33,$DW$3:$DW$33)</f>
        <v>5.7128330764182117E-3</v>
      </c>
      <c r="DX34" s="12">
        <f>SUMPRODUCT($F$3:$F$33,$DX$3:$DX$33)</f>
        <v>4.6347538063419986E-4</v>
      </c>
      <c r="DY34" s="12">
        <f>SUMPRODUCT($F$3:$F$33,$DY$3:$DY$33)</f>
        <v>1.6123865943602808E-3</v>
      </c>
      <c r="DZ34" s="12">
        <f>SUMPRODUCT($F$3:$F$33,$DZ$3:$DZ$33)</f>
        <v>1.5696274923093965E-2</v>
      </c>
      <c r="EA34" s="12">
        <f>SUMPRODUCT($F$3:$F$33,$EA$3:$EA$33)</f>
        <v>0</v>
      </c>
      <c r="EB34" s="12">
        <f>SUMPRODUCT($F$3:$F$33,$EB$3:$EB$33)</f>
        <v>3.439014769183965E-3</v>
      </c>
      <c r="EC34" s="12">
        <f>SUMPRODUCT($F$3:$F$33,$EC$3:$EC$33)</f>
        <v>1.8249999999999985E-2</v>
      </c>
      <c r="ED34" s="12">
        <f>SUMPRODUCT($F$3:$F$33,$ED$3:$ED$33)</f>
        <v>2.5043451359212871E-3</v>
      </c>
      <c r="EE34" s="12">
        <f>SUMPRODUCT($F$3:$F$33,$EE$3:$EE$33)</f>
        <v>0</v>
      </c>
      <c r="EF34" s="12">
        <f>SUMPRODUCT($F$3:$F$33,$EF$3:$EF$33)</f>
        <v>8.7892222441511477E-5</v>
      </c>
      <c r="EG34" s="12">
        <f>SUMPRODUCT($F$3:$F$33,$EG$3:$EG$33)</f>
        <v>3.1892882283163712E-2</v>
      </c>
      <c r="EH34" s="12">
        <f>SUMPRODUCT($F$3:$F$33,$EH$3:$EH$33)</f>
        <v>3.5860343796471508</v>
      </c>
      <c r="EI34" s="12">
        <f>SUMPRODUCT($F$3:$F$33,$EI$3:$EI$33)</f>
        <v>1.1680698030671732</v>
      </c>
      <c r="EJ34" s="12">
        <f>SUMPRODUCT($F$3:$F$33,$EJ$3:$EJ$33)</f>
        <v>6.8612195504692797E-5</v>
      </c>
      <c r="EK34" s="12">
        <f>SUMPRODUCT($F$3:$F$33,$EK$3:$EK$33)</f>
        <v>6.8612195504692797E-5</v>
      </c>
      <c r="EL34" s="12">
        <f>SUMPRODUCT($F$3:$F$33,$EL$3:$EL$33)</f>
        <v>0</v>
      </c>
      <c r="EM34" s="12">
        <f>SUMPRODUCT($F$3:$F$33,$EM$3:$EM$33)</f>
        <v>4.2882622190433005E-5</v>
      </c>
      <c r="EN34" s="12">
        <f>SUMPRODUCT($F$3:$F$33,$EN$3:$EN$33)</f>
        <v>0</v>
      </c>
      <c r="EO34" s="12">
        <f>SUMPRODUCT($F$3:$F$33,$EO$3:$EO$33)</f>
        <v>0</v>
      </c>
      <c r="EP34" s="12">
        <f>SUMPRODUCT($F$3:$F$33,$EP$3:$EP$33)</f>
        <v>6.2557746731114203E-4</v>
      </c>
      <c r="EQ34" s="12">
        <f>SUMPRODUCT($F$3:$F$33,$EQ$3:$EQ$33)</f>
        <v>1.1406777502655178E-3</v>
      </c>
      <c r="ER34" s="12">
        <f>SUMPRODUCT($F$3:$F$33,$ER$3:$ER$33)</f>
        <v>0</v>
      </c>
      <c r="ES34" s="12">
        <f>SUMPRODUCT($F$3:$F$33,$ES$3:$ES$33)</f>
        <v>1.765172249497771E-2</v>
      </c>
      <c r="ET34" s="12">
        <f>SUMPRODUCT($F$3:$F$33,$ET$3:$ET$33)</f>
        <v>3.3963036774822936E-3</v>
      </c>
      <c r="EU34" s="12">
        <f>SUMPRODUCT($F$3:$F$33,$EU$3:$EU$33)</f>
        <v>1.8284306097752331E-2</v>
      </c>
      <c r="EV34" s="12">
        <f>SUMPRODUCT($F$3:$F$33,$EV$3:$EV$33)</f>
        <v>0</v>
      </c>
      <c r="EW34" s="12">
        <f>SUMPRODUCT($F$3:$F$33,$EW$3:$EW$33)</f>
        <v>0</v>
      </c>
      <c r="EX34" s="12">
        <f>SUMPRODUCT($F$3:$F$33,$EX$3:$EX$33)</f>
        <v>0</v>
      </c>
      <c r="EY34" s="12">
        <f>SUMPRODUCT($F$3:$F$33,$EY$3:$EY$33)</f>
        <v>0</v>
      </c>
      <c r="EZ34" s="12">
        <f>SUMPRODUCT($F$3:$F$33,$EZ$3:$EZ$33)</f>
        <v>3.0875487977111762E-4</v>
      </c>
      <c r="FA34" s="12">
        <f>SUMPRODUCT($F$3:$F$33,$FA$3:$FA$33)</f>
        <v>5.557587835880117E-3</v>
      </c>
      <c r="FB34" s="12">
        <f>SUMPRODUCT($F$3:$F$33,$FB$3:$FB$33)</f>
        <v>1.1406777502655178E-3</v>
      </c>
      <c r="FC34" s="12">
        <f>SUMPRODUCT($F$3:$F$33,$FC$3:$FC$33)</f>
        <v>2.1504777376058341E-3</v>
      </c>
      <c r="FD34" s="12">
        <f>SUMPRODUCT($F$3:$F$33,$FD$3:$FD$33)</f>
        <v>0</v>
      </c>
      <c r="FE34" s="12">
        <f>SUMPRODUCT($F$3:$F$33,$FE$3:$FE$33)</f>
        <v>0.22599405665834785</v>
      </c>
      <c r="FF34" s="12">
        <f>SUMPRODUCT($F$3:$F$33,$FF$3:$FF$33)</f>
        <v>4.2711091701671272E-5</v>
      </c>
      <c r="FG34" s="12">
        <f>SUMPRODUCT($F$3:$F$33,$FG$3:$FG$33)</f>
        <v>1.9927045715225036E-2</v>
      </c>
      <c r="FH34" s="12">
        <f>SUMPRODUCT($F$3:$F$33,$FH$3:$FH$33)</f>
        <v>3.4306097752346399E-5</v>
      </c>
      <c r="FI34" s="12">
        <f>SUMPRODUCT($F$3:$F$33,$FI$3:$FI$33)</f>
        <v>1.7268547110378468E-3</v>
      </c>
      <c r="FJ34" s="12">
        <f>SUMPRODUCT($F$3:$F$33,$FJ$3:$FJ$33)</f>
        <v>7.890402483039672E-4</v>
      </c>
      <c r="FK34" s="12">
        <f>SUMPRODUCT($F$3:$F$33,$FK$3:$FK$33)</f>
        <v>2.0583658651407842E-4</v>
      </c>
      <c r="FL34" s="12">
        <f>SUMPRODUCT($F$3:$F$33,$FL$3:$FL$33)</f>
        <v>3.4306097752346404E-4</v>
      </c>
      <c r="FM34" s="12">
        <f>SUMPRODUCT($F$3:$F$33,$FM$3:$FM$33)</f>
        <v>0</v>
      </c>
      <c r="FN34" s="12">
        <f>SUMPRODUCT($F$3:$F$33,$FN$3:$FN$33)</f>
        <v>8.7892222441511477E-5</v>
      </c>
      <c r="FO34" s="12">
        <f>SUMPRODUCT($F$3:$F$33,$FO$3:$FO$33)</f>
        <v>0.47645782667675246</v>
      </c>
      <c r="FP34" s="12">
        <f>SUMPRODUCT($F$3:$F$33,$FP$3:$FP$33)</f>
        <v>0</v>
      </c>
      <c r="FQ34" s="12">
        <f>SUMPRODUCT($F$3:$F$33,$FQ$3:$FQ$33)</f>
        <v>1.7268547110378468E-3</v>
      </c>
      <c r="FR34" s="12">
        <f>SUMPRODUCT($F$3:$F$33,$FR$3:$FR$33)</f>
        <v>1.3722439100938559E-4</v>
      </c>
      <c r="FS34" s="12">
        <f>SUMPRODUCT($F$3:$F$33,$FS$3:$FS$33)</f>
        <v>0</v>
      </c>
      <c r="FT34" s="12">
        <f>SUMPRODUCT($F$3:$F$33,$FT$3:$FT$33)</f>
        <v>3.2552954561976773E-2</v>
      </c>
      <c r="FU34" s="12">
        <f>SUMPRODUCT($F$3:$F$33,$FU$3:$FU$33)</f>
        <v>0.10249116126629738</v>
      </c>
      <c r="FV34" s="12">
        <f>SUMPRODUCT($F$3:$F$33,$FV$3:$FV$33)</f>
        <v>0.11152442819658438</v>
      </c>
      <c r="FW34" s="12">
        <f>SUMPRODUCT($F$3:$F$33,$FW$3:$FW$33)</f>
        <v>0.20866352158708121</v>
      </c>
      <c r="FX34" s="12">
        <f>SUMPRODUCT($F$3:$F$33,$FX$3:$FX$33)</f>
        <v>0.1497354879388432</v>
      </c>
      <c r="FY34" s="12">
        <f>SUMPRODUCT($F$3:$F$33,$FY$3:$FY$33)</f>
        <v>6.0468097665713823E-2</v>
      </c>
      <c r="FZ34" s="12">
        <f>SUMPRODUCT($F$3:$F$33,$FZ$3:$FZ$33)</f>
        <v>0.11769062930577956</v>
      </c>
      <c r="GA34" s="12">
        <f>SUMPRODUCT($F$3:$F$33,$GA$3:$GA$33)</f>
        <v>9.0964986682338128E-2</v>
      </c>
      <c r="GB34" s="12">
        <f>SUMPRODUCT($F$3:$F$33,$GB$3:$GB$33)</f>
        <v>0.13269145871955162</v>
      </c>
      <c r="GC34" s="12">
        <f>SUMPRODUCT($F$3:$F$33,$GC$3:$GC$33)</f>
        <v>0.14003332148152542</v>
      </c>
      <c r="GD34" s="12">
        <f>SUMPRODUCT($F$3:$F$33,$GD$3:$GD$33)</f>
        <v>6.0025094640109342E-2</v>
      </c>
      <c r="GE34" s="12">
        <f>SUMPRODUCT($F$3:$F$33,$GE$3:$GE$33)</f>
        <v>0.1095448056639967</v>
      </c>
      <c r="GF34" s="12">
        <f>SUMPRODUCT($F$3:$F$33,$GF$3:$GF$33)</f>
        <v>0.23384269962065823</v>
      </c>
      <c r="GG34" s="12">
        <f>SUMPRODUCT($F$3:$F$33,$GG$3:$GG$33)</f>
        <v>0.41620996686597611</v>
      </c>
      <c r="GH34" s="12">
        <f>SUMPRODUCT($F$3:$F$33,$GH$3:$GH$33)</f>
        <v>7.8398505329569934E-2</v>
      </c>
      <c r="GI34" s="12">
        <f>SUMPRODUCT($F$3:$F$33,$GI$3:$GI$33)</f>
        <v>0.15923982780266088</v>
      </c>
      <c r="GJ34" s="12">
        <f>SUMPRODUCT($F$3:$F$33,$GJ$3:$GJ$33)</f>
        <v>0.13536899210972825</v>
      </c>
      <c r="GK34" s="12">
        <f>SUMPRODUCT($F$3:$F$33,$GK$3:$GK$33)</f>
        <v>0</v>
      </c>
      <c r="GL34" s="12">
        <f>SUMPRODUCT($F$3:$F$33,$GL$3:$GL$33)</f>
        <v>4.8769982036193767E-2</v>
      </c>
      <c r="GM34" s="12">
        <f>SUMPRODUCT($F$3:$F$33,$GM$3:$GM$33)</f>
        <v>0.36957446816462936</v>
      </c>
      <c r="GN34" s="12">
        <f>SUMPRODUCT($F$3:$F$33,$GN$3:$GN$33)</f>
        <v>20.912441647805434</v>
      </c>
      <c r="GO34" s="12">
        <f>SUMPRODUCT($F$3:$F$33,$GO$3:$GO$33)</f>
        <v>12.149487683481794</v>
      </c>
      <c r="GP34" s="12">
        <f>SUMPRODUCT($F$3:$F$33,$GP$3:$GP$33)</f>
        <v>0.24502789077399942</v>
      </c>
      <c r="GQ34" s="12">
        <f>SUMPRODUCT($F$3:$F$33,$GQ$3:$GQ$33)</f>
        <v>0</v>
      </c>
      <c r="GR34" s="12">
        <f>SUMPRODUCT($F$3:$F$33,$GR$3:$GR$33)</f>
        <v>1.8010701319981861E-2</v>
      </c>
      <c r="GS34" s="12">
        <f>SUMPRODUCT($F$3:$F$33,$GS$3:$GS$33)</f>
        <v>3.5678341662440258E-2</v>
      </c>
      <c r="GT34" s="12">
        <f>SUMPRODUCT($F$3:$F$33,$GT$3:$GT$33)</f>
        <v>50.189821011682781</v>
      </c>
      <c r="GU34" s="12">
        <f>SUMPRODUCT($F$3:$F$33,$GU$3:$GU$33)</f>
        <v>11.012257378503193</v>
      </c>
      <c r="GV34" s="12">
        <f>SUMPRODUCT($F$3:$F$33,$GV$3:$GV$33)</f>
        <v>0</v>
      </c>
      <c r="GW34" s="12">
        <f>SUMPRODUCT($F$3:$F$33,$GW$3:$GW$33)</f>
        <v>0.42196500235386075</v>
      </c>
      <c r="GX34" s="12">
        <f>SUMPRODUCT($F$3:$F$33,$GX$3:$GX$33)</f>
        <v>8.9881976111147574E-4</v>
      </c>
      <c r="GY34" s="12">
        <f>SUMPRODUCT($F$3:$F$33,$GY$3:$GY$33)</f>
        <v>2.5516875508195258E-3</v>
      </c>
      <c r="GZ34" s="12">
        <f>SUMPRODUCT($F$3:$F$33,$GZ$3:$GZ$33)</f>
        <v>1.5146142157660936E-2</v>
      </c>
      <c r="HA34" s="12">
        <f>SUMPRODUCT($F$3:$F$33,$HA$3:$HA$33)</f>
        <v>0.71562519911394595</v>
      </c>
      <c r="HB34" s="12">
        <f>SUMPRODUCT($F$3:$F$33,$HB$3:$HB$33)</f>
        <v>1.1492542747036043</v>
      </c>
      <c r="HC34" s="12">
        <f>SUMPRODUCT($F$3:$F$33,$HC$3:$HC$33)</f>
        <v>5.9143712525045203E-2</v>
      </c>
      <c r="HD34" s="12">
        <f>SUMPRODUCT($F$3:$F$33,$HD$3:$HD$33)</f>
        <v>2.0446434260398456E-2</v>
      </c>
      <c r="HE34" s="12">
        <f>SUMPRODUCT($F$3:$F$33,$HE$3:$HE$33)</f>
        <v>2.1132556215445381E-2</v>
      </c>
      <c r="HF34" s="12">
        <f>SUMPRODUCT($F$3:$F$33,$HF$3:$HF$33)</f>
        <v>0</v>
      </c>
      <c r="HG34" s="12">
        <f>SUMPRODUCT($F$3:$F$33,$HG$3:$HG$33)</f>
        <v>3.0101087904811422E-2</v>
      </c>
      <c r="HH34" s="12">
        <f>SUMPRODUCT($F$3:$F$33,$HH$3:$HH$33)</f>
        <v>5.7915124796074604</v>
      </c>
      <c r="HI34" s="12">
        <f>SUMPRODUCT($F$3:$F$33,$HI$3:$HI$33)</f>
        <v>0.6987752549331222</v>
      </c>
      <c r="HJ34" s="12">
        <f>SUMPRODUCT($F$3:$F$33,$HJ$3:$HJ$33)</f>
        <v>3.6879055083772379E-3</v>
      </c>
      <c r="HK34" s="12">
        <f>SUMPRODUCT($F$3:$F$33,$HK$3:$HK$33)</f>
        <v>9.6400134684093385E-3</v>
      </c>
    </row>
  </sheetData>
  <mergeCells count="12">
    <mergeCell ref="A1:F1"/>
    <mergeCell ref="HA1:HE1"/>
    <mergeCell ref="GM1:GS1"/>
    <mergeCell ref="G1:M1"/>
    <mergeCell ref="AB1:AN1"/>
    <mergeCell ref="FT1:GL1"/>
    <mergeCell ref="HF1:HK1"/>
    <mergeCell ref="GX1:GZ1"/>
    <mergeCell ref="N1:AA1"/>
    <mergeCell ref="CQ1:FS1"/>
    <mergeCell ref="GT1:GW1"/>
    <mergeCell ref="AO1:CP1"/>
  </mergeCells>
  <conditionalFormatting sqref="A2:XFD2">
    <cfRule type="duplicateValues" dxfId="0" priority="1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4"/>
  <sheetViews>
    <sheetView workbookViewId="0"/>
  </sheetViews>
  <sheetFormatPr baseColWidth="10" defaultColWidth="8.88671875" defaultRowHeight="14.4" x14ac:dyDescent="0.3"/>
  <sheetData>
    <row r="1" spans="1:3" x14ac:dyDescent="0.3">
      <c r="A1" s="7" t="s">
        <v>270</v>
      </c>
      <c r="B1" s="7" t="s">
        <v>267</v>
      </c>
      <c r="C1" s="7" t="s">
        <v>271</v>
      </c>
    </row>
    <row r="2" spans="1:3" x14ac:dyDescent="0.3">
      <c r="A2" t="s">
        <v>272</v>
      </c>
      <c r="B2">
        <f>Ingredientes!G34</f>
        <v>63.29454882928195</v>
      </c>
      <c r="C2" t="s">
        <v>273</v>
      </c>
    </row>
    <row r="3" spans="1:3" x14ac:dyDescent="0.3">
      <c r="A3" t="s">
        <v>274</v>
      </c>
      <c r="B3">
        <f>Ingredientes!H34</f>
        <v>190.44781085310291</v>
      </c>
      <c r="C3" t="s">
        <v>275</v>
      </c>
    </row>
    <row r="4" spans="1:3" x14ac:dyDescent="0.3">
      <c r="A4" t="s">
        <v>276</v>
      </c>
      <c r="B4">
        <f>Ingredientes!I34</f>
        <v>4.4216015627536258</v>
      </c>
      <c r="C4" t="s">
        <v>273</v>
      </c>
    </row>
    <row r="5" spans="1:3" x14ac:dyDescent="0.3">
      <c r="A5" t="s">
        <v>277</v>
      </c>
      <c r="B5">
        <f>Ingredientes!J34</f>
        <v>9.4123697336604621</v>
      </c>
      <c r="C5" t="s">
        <v>273</v>
      </c>
    </row>
    <row r="6" spans="1:3" x14ac:dyDescent="0.3">
      <c r="A6" t="s">
        <v>278</v>
      </c>
      <c r="B6">
        <f>Ingredientes!K34</f>
        <v>9.5462510594224845</v>
      </c>
      <c r="C6" t="s">
        <v>273</v>
      </c>
    </row>
    <row r="7" spans="1:3" x14ac:dyDescent="0.3">
      <c r="A7" t="s">
        <v>279</v>
      </c>
      <c r="B7">
        <f>Ingredientes!L34</f>
        <v>0.87985355397631448</v>
      </c>
      <c r="C7" t="s">
        <v>273</v>
      </c>
    </row>
    <row r="8" spans="1:3" x14ac:dyDescent="0.3">
      <c r="A8" t="s">
        <v>280</v>
      </c>
      <c r="B8">
        <f>Ingredientes!M34</f>
        <v>21.711286266821507</v>
      </c>
      <c r="C8" t="s">
        <v>273</v>
      </c>
    </row>
    <row r="9" spans="1:3" x14ac:dyDescent="0.3">
      <c r="A9" t="s">
        <v>281</v>
      </c>
      <c r="B9">
        <f>Ingredientes!N34</f>
        <v>1.0823737066503027</v>
      </c>
      <c r="C9" t="s">
        <v>273</v>
      </c>
    </row>
    <row r="10" spans="1:3" x14ac:dyDescent="0.3">
      <c r="A10" t="s">
        <v>282</v>
      </c>
      <c r="B10">
        <f>Ingredientes!O34</f>
        <v>9.5027890773999535E-2</v>
      </c>
      <c r="C10" t="s">
        <v>273</v>
      </c>
    </row>
    <row r="11" spans="1:3" x14ac:dyDescent="0.3">
      <c r="A11" t="s">
        <v>283</v>
      </c>
      <c r="B11">
        <f>Ingredientes!P34</f>
        <v>6.6210768662028546E-2</v>
      </c>
      <c r="C11" t="s">
        <v>273</v>
      </c>
    </row>
    <row r="12" spans="1:3" x14ac:dyDescent="0.3">
      <c r="A12" t="s">
        <v>284</v>
      </c>
      <c r="B12">
        <f>Ingredientes!Q34</f>
        <v>1.0154604934694535E-2</v>
      </c>
      <c r="C12" t="s">
        <v>273</v>
      </c>
    </row>
    <row r="13" spans="1:3" x14ac:dyDescent="0.3">
      <c r="A13" t="s">
        <v>285</v>
      </c>
      <c r="B13">
        <f>Ingredientes!R34</f>
        <v>4.4343885411212565</v>
      </c>
      <c r="C13" t="s">
        <v>273</v>
      </c>
    </row>
    <row r="14" spans="1:3" x14ac:dyDescent="0.3">
      <c r="A14" t="s">
        <v>286</v>
      </c>
      <c r="B14">
        <f>Ingredientes!S34</f>
        <v>0.41626630695828581</v>
      </c>
      <c r="C14" t="s">
        <v>273</v>
      </c>
    </row>
    <row r="15" spans="1:3" x14ac:dyDescent="0.3">
      <c r="A15" t="s">
        <v>287</v>
      </c>
      <c r="B15">
        <f>Ingredientes!T34</f>
        <v>0.20313603532791519</v>
      </c>
      <c r="C15" t="s">
        <v>273</v>
      </c>
    </row>
    <row r="16" spans="1:3" x14ac:dyDescent="0.3">
      <c r="A16" t="s">
        <v>288</v>
      </c>
      <c r="B16">
        <f>Ingredientes!U34</f>
        <v>0.16192196333510098</v>
      </c>
      <c r="C16" t="s">
        <v>273</v>
      </c>
    </row>
    <row r="17" spans="1:3" x14ac:dyDescent="0.3">
      <c r="A17" t="s">
        <v>289</v>
      </c>
      <c r="B17">
        <f>Ingredientes!V34</f>
        <v>0.85730938283113645</v>
      </c>
      <c r="C17" t="s">
        <v>273</v>
      </c>
    </row>
    <row r="18" spans="1:3" x14ac:dyDescent="0.3">
      <c r="A18" t="s">
        <v>290</v>
      </c>
      <c r="B18">
        <f>Ingredientes!W34</f>
        <v>5.3174451516136922E-2</v>
      </c>
      <c r="C18" t="s">
        <v>273</v>
      </c>
    </row>
    <row r="19" spans="1:3" x14ac:dyDescent="0.3">
      <c r="A19" t="s">
        <v>291</v>
      </c>
      <c r="B19">
        <f>Ingredientes!X34</f>
        <v>1.4717315935756606E-2</v>
      </c>
      <c r="C19" t="s">
        <v>273</v>
      </c>
    </row>
    <row r="20" spans="1:3" x14ac:dyDescent="0.3">
      <c r="A20" t="s">
        <v>292</v>
      </c>
      <c r="B20">
        <f>Ingredientes!Y34</f>
        <v>7.6560506680738429</v>
      </c>
      <c r="C20" t="s">
        <v>273</v>
      </c>
    </row>
    <row r="21" spans="1:3" x14ac:dyDescent="0.3">
      <c r="A21" t="s">
        <v>293</v>
      </c>
      <c r="B21">
        <f>Ingredientes!Z34</f>
        <v>0.18003840100431401</v>
      </c>
      <c r="C21" t="s">
        <v>273</v>
      </c>
    </row>
    <row r="22" spans="1:3" x14ac:dyDescent="0.3">
      <c r="A22" t="s">
        <v>294</v>
      </c>
      <c r="B22">
        <f>Ingredientes!AA34</f>
        <v>0.10977951280750849</v>
      </c>
      <c r="C22" t="s">
        <v>273</v>
      </c>
    </row>
    <row r="23" spans="1:3" x14ac:dyDescent="0.3">
      <c r="A23" t="s">
        <v>295</v>
      </c>
      <c r="B23">
        <f>Ingredientes!AB34</f>
        <v>104.73149144403504</v>
      </c>
      <c r="C23" t="s">
        <v>296</v>
      </c>
    </row>
    <row r="24" spans="1:3" x14ac:dyDescent="0.3">
      <c r="A24" t="s">
        <v>297</v>
      </c>
      <c r="B24">
        <f>Ingredientes!AC34</f>
        <v>1.5221922220017989</v>
      </c>
      <c r="C24" t="s">
        <v>296</v>
      </c>
    </row>
    <row r="25" spans="1:3" x14ac:dyDescent="0.3">
      <c r="A25" t="s">
        <v>298</v>
      </c>
      <c r="B25">
        <f>Ingredientes!AD34</f>
        <v>19.677669687007576</v>
      </c>
      <c r="C25" t="s">
        <v>296</v>
      </c>
    </row>
    <row r="26" spans="1:3" x14ac:dyDescent="0.3">
      <c r="A26" t="s">
        <v>299</v>
      </c>
      <c r="B26">
        <f>Ingredientes!AE34</f>
        <v>95.692988149447217</v>
      </c>
      <c r="C26" t="s">
        <v>296</v>
      </c>
    </row>
    <row r="27" spans="1:3" x14ac:dyDescent="0.3">
      <c r="A27" t="s">
        <v>300</v>
      </c>
      <c r="B27">
        <f>Ingredientes!AF34</f>
        <v>160.15240165075315</v>
      </c>
      <c r="C27" t="s">
        <v>296</v>
      </c>
    </row>
    <row r="28" spans="1:3" x14ac:dyDescent="0.3">
      <c r="A28" t="s">
        <v>301</v>
      </c>
      <c r="B28">
        <f>Ingredientes!AG34</f>
        <v>136.94108229161887</v>
      </c>
      <c r="C28" t="s">
        <v>296</v>
      </c>
    </row>
    <row r="29" spans="1:3" x14ac:dyDescent="0.3">
      <c r="A29" t="s">
        <v>302</v>
      </c>
      <c r="B29">
        <f>Ingredientes!AH34</f>
        <v>0.58079077962495862</v>
      </c>
      <c r="C29" t="s">
        <v>296</v>
      </c>
    </row>
    <row r="30" spans="1:3" x14ac:dyDescent="0.3">
      <c r="A30" t="s">
        <v>303</v>
      </c>
      <c r="B30">
        <f>Ingredientes!AI34</f>
        <v>8.2520103078746132E-2</v>
      </c>
      <c r="C30" t="s">
        <v>296</v>
      </c>
    </row>
    <row r="31" spans="1:3" x14ac:dyDescent="0.3">
      <c r="A31" t="s">
        <v>304</v>
      </c>
      <c r="B31">
        <f>Ingredientes!AJ34</f>
        <v>0.49253905363168238</v>
      </c>
      <c r="C31" t="s">
        <v>296</v>
      </c>
    </row>
    <row r="32" spans="1:3" x14ac:dyDescent="0.3">
      <c r="A32" t="s">
        <v>305</v>
      </c>
      <c r="B32">
        <f>Ingredientes!AK34</f>
        <v>9.4249665213538343</v>
      </c>
      <c r="C32" t="s">
        <v>306</v>
      </c>
    </row>
    <row r="33" spans="1:3" x14ac:dyDescent="0.3">
      <c r="A33" t="s">
        <v>307</v>
      </c>
      <c r="B33">
        <f>Ingredientes!AL34</f>
        <v>4.4987728830290754</v>
      </c>
      <c r="C33" t="s">
        <v>306</v>
      </c>
    </row>
    <row r="34" spans="1:3" x14ac:dyDescent="0.3">
      <c r="A34" t="s">
        <v>308</v>
      </c>
      <c r="B34">
        <f>Ingredientes!AM34</f>
        <v>7.5885088228190245</v>
      </c>
      <c r="C34" t="s">
        <v>306</v>
      </c>
    </row>
    <row r="35" spans="1:3" x14ac:dyDescent="0.3">
      <c r="A35" t="s">
        <v>309</v>
      </c>
      <c r="B35">
        <f>Ingredientes!AN34</f>
        <v>2.6438128801434102</v>
      </c>
      <c r="C35" t="s">
        <v>306</v>
      </c>
    </row>
    <row r="36" spans="1:3" x14ac:dyDescent="0.3">
      <c r="A36" t="s">
        <v>310</v>
      </c>
      <c r="B36">
        <f>Ingredientes!AO34</f>
        <v>0.11731524744003374</v>
      </c>
      <c r="C36" t="s">
        <v>296</v>
      </c>
    </row>
    <row r="37" spans="1:3" x14ac:dyDescent="0.3">
      <c r="A37" t="s">
        <v>311</v>
      </c>
      <c r="B37">
        <f>Ingredientes!AP34</f>
        <v>0.14951253288148256</v>
      </c>
      <c r="C37" t="s">
        <v>296</v>
      </c>
    </row>
    <row r="38" spans="1:3" x14ac:dyDescent="0.3">
      <c r="A38" t="s">
        <v>312</v>
      </c>
      <c r="B38">
        <f>Ingredientes!AQ34</f>
        <v>1.0645481537588508</v>
      </c>
      <c r="C38" t="s">
        <v>296</v>
      </c>
    </row>
    <row r="39" spans="1:3" x14ac:dyDescent="0.3">
      <c r="A39" t="s">
        <v>313</v>
      </c>
      <c r="B39">
        <f>Ingredientes!AR34</f>
        <v>7.3054021916208869E-2</v>
      </c>
      <c r="C39" t="s">
        <v>296</v>
      </c>
    </row>
    <row r="40" spans="1:3" x14ac:dyDescent="0.3">
      <c r="A40" t="s">
        <v>314</v>
      </c>
      <c r="B40">
        <f>Ingredientes!AS34</f>
        <v>21.408076029541256</v>
      </c>
      <c r="C40" t="s">
        <v>306</v>
      </c>
    </row>
    <row r="41" spans="1:3" x14ac:dyDescent="0.3">
      <c r="A41" t="s">
        <v>315</v>
      </c>
      <c r="B41">
        <f>Ingredientes!AT34</f>
        <v>10.531972009970344</v>
      </c>
      <c r="C41" t="s">
        <v>306</v>
      </c>
    </row>
    <row r="42" spans="1:3" x14ac:dyDescent="0.3">
      <c r="A42" t="s">
        <v>316</v>
      </c>
      <c r="B42">
        <f>Ingredientes!AU34</f>
        <v>21.389373119937417</v>
      </c>
      <c r="C42" t="s">
        <v>306</v>
      </c>
    </row>
    <row r="43" spans="1:3" x14ac:dyDescent="0.3">
      <c r="A43" t="s">
        <v>317</v>
      </c>
      <c r="B43">
        <f>Ingredientes!AV34</f>
        <v>22.499258155609446</v>
      </c>
      <c r="C43" t="s">
        <v>296</v>
      </c>
    </row>
    <row r="44" spans="1:3" x14ac:dyDescent="0.3">
      <c r="A44" t="s">
        <v>318</v>
      </c>
      <c r="B44">
        <f>Ingredientes!AW34</f>
        <v>0.28831428284337612</v>
      </c>
      <c r="C44" t="s">
        <v>306</v>
      </c>
    </row>
    <row r="45" spans="1:3" x14ac:dyDescent="0.3">
      <c r="A45" t="s">
        <v>319</v>
      </c>
      <c r="B45">
        <f>Ingredientes!AX34</f>
        <v>27.54248362637259</v>
      </c>
      <c r="C45" t="s">
        <v>306</v>
      </c>
    </row>
    <row r="46" spans="1:3" x14ac:dyDescent="0.3">
      <c r="A46" t="s">
        <v>320</v>
      </c>
      <c r="B46">
        <f>Ingredientes!AY34</f>
        <v>14.279241512596212</v>
      </c>
      <c r="C46" t="s">
        <v>321</v>
      </c>
    </row>
    <row r="47" spans="1:3" x14ac:dyDescent="0.3">
      <c r="A47" t="s">
        <v>322</v>
      </c>
      <c r="B47">
        <f>Ingredientes!AZ34</f>
        <v>0.64606651114506597</v>
      </c>
      <c r="C47" t="s">
        <v>306</v>
      </c>
    </row>
    <row r="48" spans="1:3" x14ac:dyDescent="0.3">
      <c r="A48" t="s">
        <v>323</v>
      </c>
      <c r="B48">
        <f>Ingredientes!BA34</f>
        <v>5.1543130267259212</v>
      </c>
      <c r="C48" t="s">
        <v>306</v>
      </c>
    </row>
    <row r="49" spans="1:3" x14ac:dyDescent="0.3">
      <c r="A49" t="s">
        <v>324</v>
      </c>
      <c r="B49">
        <f>Ingredientes!BB34</f>
        <v>1.158617764261024</v>
      </c>
      <c r="C49" t="s">
        <v>296</v>
      </c>
    </row>
    <row r="50" spans="1:3" x14ac:dyDescent="0.3">
      <c r="A50" t="s">
        <v>325</v>
      </c>
      <c r="B50">
        <f>Ingredientes!BC34</f>
        <v>6.2977245208895685</v>
      </c>
      <c r="C50" t="s">
        <v>296</v>
      </c>
    </row>
    <row r="51" spans="1:3" x14ac:dyDescent="0.3">
      <c r="A51" t="s">
        <v>326</v>
      </c>
      <c r="B51">
        <f>Ingredientes!BD34</f>
        <v>0.1599807874904185</v>
      </c>
      <c r="C51" t="s">
        <v>296</v>
      </c>
    </row>
    <row r="52" spans="1:3" x14ac:dyDescent="0.3">
      <c r="A52" t="s">
        <v>327</v>
      </c>
      <c r="B52">
        <f>Ingredientes!BE34</f>
        <v>0.33668004334152757</v>
      </c>
      <c r="C52" t="s">
        <v>306</v>
      </c>
    </row>
    <row r="53" spans="1:3" x14ac:dyDescent="0.3">
      <c r="A53" t="s">
        <v>328</v>
      </c>
      <c r="B53">
        <f>Ingredientes!BF34</f>
        <v>0.17153048876173199</v>
      </c>
      <c r="C53" t="s">
        <v>296</v>
      </c>
    </row>
    <row r="54" spans="1:3" x14ac:dyDescent="0.3">
      <c r="A54" t="s">
        <v>329</v>
      </c>
      <c r="B54">
        <f>Ingredientes!BG34</f>
        <v>6.3123219864317379</v>
      </c>
      <c r="C54" t="s">
        <v>296</v>
      </c>
    </row>
    <row r="55" spans="1:3" x14ac:dyDescent="0.3">
      <c r="A55" t="s">
        <v>330</v>
      </c>
      <c r="B55">
        <f>Ingredientes!BH34</f>
        <v>40.037384008232536</v>
      </c>
      <c r="C55" t="s">
        <v>306</v>
      </c>
    </row>
    <row r="56" spans="1:3" x14ac:dyDescent="0.3">
      <c r="A56" t="s">
        <v>331</v>
      </c>
      <c r="B56">
        <f>Ingredientes!BI34</f>
        <v>3.444542372258955</v>
      </c>
      <c r="C56" t="s">
        <v>306</v>
      </c>
    </row>
    <row r="57" spans="1:3" x14ac:dyDescent="0.3">
      <c r="A57" t="s">
        <v>332</v>
      </c>
      <c r="B57">
        <f>Ingredientes!BJ34</f>
        <v>0.1372243910093856</v>
      </c>
      <c r="C57" t="s">
        <v>306</v>
      </c>
    </row>
    <row r="58" spans="1:3" x14ac:dyDescent="0.3">
      <c r="A58" t="s">
        <v>333</v>
      </c>
      <c r="B58">
        <f>Ingredientes!BK34</f>
        <v>0.3087548797711176</v>
      </c>
      <c r="C58" t="s">
        <v>306</v>
      </c>
    </row>
    <row r="59" spans="1:3" x14ac:dyDescent="0.3">
      <c r="A59" t="s">
        <v>334</v>
      </c>
      <c r="B59">
        <f>Ingredientes!BL34</f>
        <v>0.28866318464048768</v>
      </c>
      <c r="C59" t="s">
        <v>306</v>
      </c>
    </row>
    <row r="60" spans="1:3" x14ac:dyDescent="0.3">
      <c r="A60" t="s">
        <v>335</v>
      </c>
      <c r="B60">
        <f>Ingredientes!BM34</f>
        <v>25.800807006544776</v>
      </c>
      <c r="C60" t="s">
        <v>321</v>
      </c>
    </row>
    <row r="61" spans="1:3" x14ac:dyDescent="0.3">
      <c r="A61" t="s">
        <v>336</v>
      </c>
      <c r="B61">
        <f>Ingredientes!BN34</f>
        <v>0.32549625547426264</v>
      </c>
      <c r="C61" t="s">
        <v>306</v>
      </c>
    </row>
    <row r="62" spans="1:3" x14ac:dyDescent="0.3">
      <c r="A62" t="s">
        <v>337</v>
      </c>
      <c r="B62">
        <f>Ingredientes!BO34</f>
        <v>0.32050130041432112</v>
      </c>
      <c r="C62" t="s">
        <v>306</v>
      </c>
    </row>
    <row r="63" spans="1:3" x14ac:dyDescent="0.3">
      <c r="A63" t="s">
        <v>338</v>
      </c>
      <c r="B63">
        <f>Ingredientes!BP34</f>
        <v>0</v>
      </c>
      <c r="C63" t="s">
        <v>306</v>
      </c>
    </row>
    <row r="64" spans="1:3" x14ac:dyDescent="0.3">
      <c r="A64" t="s">
        <v>339</v>
      </c>
      <c r="B64">
        <f>Ingredientes!BQ34</f>
        <v>0</v>
      </c>
      <c r="C64" t="s">
        <v>296</v>
      </c>
    </row>
    <row r="65" spans="1:3" x14ac:dyDescent="0.3">
      <c r="A65" t="s">
        <v>340</v>
      </c>
      <c r="B65">
        <f>Ingredientes!BR34</f>
        <v>0.21321603932574767</v>
      </c>
      <c r="C65" t="s">
        <v>306</v>
      </c>
    </row>
    <row r="66" spans="1:3" x14ac:dyDescent="0.3">
      <c r="A66" t="s">
        <v>341</v>
      </c>
      <c r="B66">
        <f>Ingredientes!BS34</f>
        <v>0</v>
      </c>
      <c r="C66" t="s">
        <v>306</v>
      </c>
    </row>
    <row r="67" spans="1:3" x14ac:dyDescent="0.3">
      <c r="A67" t="s">
        <v>342</v>
      </c>
      <c r="B67">
        <f>Ingredientes!BT34</f>
        <v>0</v>
      </c>
      <c r="C67" t="s">
        <v>306</v>
      </c>
    </row>
    <row r="68" spans="1:3" x14ac:dyDescent="0.3">
      <c r="A68" t="s">
        <v>343</v>
      </c>
      <c r="B68">
        <f>Ingredientes!BU34</f>
        <v>11.739669161613183</v>
      </c>
      <c r="C68" t="s">
        <v>306</v>
      </c>
    </row>
    <row r="69" spans="1:3" x14ac:dyDescent="0.3">
      <c r="A69" t="s">
        <v>344</v>
      </c>
      <c r="B69">
        <f>Ingredientes!BV34</f>
        <v>12.568783404561625</v>
      </c>
      <c r="C69" t="s">
        <v>306</v>
      </c>
    </row>
    <row r="70" spans="1:3" x14ac:dyDescent="0.3">
      <c r="A70" t="s">
        <v>345</v>
      </c>
      <c r="B70">
        <f>Ingredientes!BW34</f>
        <v>12.592563242794764</v>
      </c>
      <c r="C70" t="s">
        <v>306</v>
      </c>
    </row>
    <row r="71" spans="1:3" x14ac:dyDescent="0.3">
      <c r="A71" t="s">
        <v>346</v>
      </c>
      <c r="B71">
        <f>Ingredientes!BX34</f>
        <v>3.0970004235970716</v>
      </c>
      <c r="C71" t="s">
        <v>306</v>
      </c>
    </row>
    <row r="72" spans="1:3" x14ac:dyDescent="0.3">
      <c r="A72" t="s">
        <v>347</v>
      </c>
      <c r="B72">
        <f>Ingredientes!BY34</f>
        <v>4.9597927078050318E-3</v>
      </c>
      <c r="C72" t="s">
        <v>296</v>
      </c>
    </row>
    <row r="73" spans="1:3" x14ac:dyDescent="0.3">
      <c r="A73" t="s">
        <v>348</v>
      </c>
      <c r="B73">
        <f>Ingredientes!BZ34</f>
        <v>1.6949094010864294</v>
      </c>
      <c r="C73" t="s">
        <v>296</v>
      </c>
    </row>
    <row r="74" spans="1:3" x14ac:dyDescent="0.3">
      <c r="A74" t="s">
        <v>349</v>
      </c>
      <c r="B74">
        <f>Ingredientes!CA34</f>
        <v>0.12091598164477806</v>
      </c>
      <c r="C74" t="s">
        <v>296</v>
      </c>
    </row>
    <row r="75" spans="1:3" x14ac:dyDescent="0.3">
      <c r="A75" t="s">
        <v>350</v>
      </c>
      <c r="B75">
        <f>Ingredientes!CB34</f>
        <v>4.9306097752346385E-3</v>
      </c>
      <c r="C75" t="s">
        <v>296</v>
      </c>
    </row>
    <row r="76" spans="1:3" x14ac:dyDescent="0.3">
      <c r="A76" t="s">
        <v>351</v>
      </c>
      <c r="B76">
        <f>Ingredientes!CC34</f>
        <v>2.7444878201877123E-3</v>
      </c>
      <c r="C76" t="s">
        <v>296</v>
      </c>
    </row>
    <row r="77" spans="1:3" x14ac:dyDescent="0.3">
      <c r="A77" t="s">
        <v>352</v>
      </c>
      <c r="B77">
        <f>Ingredientes!CD34</f>
        <v>0</v>
      </c>
      <c r="C77" t="s">
        <v>296</v>
      </c>
    </row>
    <row r="78" spans="1:3" x14ac:dyDescent="0.3">
      <c r="A78" t="s">
        <v>353</v>
      </c>
      <c r="B78">
        <f>Ingredientes!CE34</f>
        <v>4.9999999999999958E-4</v>
      </c>
      <c r="C78" t="s">
        <v>296</v>
      </c>
    </row>
    <row r="79" spans="1:3" x14ac:dyDescent="0.3">
      <c r="A79" t="s">
        <v>354</v>
      </c>
      <c r="B79">
        <f>Ingredientes!CF34</f>
        <v>0.30189366022064829</v>
      </c>
      <c r="C79" t="s">
        <v>306</v>
      </c>
    </row>
    <row r="80" spans="1:3" x14ac:dyDescent="0.3">
      <c r="A80" t="s">
        <v>355</v>
      </c>
      <c r="B80">
        <f>Ingredientes!CG34</f>
        <v>0</v>
      </c>
      <c r="C80" t="s">
        <v>306</v>
      </c>
    </row>
    <row r="81" spans="1:3" x14ac:dyDescent="0.3">
      <c r="A81" t="s">
        <v>356</v>
      </c>
      <c r="B81">
        <f>Ingredientes!CH34</f>
        <v>3.4815900932125929</v>
      </c>
      <c r="C81" t="s">
        <v>306</v>
      </c>
    </row>
    <row r="82" spans="1:3" x14ac:dyDescent="0.3">
      <c r="A82" t="s">
        <v>357</v>
      </c>
      <c r="B82">
        <f>Ingredientes!CI34</f>
        <v>0.45078555819092403</v>
      </c>
      <c r="C82" t="s">
        <v>296</v>
      </c>
    </row>
    <row r="83" spans="1:3" x14ac:dyDescent="0.3">
      <c r="A83" t="s">
        <v>358</v>
      </c>
      <c r="B83">
        <f>Ingredientes!CJ34</f>
        <v>16.750005291118065</v>
      </c>
      <c r="C83" t="s">
        <v>296</v>
      </c>
    </row>
    <row r="84" spans="1:3" x14ac:dyDescent="0.3">
      <c r="A84" t="s">
        <v>359</v>
      </c>
      <c r="B84">
        <f>Ingredientes!CK34</f>
        <v>0.26804612168003067</v>
      </c>
      <c r="C84" t="s">
        <v>296</v>
      </c>
    </row>
    <row r="85" spans="1:3" x14ac:dyDescent="0.3">
      <c r="A85" t="s">
        <v>360</v>
      </c>
      <c r="B85">
        <f>Ingredientes!CL34</f>
        <v>1.5099268603149705</v>
      </c>
      <c r="C85" t="s">
        <v>296</v>
      </c>
    </row>
    <row r="86" spans="1:3" x14ac:dyDescent="0.3">
      <c r="A86" t="s">
        <v>361</v>
      </c>
      <c r="B86">
        <f>Ingredientes!CM34</f>
        <v>0.20192492448975968</v>
      </c>
      <c r="C86" t="s">
        <v>296</v>
      </c>
    </row>
    <row r="87" spans="1:3" x14ac:dyDescent="0.3">
      <c r="A87" t="s">
        <v>362</v>
      </c>
      <c r="B87">
        <f>Ingredientes!CN34</f>
        <v>1.4966899817828871</v>
      </c>
      <c r="C87" t="s">
        <v>296</v>
      </c>
    </row>
    <row r="88" spans="1:3" x14ac:dyDescent="0.3">
      <c r="A88" t="s">
        <v>363</v>
      </c>
      <c r="B88">
        <f>Ingredientes!CO34</f>
        <v>0</v>
      </c>
      <c r="C88" t="s">
        <v>296</v>
      </c>
    </row>
    <row r="89" spans="1:3" x14ac:dyDescent="0.3">
      <c r="A89" t="s">
        <v>364</v>
      </c>
      <c r="B89">
        <f>Ingredientes!CP34</f>
        <v>0</v>
      </c>
      <c r="C89" t="s">
        <v>306</v>
      </c>
    </row>
    <row r="90" spans="1:3" x14ac:dyDescent="0.3">
      <c r="A90" t="s">
        <v>365</v>
      </c>
      <c r="B90">
        <f>Ingredientes!CQ34</f>
        <v>1.9037061052783504</v>
      </c>
      <c r="C90" t="s">
        <v>273</v>
      </c>
    </row>
    <row r="91" spans="1:3" x14ac:dyDescent="0.3">
      <c r="A91" t="s">
        <v>366</v>
      </c>
      <c r="B91">
        <f>Ingredientes!CR34</f>
        <v>4.0836669807233408</v>
      </c>
      <c r="C91" t="s">
        <v>273</v>
      </c>
    </row>
    <row r="92" spans="1:3" x14ac:dyDescent="0.3">
      <c r="A92" t="s">
        <v>367</v>
      </c>
      <c r="B92">
        <f>Ingredientes!CS34</f>
        <v>1.8287767790768903</v>
      </c>
      <c r="C92" t="s">
        <v>273</v>
      </c>
    </row>
    <row r="93" spans="1:3" x14ac:dyDescent="0.3">
      <c r="A93" t="s">
        <v>368</v>
      </c>
      <c r="B93">
        <f>Ingredientes!CT34</f>
        <v>3.9270169621085087E-2</v>
      </c>
      <c r="C93" t="s">
        <v>273</v>
      </c>
    </row>
    <row r="94" spans="1:3" x14ac:dyDescent="0.3">
      <c r="A94" t="s">
        <v>369</v>
      </c>
      <c r="B94">
        <f>Ingredientes!CU34</f>
        <v>27.014973471885806</v>
      </c>
      <c r="C94" t="s">
        <v>296</v>
      </c>
    </row>
    <row r="95" spans="1:3" x14ac:dyDescent="0.3">
      <c r="A95" t="s">
        <v>370</v>
      </c>
      <c r="B95">
        <f>Ingredientes!CV34</f>
        <v>2.9526915274467026E-2</v>
      </c>
      <c r="C95" t="s">
        <v>273</v>
      </c>
    </row>
    <row r="96" spans="1:3" x14ac:dyDescent="0.3">
      <c r="A96" t="s">
        <v>371</v>
      </c>
      <c r="B96">
        <f>Ingredientes!CW34</f>
        <v>2.4151492817651866E-2</v>
      </c>
      <c r="C96" t="s">
        <v>273</v>
      </c>
    </row>
    <row r="97" spans="1:3" x14ac:dyDescent="0.3">
      <c r="A97" t="s">
        <v>372</v>
      </c>
      <c r="B97">
        <f>Ingredientes!CX34</f>
        <v>9.0568098066194508E-3</v>
      </c>
      <c r="C97" t="s">
        <v>273</v>
      </c>
    </row>
    <row r="98" spans="1:3" x14ac:dyDescent="0.3">
      <c r="A98" t="s">
        <v>373</v>
      </c>
      <c r="B98">
        <f>Ingredientes!CY34</f>
        <v>3.5206393404020209E-2</v>
      </c>
      <c r="C98" t="s">
        <v>273</v>
      </c>
    </row>
    <row r="99" spans="1:3" x14ac:dyDescent="0.3">
      <c r="A99" t="s">
        <v>374</v>
      </c>
      <c r="B99">
        <f>Ingredientes!CZ34</f>
        <v>4.1424134207307714E-2</v>
      </c>
      <c r="C99" t="s">
        <v>273</v>
      </c>
    </row>
    <row r="100" spans="1:3" x14ac:dyDescent="0.3">
      <c r="A100" t="s">
        <v>375</v>
      </c>
      <c r="B100">
        <f>Ingredientes!DA34</f>
        <v>0.13677181588369794</v>
      </c>
      <c r="C100" t="s">
        <v>273</v>
      </c>
    </row>
    <row r="101" spans="1:3" x14ac:dyDescent="0.3">
      <c r="A101" t="s">
        <v>376</v>
      </c>
      <c r="B101">
        <f>Ingredientes!DB34</f>
        <v>0.92479127865024358</v>
      </c>
      <c r="C101" t="s">
        <v>273</v>
      </c>
    </row>
    <row r="102" spans="1:3" x14ac:dyDescent="0.3">
      <c r="A102" t="s">
        <v>377</v>
      </c>
      <c r="B102">
        <f>Ingredientes!DC34</f>
        <v>0.31656696964503023</v>
      </c>
      <c r="C102" t="s">
        <v>273</v>
      </c>
    </row>
    <row r="103" spans="1:3" x14ac:dyDescent="0.3">
      <c r="A103" t="s">
        <v>378</v>
      </c>
      <c r="B103">
        <f>Ingredientes!DD34</f>
        <v>3.391752795912692E-2</v>
      </c>
      <c r="C103" t="s">
        <v>273</v>
      </c>
    </row>
    <row r="104" spans="1:3" x14ac:dyDescent="0.3">
      <c r="A104" t="s">
        <v>379</v>
      </c>
      <c r="B104">
        <f>Ingredientes!DE34</f>
        <v>3.4488822999333384</v>
      </c>
      <c r="C104" t="s">
        <v>273</v>
      </c>
    </row>
    <row r="105" spans="1:3" x14ac:dyDescent="0.3">
      <c r="A105" t="s">
        <v>380</v>
      </c>
      <c r="B105">
        <f>Ingredientes!DF34</f>
        <v>1.0921723930415361</v>
      </c>
      <c r="C105" t="s">
        <v>273</v>
      </c>
    </row>
    <row r="106" spans="1:3" x14ac:dyDescent="0.3">
      <c r="A106" t="s">
        <v>381</v>
      </c>
      <c r="B106">
        <f>Ingredientes!DG34</f>
        <v>0.47211381704886157</v>
      </c>
      <c r="C106" t="s">
        <v>273</v>
      </c>
    </row>
    <row r="107" spans="1:3" x14ac:dyDescent="0.3">
      <c r="A107" t="s">
        <v>382</v>
      </c>
      <c r="B107">
        <f>Ingredientes!DH34</f>
        <v>9.2626463931335279E-4</v>
      </c>
      <c r="C107" t="s">
        <v>273</v>
      </c>
    </row>
    <row r="108" spans="1:3" x14ac:dyDescent="0.3">
      <c r="A108" t="s">
        <v>383</v>
      </c>
      <c r="B108">
        <f>Ingredientes!DI34</f>
        <v>0</v>
      </c>
      <c r="C108" t="s">
        <v>273</v>
      </c>
    </row>
    <row r="109" spans="1:3" x14ac:dyDescent="0.3">
      <c r="A109" t="s">
        <v>384</v>
      </c>
      <c r="B109">
        <f>Ingredientes!DJ34</f>
        <v>1.756520433521034E-2</v>
      </c>
      <c r="C109" t="s">
        <v>273</v>
      </c>
    </row>
    <row r="110" spans="1:3" x14ac:dyDescent="0.3">
      <c r="A110" t="s">
        <v>385</v>
      </c>
      <c r="B110">
        <f>Ingredientes!DK34</f>
        <v>0</v>
      </c>
      <c r="C110" t="s">
        <v>273</v>
      </c>
    </row>
    <row r="111" spans="1:3" x14ac:dyDescent="0.3">
      <c r="A111" t="s">
        <v>386</v>
      </c>
      <c r="B111">
        <f>Ingredientes!DL34</f>
        <v>1.2257988801477295E-2</v>
      </c>
      <c r="C111" t="s">
        <v>273</v>
      </c>
    </row>
    <row r="112" spans="1:3" x14ac:dyDescent="0.3">
      <c r="A112" t="s">
        <v>387</v>
      </c>
      <c r="B112">
        <f>Ingredientes!DM34</f>
        <v>3.4306097752346399E-5</v>
      </c>
      <c r="C112" t="s">
        <v>273</v>
      </c>
    </row>
    <row r="113" spans="1:3" x14ac:dyDescent="0.3">
      <c r="A113" t="s">
        <v>388</v>
      </c>
      <c r="B113">
        <f>Ingredientes!DN34</f>
        <v>7.0116731730281517E-2</v>
      </c>
      <c r="C113" t="s">
        <v>273</v>
      </c>
    </row>
    <row r="114" spans="1:3" x14ac:dyDescent="0.3">
      <c r="A114" t="s">
        <v>389</v>
      </c>
      <c r="B114">
        <f>Ingredientes!DO34</f>
        <v>2.0583658651407842E-4</v>
      </c>
      <c r="C114" t="s">
        <v>273</v>
      </c>
    </row>
    <row r="115" spans="1:3" x14ac:dyDescent="0.3">
      <c r="A115" t="s">
        <v>390</v>
      </c>
      <c r="B115">
        <f>Ingredientes!DP34</f>
        <v>1.0291829325703921E-4</v>
      </c>
      <c r="C115" t="s">
        <v>273</v>
      </c>
    </row>
    <row r="116" spans="1:3" x14ac:dyDescent="0.3">
      <c r="A116" t="s">
        <v>391</v>
      </c>
      <c r="B116">
        <f>Ingredientes!DQ34</f>
        <v>3.4306097752346404E-4</v>
      </c>
      <c r="C116" t="s">
        <v>273</v>
      </c>
    </row>
    <row r="117" spans="1:3" x14ac:dyDescent="0.3">
      <c r="A117" t="s">
        <v>392</v>
      </c>
      <c r="B117">
        <f>Ingredientes!DR34</f>
        <v>0</v>
      </c>
      <c r="C117" t="s">
        <v>273</v>
      </c>
    </row>
    <row r="118" spans="1:3" x14ac:dyDescent="0.3">
      <c r="A118" t="s">
        <v>393</v>
      </c>
      <c r="B118">
        <f>Ingredientes!DS34</f>
        <v>0</v>
      </c>
      <c r="C118" t="s">
        <v>273</v>
      </c>
    </row>
    <row r="119" spans="1:3" x14ac:dyDescent="0.3">
      <c r="A119" t="s">
        <v>394</v>
      </c>
      <c r="B119">
        <f>Ingredientes!DT34</f>
        <v>0</v>
      </c>
      <c r="C119" t="s">
        <v>273</v>
      </c>
    </row>
    <row r="120" spans="1:3" x14ac:dyDescent="0.3">
      <c r="A120" t="s">
        <v>395</v>
      </c>
      <c r="B120">
        <f>Ingredientes!DU34</f>
        <v>6.8612195504692797E-5</v>
      </c>
      <c r="C120" t="s">
        <v>273</v>
      </c>
    </row>
    <row r="121" spans="1:3" x14ac:dyDescent="0.3">
      <c r="A121" t="s">
        <v>396</v>
      </c>
      <c r="B121">
        <f>Ingredientes!DV34</f>
        <v>6.2313595957362005E-3</v>
      </c>
      <c r="C121" t="s">
        <v>273</v>
      </c>
    </row>
    <row r="122" spans="1:3" x14ac:dyDescent="0.3">
      <c r="A122" t="s">
        <v>397</v>
      </c>
      <c r="B122">
        <f>Ingredientes!DW34</f>
        <v>5.7128330764182117E-3</v>
      </c>
      <c r="C122" t="s">
        <v>273</v>
      </c>
    </row>
    <row r="123" spans="1:3" x14ac:dyDescent="0.3">
      <c r="A123" t="s">
        <v>398</v>
      </c>
      <c r="B123">
        <f>Ingredientes!DX34</f>
        <v>4.6347538063419986E-4</v>
      </c>
      <c r="C123" t="s">
        <v>273</v>
      </c>
    </row>
    <row r="124" spans="1:3" x14ac:dyDescent="0.3">
      <c r="A124" t="s">
        <v>399</v>
      </c>
      <c r="B124">
        <f>Ingredientes!DY34</f>
        <v>1.6123865943602808E-3</v>
      </c>
      <c r="C124" t="s">
        <v>273</v>
      </c>
    </row>
    <row r="125" spans="1:3" x14ac:dyDescent="0.3">
      <c r="A125" t="s">
        <v>400</v>
      </c>
      <c r="B125">
        <f>Ingredientes!DZ34</f>
        <v>1.5696274923093965E-2</v>
      </c>
      <c r="C125" t="s">
        <v>273</v>
      </c>
    </row>
    <row r="126" spans="1:3" x14ac:dyDescent="0.3">
      <c r="A126" t="s">
        <v>401</v>
      </c>
      <c r="B126">
        <f>Ingredientes!EA34</f>
        <v>0</v>
      </c>
      <c r="C126" t="s">
        <v>273</v>
      </c>
    </row>
    <row r="127" spans="1:3" x14ac:dyDescent="0.3">
      <c r="A127" t="s">
        <v>402</v>
      </c>
      <c r="B127">
        <f>Ingredientes!EB34</f>
        <v>3.439014769183965E-3</v>
      </c>
      <c r="C127" t="s">
        <v>273</v>
      </c>
    </row>
    <row r="128" spans="1:3" x14ac:dyDescent="0.3">
      <c r="A128" t="s">
        <v>403</v>
      </c>
      <c r="B128">
        <f>Ingredientes!EC34</f>
        <v>1.8249999999999985E-2</v>
      </c>
      <c r="C128" t="s">
        <v>273</v>
      </c>
    </row>
    <row r="129" spans="1:3" x14ac:dyDescent="0.3">
      <c r="A129" t="s">
        <v>404</v>
      </c>
      <c r="B129">
        <f>Ingredientes!ED34</f>
        <v>2.5043451359212871E-3</v>
      </c>
      <c r="C129" t="s">
        <v>273</v>
      </c>
    </row>
    <row r="130" spans="1:3" x14ac:dyDescent="0.3">
      <c r="A130" t="s">
        <v>405</v>
      </c>
      <c r="B130">
        <f>Ingredientes!EE34</f>
        <v>0</v>
      </c>
      <c r="C130" t="s">
        <v>273</v>
      </c>
    </row>
    <row r="131" spans="1:3" x14ac:dyDescent="0.3">
      <c r="A131" t="s">
        <v>406</v>
      </c>
      <c r="B131">
        <f>Ingredientes!EF34</f>
        <v>8.7892222441511477E-5</v>
      </c>
      <c r="C131" t="s">
        <v>273</v>
      </c>
    </row>
    <row r="132" spans="1:3" x14ac:dyDescent="0.3">
      <c r="A132" t="s">
        <v>407</v>
      </c>
      <c r="B132">
        <f>Ingredientes!EG34</f>
        <v>3.1892882283163712E-2</v>
      </c>
      <c r="C132" t="s">
        <v>273</v>
      </c>
    </row>
    <row r="133" spans="1:3" x14ac:dyDescent="0.3">
      <c r="A133" t="s">
        <v>408</v>
      </c>
      <c r="B133">
        <f>Ingredientes!EH34</f>
        <v>3.5860343796471508</v>
      </c>
      <c r="C133" t="s">
        <v>273</v>
      </c>
    </row>
    <row r="134" spans="1:3" x14ac:dyDescent="0.3">
      <c r="A134" t="s">
        <v>409</v>
      </c>
      <c r="B134">
        <f>Ingredientes!EI34</f>
        <v>1.1680698030671732</v>
      </c>
      <c r="C134" t="s">
        <v>273</v>
      </c>
    </row>
    <row r="135" spans="1:3" x14ac:dyDescent="0.3">
      <c r="A135" t="s">
        <v>410</v>
      </c>
      <c r="B135">
        <f>Ingredientes!EJ34</f>
        <v>6.8612195504692797E-5</v>
      </c>
      <c r="C135" t="s">
        <v>273</v>
      </c>
    </row>
    <row r="136" spans="1:3" x14ac:dyDescent="0.3">
      <c r="A136" t="s">
        <v>411</v>
      </c>
      <c r="B136">
        <f>Ingredientes!EK34</f>
        <v>6.8612195504692797E-5</v>
      </c>
      <c r="C136" t="s">
        <v>273</v>
      </c>
    </row>
    <row r="137" spans="1:3" x14ac:dyDescent="0.3">
      <c r="A137" t="s">
        <v>412</v>
      </c>
      <c r="B137">
        <f>Ingredientes!EL34</f>
        <v>0</v>
      </c>
      <c r="C137" t="s">
        <v>273</v>
      </c>
    </row>
    <row r="138" spans="1:3" x14ac:dyDescent="0.3">
      <c r="A138" t="s">
        <v>413</v>
      </c>
      <c r="B138">
        <f>Ingredientes!EM34</f>
        <v>4.2882622190433005E-5</v>
      </c>
      <c r="C138" t="s">
        <v>273</v>
      </c>
    </row>
    <row r="139" spans="1:3" x14ac:dyDescent="0.3">
      <c r="A139" t="s">
        <v>414</v>
      </c>
      <c r="B139">
        <f>Ingredientes!EN34</f>
        <v>0</v>
      </c>
      <c r="C139" t="s">
        <v>273</v>
      </c>
    </row>
    <row r="140" spans="1:3" x14ac:dyDescent="0.3">
      <c r="A140" t="s">
        <v>415</v>
      </c>
      <c r="B140">
        <f>Ingredientes!EO34</f>
        <v>0</v>
      </c>
      <c r="C140" t="s">
        <v>273</v>
      </c>
    </row>
    <row r="141" spans="1:3" x14ac:dyDescent="0.3">
      <c r="A141" t="s">
        <v>416</v>
      </c>
      <c r="B141">
        <f>Ingredientes!EP34</f>
        <v>6.2557746731114203E-4</v>
      </c>
      <c r="C141" t="s">
        <v>273</v>
      </c>
    </row>
    <row r="142" spans="1:3" x14ac:dyDescent="0.3">
      <c r="A142" t="s">
        <v>417</v>
      </c>
      <c r="B142">
        <f>Ingredientes!EQ34</f>
        <v>1.1406777502655178E-3</v>
      </c>
      <c r="C142" t="s">
        <v>273</v>
      </c>
    </row>
    <row r="143" spans="1:3" x14ac:dyDescent="0.3">
      <c r="A143" t="s">
        <v>418</v>
      </c>
      <c r="B143">
        <f>Ingredientes!ER34</f>
        <v>0</v>
      </c>
      <c r="C143" t="s">
        <v>273</v>
      </c>
    </row>
    <row r="144" spans="1:3" x14ac:dyDescent="0.3">
      <c r="A144" t="s">
        <v>419</v>
      </c>
      <c r="B144">
        <f>Ingredientes!ES34</f>
        <v>1.765172249497771E-2</v>
      </c>
      <c r="C144" t="s">
        <v>273</v>
      </c>
    </row>
    <row r="145" spans="1:3" x14ac:dyDescent="0.3">
      <c r="A145" t="s">
        <v>420</v>
      </c>
      <c r="B145">
        <f>Ingredientes!ET34</f>
        <v>3.3963036774822936E-3</v>
      </c>
      <c r="C145" t="s">
        <v>273</v>
      </c>
    </row>
    <row r="146" spans="1:3" x14ac:dyDescent="0.3">
      <c r="A146" t="s">
        <v>421</v>
      </c>
      <c r="B146">
        <f>Ingredientes!EU34</f>
        <v>1.8284306097752331E-2</v>
      </c>
      <c r="C146" t="s">
        <v>273</v>
      </c>
    </row>
    <row r="147" spans="1:3" x14ac:dyDescent="0.3">
      <c r="A147" t="s">
        <v>422</v>
      </c>
      <c r="B147">
        <f>Ingredientes!EV34</f>
        <v>0</v>
      </c>
      <c r="C147" t="s">
        <v>273</v>
      </c>
    </row>
    <row r="148" spans="1:3" x14ac:dyDescent="0.3">
      <c r="A148" t="s">
        <v>423</v>
      </c>
      <c r="B148">
        <f>Ingredientes!EW34</f>
        <v>0</v>
      </c>
      <c r="C148" t="s">
        <v>273</v>
      </c>
    </row>
    <row r="149" spans="1:3" x14ac:dyDescent="0.3">
      <c r="A149" t="s">
        <v>424</v>
      </c>
      <c r="B149">
        <f>Ingredientes!EX34</f>
        <v>0</v>
      </c>
      <c r="C149" t="s">
        <v>273</v>
      </c>
    </row>
    <row r="150" spans="1:3" x14ac:dyDescent="0.3">
      <c r="A150" t="s">
        <v>425</v>
      </c>
      <c r="B150">
        <f>Ingredientes!EY34</f>
        <v>0</v>
      </c>
      <c r="C150" t="s">
        <v>273</v>
      </c>
    </row>
    <row r="151" spans="1:3" x14ac:dyDescent="0.3">
      <c r="A151" t="s">
        <v>426</v>
      </c>
      <c r="B151">
        <f>Ingredientes!EZ34</f>
        <v>3.0875487977111762E-4</v>
      </c>
      <c r="C151" t="s">
        <v>273</v>
      </c>
    </row>
    <row r="152" spans="1:3" x14ac:dyDescent="0.3">
      <c r="A152" t="s">
        <v>427</v>
      </c>
      <c r="B152">
        <f>Ingredientes!FA34</f>
        <v>5.557587835880117E-3</v>
      </c>
      <c r="C152" t="s">
        <v>273</v>
      </c>
    </row>
    <row r="153" spans="1:3" x14ac:dyDescent="0.3">
      <c r="A153" t="s">
        <v>428</v>
      </c>
      <c r="B153">
        <f>Ingredientes!FB34</f>
        <v>1.1406777502655178E-3</v>
      </c>
      <c r="C153" t="s">
        <v>273</v>
      </c>
    </row>
    <row r="154" spans="1:3" x14ac:dyDescent="0.3">
      <c r="A154" t="s">
        <v>429</v>
      </c>
      <c r="B154">
        <f>Ingredientes!FC34</f>
        <v>2.1504777376058341E-3</v>
      </c>
      <c r="C154" t="s">
        <v>273</v>
      </c>
    </row>
    <row r="155" spans="1:3" x14ac:dyDescent="0.3">
      <c r="A155" t="s">
        <v>430</v>
      </c>
      <c r="B155">
        <f>Ingredientes!FD34</f>
        <v>0</v>
      </c>
      <c r="C155" t="s">
        <v>273</v>
      </c>
    </row>
    <row r="156" spans="1:3" x14ac:dyDescent="0.3">
      <c r="A156" t="s">
        <v>431</v>
      </c>
      <c r="B156">
        <f>Ingredientes!FE34</f>
        <v>0.22599405665834785</v>
      </c>
      <c r="C156" t="s">
        <v>273</v>
      </c>
    </row>
    <row r="157" spans="1:3" x14ac:dyDescent="0.3">
      <c r="A157" t="s">
        <v>432</v>
      </c>
      <c r="B157">
        <f>Ingredientes!FF34</f>
        <v>4.2711091701671272E-5</v>
      </c>
      <c r="C157" t="s">
        <v>273</v>
      </c>
    </row>
    <row r="158" spans="1:3" x14ac:dyDescent="0.3">
      <c r="A158" t="s">
        <v>433</v>
      </c>
      <c r="B158">
        <f>Ingredientes!FG34</f>
        <v>1.9927045715225036E-2</v>
      </c>
      <c r="C158" t="s">
        <v>273</v>
      </c>
    </row>
    <row r="159" spans="1:3" x14ac:dyDescent="0.3">
      <c r="A159" t="s">
        <v>434</v>
      </c>
      <c r="B159">
        <f>Ingredientes!FH34</f>
        <v>3.4306097752346399E-5</v>
      </c>
      <c r="C159" t="s">
        <v>273</v>
      </c>
    </row>
    <row r="160" spans="1:3" x14ac:dyDescent="0.3">
      <c r="A160" t="s">
        <v>435</v>
      </c>
      <c r="B160">
        <f>Ingredientes!FI34</f>
        <v>1.7268547110378468E-3</v>
      </c>
      <c r="C160" t="s">
        <v>273</v>
      </c>
    </row>
    <row r="161" spans="1:3" x14ac:dyDescent="0.3">
      <c r="A161" t="s">
        <v>436</v>
      </c>
      <c r="B161">
        <f>Ingredientes!FJ34</f>
        <v>7.890402483039672E-4</v>
      </c>
      <c r="C161" t="s">
        <v>273</v>
      </c>
    </row>
    <row r="162" spans="1:3" x14ac:dyDescent="0.3">
      <c r="A162" t="s">
        <v>437</v>
      </c>
      <c r="B162">
        <f>Ingredientes!FK34</f>
        <v>2.0583658651407842E-4</v>
      </c>
      <c r="C162" t="s">
        <v>273</v>
      </c>
    </row>
    <row r="163" spans="1:3" x14ac:dyDescent="0.3">
      <c r="A163" t="s">
        <v>438</v>
      </c>
      <c r="B163">
        <f>Ingredientes!FL34</f>
        <v>3.4306097752346404E-4</v>
      </c>
      <c r="C163" t="s">
        <v>273</v>
      </c>
    </row>
    <row r="164" spans="1:3" x14ac:dyDescent="0.3">
      <c r="A164" t="s">
        <v>439</v>
      </c>
      <c r="B164">
        <f>Ingredientes!FM34</f>
        <v>0</v>
      </c>
      <c r="C164" t="s">
        <v>273</v>
      </c>
    </row>
    <row r="165" spans="1:3" x14ac:dyDescent="0.3">
      <c r="A165" t="s">
        <v>440</v>
      </c>
      <c r="B165">
        <f>Ingredientes!FN34</f>
        <v>8.7892222441511477E-5</v>
      </c>
      <c r="C165" t="s">
        <v>273</v>
      </c>
    </row>
    <row r="166" spans="1:3" x14ac:dyDescent="0.3">
      <c r="A166" t="s">
        <v>441</v>
      </c>
      <c r="B166">
        <f>Ingredientes!FO34</f>
        <v>0.47645782667675246</v>
      </c>
      <c r="C166" t="s">
        <v>273</v>
      </c>
    </row>
    <row r="167" spans="1:3" x14ac:dyDescent="0.3">
      <c r="A167" t="s">
        <v>442</v>
      </c>
      <c r="B167">
        <f>Ingredientes!FP34</f>
        <v>0</v>
      </c>
      <c r="C167" t="s">
        <v>273</v>
      </c>
    </row>
    <row r="168" spans="1:3" x14ac:dyDescent="0.3">
      <c r="A168" t="s">
        <v>443</v>
      </c>
      <c r="B168">
        <f>Ingredientes!FQ34</f>
        <v>1.7268547110378468E-3</v>
      </c>
      <c r="C168" t="s">
        <v>273</v>
      </c>
    </row>
    <row r="169" spans="1:3" x14ac:dyDescent="0.3">
      <c r="A169" t="s">
        <v>444</v>
      </c>
      <c r="B169">
        <f>Ingredientes!FR34</f>
        <v>1.3722439100938559E-4</v>
      </c>
      <c r="C169" t="s">
        <v>273</v>
      </c>
    </row>
    <row r="170" spans="1:3" x14ac:dyDescent="0.3">
      <c r="A170" t="s">
        <v>445</v>
      </c>
      <c r="B170">
        <f>Ingredientes!FS34</f>
        <v>0</v>
      </c>
      <c r="C170" t="s">
        <v>273</v>
      </c>
    </row>
    <row r="171" spans="1:3" x14ac:dyDescent="0.3">
      <c r="A171" t="s">
        <v>446</v>
      </c>
      <c r="B171">
        <f>Ingredientes!FT34</f>
        <v>3.2552954561976773E-2</v>
      </c>
      <c r="C171" t="s">
        <v>273</v>
      </c>
    </row>
    <row r="172" spans="1:3" x14ac:dyDescent="0.3">
      <c r="A172" t="s">
        <v>447</v>
      </c>
      <c r="B172">
        <f>Ingredientes!FU34</f>
        <v>0.10249116126629738</v>
      </c>
      <c r="C172" t="s">
        <v>273</v>
      </c>
    </row>
    <row r="173" spans="1:3" x14ac:dyDescent="0.3">
      <c r="A173" t="s">
        <v>448</v>
      </c>
      <c r="B173">
        <f>Ingredientes!FV34</f>
        <v>0.11152442819658438</v>
      </c>
      <c r="C173" t="s">
        <v>273</v>
      </c>
    </row>
    <row r="174" spans="1:3" x14ac:dyDescent="0.3">
      <c r="A174" t="s">
        <v>449</v>
      </c>
      <c r="B174">
        <f>Ingredientes!FW34</f>
        <v>0.20866352158708121</v>
      </c>
      <c r="C174" t="s">
        <v>273</v>
      </c>
    </row>
    <row r="175" spans="1:3" x14ac:dyDescent="0.3">
      <c r="A175" t="s">
        <v>450</v>
      </c>
      <c r="B175">
        <f>Ingredientes!FX34</f>
        <v>0.1497354879388432</v>
      </c>
      <c r="C175" t="s">
        <v>273</v>
      </c>
    </row>
    <row r="176" spans="1:3" x14ac:dyDescent="0.3">
      <c r="A176" t="s">
        <v>451</v>
      </c>
      <c r="B176">
        <f>Ingredientes!FY34</f>
        <v>6.0468097665713823E-2</v>
      </c>
      <c r="C176" t="s">
        <v>273</v>
      </c>
    </row>
    <row r="177" spans="1:3" x14ac:dyDescent="0.3">
      <c r="A177" t="s">
        <v>452</v>
      </c>
      <c r="B177">
        <f>Ingredientes!FZ34</f>
        <v>0.11769062930577956</v>
      </c>
      <c r="C177" t="s">
        <v>273</v>
      </c>
    </row>
    <row r="178" spans="1:3" x14ac:dyDescent="0.3">
      <c r="A178" t="s">
        <v>453</v>
      </c>
      <c r="B178">
        <f>Ingredientes!GA34</f>
        <v>9.0964986682338128E-2</v>
      </c>
      <c r="C178" t="s">
        <v>273</v>
      </c>
    </row>
    <row r="179" spans="1:3" x14ac:dyDescent="0.3">
      <c r="A179" t="s">
        <v>454</v>
      </c>
      <c r="B179">
        <f>Ingredientes!GB34</f>
        <v>0.13269145871955162</v>
      </c>
      <c r="C179" t="s">
        <v>273</v>
      </c>
    </row>
    <row r="180" spans="1:3" x14ac:dyDescent="0.3">
      <c r="A180" t="s">
        <v>455</v>
      </c>
      <c r="B180">
        <f>Ingredientes!GC34</f>
        <v>0.14003332148152542</v>
      </c>
      <c r="C180" t="s">
        <v>273</v>
      </c>
    </row>
    <row r="181" spans="1:3" x14ac:dyDescent="0.3">
      <c r="A181" t="s">
        <v>456</v>
      </c>
      <c r="B181">
        <f>Ingredientes!GD34</f>
        <v>6.0025094640109342E-2</v>
      </c>
      <c r="C181" t="s">
        <v>273</v>
      </c>
    </row>
    <row r="182" spans="1:3" x14ac:dyDescent="0.3">
      <c r="A182" t="s">
        <v>457</v>
      </c>
      <c r="B182">
        <f>Ingredientes!GE34</f>
        <v>0.1095448056639967</v>
      </c>
      <c r="C182" t="s">
        <v>273</v>
      </c>
    </row>
    <row r="183" spans="1:3" x14ac:dyDescent="0.3">
      <c r="A183" t="s">
        <v>458</v>
      </c>
      <c r="B183">
        <f>Ingredientes!GF34</f>
        <v>0.23384269962065823</v>
      </c>
      <c r="C183" t="s">
        <v>273</v>
      </c>
    </row>
    <row r="184" spans="1:3" x14ac:dyDescent="0.3">
      <c r="A184" t="s">
        <v>459</v>
      </c>
      <c r="B184">
        <f>Ingredientes!GG34</f>
        <v>0.41620996686597611</v>
      </c>
      <c r="C184" t="s">
        <v>273</v>
      </c>
    </row>
    <row r="185" spans="1:3" x14ac:dyDescent="0.3">
      <c r="A185" t="s">
        <v>460</v>
      </c>
      <c r="B185">
        <f>Ingredientes!GH34</f>
        <v>7.8398505329569934E-2</v>
      </c>
      <c r="C185" t="s">
        <v>273</v>
      </c>
    </row>
    <row r="186" spans="1:3" x14ac:dyDescent="0.3">
      <c r="A186" t="s">
        <v>461</v>
      </c>
      <c r="B186">
        <f>Ingredientes!GI34</f>
        <v>0.15923982780266088</v>
      </c>
      <c r="C186" t="s">
        <v>273</v>
      </c>
    </row>
    <row r="187" spans="1:3" x14ac:dyDescent="0.3">
      <c r="A187" t="s">
        <v>462</v>
      </c>
      <c r="B187">
        <f>Ingredientes!GJ34</f>
        <v>0.13536899210972825</v>
      </c>
      <c r="C187" t="s">
        <v>273</v>
      </c>
    </row>
    <row r="188" spans="1:3" x14ac:dyDescent="0.3">
      <c r="A188" t="s">
        <v>463</v>
      </c>
      <c r="B188">
        <f>Ingredientes!GK34</f>
        <v>0</v>
      </c>
      <c r="C188" t="s">
        <v>273</v>
      </c>
    </row>
    <row r="189" spans="1:3" x14ac:dyDescent="0.3">
      <c r="A189" t="s">
        <v>464</v>
      </c>
      <c r="B189">
        <f>Ingredientes!GL34</f>
        <v>4.8769982036193767E-2</v>
      </c>
      <c r="C189" t="s">
        <v>273</v>
      </c>
    </row>
    <row r="190" spans="1:3" x14ac:dyDescent="0.3">
      <c r="A190" t="s">
        <v>7</v>
      </c>
      <c r="B190">
        <f>Ingredientes!GM34</f>
        <v>0.36957446816462936</v>
      </c>
      <c r="C190" t="s">
        <v>296</v>
      </c>
    </row>
    <row r="191" spans="1:3" x14ac:dyDescent="0.3">
      <c r="A191" t="s">
        <v>465</v>
      </c>
      <c r="B191">
        <f>Ingredientes!GN34</f>
        <v>20.912441647805434</v>
      </c>
      <c r="C191" t="s">
        <v>296</v>
      </c>
    </row>
    <row r="192" spans="1:3" x14ac:dyDescent="0.3">
      <c r="A192" t="s">
        <v>466</v>
      </c>
      <c r="B192">
        <f>Ingredientes!GO34</f>
        <v>12.149487683481794</v>
      </c>
      <c r="C192" t="s">
        <v>296</v>
      </c>
    </row>
    <row r="193" spans="1:3" x14ac:dyDescent="0.3">
      <c r="A193" t="s">
        <v>467</v>
      </c>
      <c r="B193">
        <f>Ingredientes!GP34</f>
        <v>0.24502789077399942</v>
      </c>
      <c r="C193" t="s">
        <v>296</v>
      </c>
    </row>
    <row r="194" spans="1:3" x14ac:dyDescent="0.3">
      <c r="A194" t="s">
        <v>468</v>
      </c>
      <c r="B194">
        <f>Ingredientes!GQ34</f>
        <v>0</v>
      </c>
      <c r="C194" t="s">
        <v>296</v>
      </c>
    </row>
    <row r="195" spans="1:3" x14ac:dyDescent="0.3">
      <c r="A195" t="s">
        <v>469</v>
      </c>
      <c r="B195">
        <f>Ingredientes!GR34</f>
        <v>1.8010701319981861E-2</v>
      </c>
      <c r="C195" t="s">
        <v>296</v>
      </c>
    </row>
    <row r="196" spans="1:3" x14ac:dyDescent="0.3">
      <c r="A196" t="s">
        <v>470</v>
      </c>
      <c r="B196">
        <f>Ingredientes!GS34</f>
        <v>3.5678341662440258E-2</v>
      </c>
      <c r="C196" t="s">
        <v>296</v>
      </c>
    </row>
    <row r="197" spans="1:3" x14ac:dyDescent="0.3">
      <c r="A197" t="s">
        <v>471</v>
      </c>
      <c r="B197">
        <f>Ingredientes!GT34</f>
        <v>50.189821011682781</v>
      </c>
      <c r="C197" t="s">
        <v>296</v>
      </c>
    </row>
    <row r="198" spans="1:3" x14ac:dyDescent="0.3">
      <c r="A198" t="s">
        <v>472</v>
      </c>
      <c r="B198">
        <f>Ingredientes!GU34</f>
        <v>11.012257378503193</v>
      </c>
      <c r="C198" t="s">
        <v>296</v>
      </c>
    </row>
    <row r="199" spans="1:3" x14ac:dyDescent="0.3">
      <c r="A199" t="s">
        <v>473</v>
      </c>
      <c r="B199">
        <f>Ingredientes!GV34</f>
        <v>0</v>
      </c>
      <c r="C199" t="s">
        <v>296</v>
      </c>
    </row>
    <row r="200" spans="1:3" x14ac:dyDescent="0.3">
      <c r="A200" t="s">
        <v>474</v>
      </c>
      <c r="B200">
        <f>Ingredientes!GW34</f>
        <v>0.42196500235386075</v>
      </c>
      <c r="C200" t="s">
        <v>296</v>
      </c>
    </row>
    <row r="201" spans="1:3" x14ac:dyDescent="0.3">
      <c r="A201" t="s">
        <v>475</v>
      </c>
      <c r="B201">
        <f>Ingredientes!GX34</f>
        <v>8.9881976111147574E-4</v>
      </c>
      <c r="C201" t="s">
        <v>273</v>
      </c>
    </row>
    <row r="202" spans="1:3" x14ac:dyDescent="0.3">
      <c r="A202" t="s">
        <v>476</v>
      </c>
      <c r="B202">
        <f>Ingredientes!GY34</f>
        <v>2.5516875508195258E-3</v>
      </c>
      <c r="C202" t="s">
        <v>273</v>
      </c>
    </row>
    <row r="203" spans="1:3" x14ac:dyDescent="0.3">
      <c r="A203" t="s">
        <v>477</v>
      </c>
      <c r="B203">
        <f>Ingredientes!GZ34</f>
        <v>1.5146142157660936E-2</v>
      </c>
      <c r="C203" t="s">
        <v>273</v>
      </c>
    </row>
    <row r="204" spans="1:3" x14ac:dyDescent="0.3">
      <c r="A204" t="s">
        <v>478</v>
      </c>
      <c r="B204">
        <f>Ingredientes!HA34</f>
        <v>0.71562519911394595</v>
      </c>
      <c r="C204" t="s">
        <v>296</v>
      </c>
    </row>
    <row r="205" spans="1:3" x14ac:dyDescent="0.3">
      <c r="A205" t="s">
        <v>479</v>
      </c>
      <c r="B205">
        <f>Ingredientes!HB34</f>
        <v>1.1492542747036043</v>
      </c>
      <c r="C205" t="s">
        <v>296</v>
      </c>
    </row>
    <row r="206" spans="1:3" x14ac:dyDescent="0.3">
      <c r="A206" t="s">
        <v>480</v>
      </c>
      <c r="B206">
        <f>Ingredientes!HC34</f>
        <v>5.9143712525045203E-2</v>
      </c>
      <c r="C206" t="s">
        <v>296</v>
      </c>
    </row>
    <row r="207" spans="1:3" x14ac:dyDescent="0.3">
      <c r="A207" t="s">
        <v>481</v>
      </c>
      <c r="B207">
        <f>Ingredientes!HD34</f>
        <v>2.0446434260398456E-2</v>
      </c>
      <c r="C207" t="s">
        <v>296</v>
      </c>
    </row>
    <row r="208" spans="1:3" x14ac:dyDescent="0.3">
      <c r="A208" t="s">
        <v>482</v>
      </c>
      <c r="B208">
        <f>Ingredientes!HE34</f>
        <v>2.1132556215445381E-2</v>
      </c>
      <c r="C208" t="s">
        <v>296</v>
      </c>
    </row>
    <row r="209" spans="1:3" x14ac:dyDescent="0.3">
      <c r="A209" t="s">
        <v>483</v>
      </c>
      <c r="B209">
        <f>Ingredientes!HF34</f>
        <v>0</v>
      </c>
      <c r="C209" t="s">
        <v>273</v>
      </c>
    </row>
    <row r="210" spans="1:3" x14ac:dyDescent="0.3">
      <c r="A210" t="s">
        <v>484</v>
      </c>
      <c r="B210">
        <f>Ingredientes!HG34</f>
        <v>3.0101087904811422E-2</v>
      </c>
      <c r="C210" t="s">
        <v>306</v>
      </c>
    </row>
    <row r="211" spans="1:3" x14ac:dyDescent="0.3">
      <c r="A211" t="s">
        <v>485</v>
      </c>
      <c r="B211">
        <f>Ingredientes!HH34</f>
        <v>5.7915124796074604</v>
      </c>
      <c r="C211" t="s">
        <v>306</v>
      </c>
    </row>
    <row r="212" spans="1:3" x14ac:dyDescent="0.3">
      <c r="A212" t="s">
        <v>486</v>
      </c>
      <c r="B212">
        <f>Ingredientes!HI34</f>
        <v>0.6987752549331222</v>
      </c>
      <c r="C212" t="s">
        <v>306</v>
      </c>
    </row>
    <row r="213" spans="1:3" x14ac:dyDescent="0.3">
      <c r="A213" t="s">
        <v>487</v>
      </c>
      <c r="B213">
        <f>Ingredientes!HJ34</f>
        <v>3.6879055083772379E-3</v>
      </c>
      <c r="C213" t="s">
        <v>296</v>
      </c>
    </row>
    <row r="214" spans="1:3" x14ac:dyDescent="0.3">
      <c r="A214" t="s">
        <v>488</v>
      </c>
      <c r="B214">
        <f>Ingredientes!HK34</f>
        <v>9.6400134684093385E-3</v>
      </c>
      <c r="C214" t="s">
        <v>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Ingredientes</vt:lpstr>
      <vt:lpstr>Totales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Joaquín Torres</cp:lastModifiedBy>
  <dcterms:created xsi:type="dcterms:W3CDTF">2026-01-07T00:37:11Z</dcterms:created>
  <dcterms:modified xsi:type="dcterms:W3CDTF">2026-01-07T00:38:33Z</dcterms:modified>
</cp:coreProperties>
</file>