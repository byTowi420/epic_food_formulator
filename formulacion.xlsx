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6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O1" s="3" t="inlineStr">
        <is>
          <t>Carbohydrates</t>
        </is>
      </c>
      <c r="AA1" s="4" t="inlineStr">
        <is>
          <t>Minerals</t>
        </is>
      </c>
      <c r="AL1" s="5" t="inlineStr">
        <is>
          <t>Vitamins and Other Components</t>
        </is>
      </c>
      <c r="CK1" s="6" t="inlineStr">
        <is>
          <t>Lipids</t>
        </is>
      </c>
      <c r="EG1" s="7" t="inlineStr">
        <is>
          <t>Amino acids</t>
        </is>
      </c>
    </row>
    <row r="2">
      <c r="A2" s="8" t="inlineStr">
        <is>
          <t>FDC ID</t>
        </is>
      </c>
      <c r="B2" s="8" t="inlineStr">
        <is>
          <t>Descripcion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lipid (fat) (g)</t>
        </is>
      </c>
      <c r="M2" s="2" t="inlineStr">
        <is>
          <t>Total fat (NLEA) (g)</t>
        </is>
      </c>
      <c r="N2" s="2" t="inlineStr">
        <is>
          <t>Ash (g)</t>
        </is>
      </c>
      <c r="O2" s="3" t="inlineStr">
        <is>
          <t>Carbohydrate, by difference (g)</t>
        </is>
      </c>
      <c r="P2" s="3" t="inlineStr">
        <is>
          <t>Carbohydrate, by summation (g)</t>
        </is>
      </c>
      <c r="Q2" s="3" t="inlineStr">
        <is>
          <t>Fiber, total dietary (g)</t>
        </is>
      </c>
      <c r="R2" s="3" t="inlineStr">
        <is>
          <t>Sugars, Total (g)</t>
        </is>
      </c>
      <c r="S2" s="3" t="inlineStr">
        <is>
          <t>Sucrose (g)</t>
        </is>
      </c>
      <c r="T2" s="3" t="inlineStr">
        <is>
          <t>Glucose (g)</t>
        </is>
      </c>
      <c r="U2" s="3" t="inlineStr">
        <is>
          <t>Fructose (g)</t>
        </is>
      </c>
      <c r="V2" s="3" t="inlineStr">
        <is>
          <t>Lactose (g)</t>
        </is>
      </c>
      <c r="W2" s="3" t="inlineStr">
        <is>
          <t>Maltose (g)</t>
        </is>
      </c>
      <c r="X2" s="3" t="inlineStr">
        <is>
          <t>Starch (g)</t>
        </is>
      </c>
      <c r="Y2" s="3" t="inlineStr">
        <is>
          <t>Total Sugars (g)</t>
        </is>
      </c>
      <c r="Z2" s="3" t="inlineStr">
        <is>
          <t>Galactose (g)</t>
        </is>
      </c>
      <c r="AA2" s="4" t="inlineStr">
        <is>
          <t>Calcium, Ca (mg)</t>
        </is>
      </c>
      <c r="AB2" s="4" t="inlineStr">
        <is>
          <t>Iron, Fe (mg)</t>
        </is>
      </c>
      <c r="AC2" s="4" t="inlineStr">
        <is>
          <t>Magnesium, Mg (mg)</t>
        </is>
      </c>
      <c r="AD2" s="4" t="inlineStr">
        <is>
          <t>Phosphorus, P (mg)</t>
        </is>
      </c>
      <c r="AE2" s="4" t="inlineStr">
        <is>
          <t>Potassium, K (mg)</t>
        </is>
      </c>
      <c r="AF2" s="4" t="inlineStr">
        <is>
          <t>Sodium, Na (mg)</t>
        </is>
      </c>
      <c r="AG2" s="4" t="inlineStr">
        <is>
          <t>Zinc, Zn (mg)</t>
        </is>
      </c>
      <c r="AH2" s="4" t="inlineStr">
        <is>
          <t>Copper, Cu (mg)</t>
        </is>
      </c>
      <c r="AI2" s="4" t="inlineStr">
        <is>
          <t>Manganese, Mn (mg)</t>
        </is>
      </c>
      <c r="AJ2" s="4" t="inlineStr">
        <is>
          <t>Iodine, I (µg)</t>
        </is>
      </c>
      <c r="AK2" s="4" t="inlineStr">
        <is>
          <t>Selenium, Se (µg)</t>
        </is>
      </c>
      <c r="AL2" s="5" t="inlineStr">
        <is>
          <t>Thiamin (mg)</t>
        </is>
      </c>
      <c r="AM2" s="5" t="inlineStr">
        <is>
          <t>Riboflavin (mg)</t>
        </is>
      </c>
      <c r="AN2" s="5" t="inlineStr">
        <is>
          <t>Niacin (mg)</t>
        </is>
      </c>
      <c r="AO2" s="5" t="inlineStr">
        <is>
          <t>Vitamin B-6 (mg)</t>
        </is>
      </c>
      <c r="AP2" s="5" t="inlineStr">
        <is>
          <t>Folate, total (µg)</t>
        </is>
      </c>
      <c r="AQ2" s="5" t="inlineStr">
        <is>
          <t>Choline, total (mg)</t>
        </is>
      </c>
      <c r="AR2" s="5" t="inlineStr">
        <is>
          <t>Choline, free (mg)</t>
        </is>
      </c>
      <c r="AS2" s="5" t="inlineStr">
        <is>
          <t>Choline, from phosphocholine (mg)</t>
        </is>
      </c>
      <c r="AT2" s="5" t="inlineStr">
        <is>
          <t>Choline, from phosphotidyl choline (mg)</t>
        </is>
      </c>
      <c r="AU2" s="5" t="inlineStr">
        <is>
          <t>Choline, from glycerophosphocholine (mg)</t>
        </is>
      </c>
      <c r="AV2" s="5" t="inlineStr">
        <is>
          <t>Choline, from sphingomyelin (mg)</t>
        </is>
      </c>
      <c r="AW2" s="5" t="inlineStr">
        <is>
          <t>Betaine (mg)</t>
        </is>
      </c>
      <c r="AX2" s="5" t="inlineStr">
        <is>
          <t>Vitamin B-12 (µg)</t>
        </is>
      </c>
      <c r="AY2" s="5" t="inlineStr">
        <is>
          <t>Vitamin A, RAE (µg)</t>
        </is>
      </c>
      <c r="AZ2" s="5" t="inlineStr">
        <is>
          <t>Retinol (µg)</t>
        </is>
      </c>
      <c r="BA2" s="5" t="inlineStr">
        <is>
          <t>Carotene, beta (µg)</t>
        </is>
      </c>
      <c r="BB2" s="5" t="inlineStr">
        <is>
          <t>cis-beta-Carotene (µg)</t>
        </is>
      </c>
      <c r="BC2" s="5" t="inlineStr">
        <is>
          <t>trans-beta-Carotene (µg)</t>
        </is>
      </c>
      <c r="BD2" s="5" t="inlineStr">
        <is>
          <t>Carotene, alpha (µg)</t>
        </is>
      </c>
      <c r="BE2" s="5" t="inlineStr">
        <is>
          <t>Cryptoxanthin, beta (µg)</t>
        </is>
      </c>
      <c r="BF2" s="5" t="inlineStr">
        <is>
          <t>Cryptoxanthin, alpha (µg)</t>
        </is>
      </c>
      <c r="BG2" s="5" t="inlineStr">
        <is>
          <t>Lycopene (µg)</t>
        </is>
      </c>
      <c r="BH2" s="5" t="inlineStr">
        <is>
          <t>cis-Lycopene (µg)</t>
        </is>
      </c>
      <c r="BI2" s="5" t="inlineStr">
        <is>
          <t>trans-Lycopene (µg)</t>
        </is>
      </c>
      <c r="BJ2" s="5" t="inlineStr">
        <is>
          <t>cis-Lutein/Zeaxanthin (µg)</t>
        </is>
      </c>
      <c r="BK2" s="5" t="inlineStr">
        <is>
          <t>Lutein (µg)</t>
        </is>
      </c>
      <c r="BL2" s="5" t="inlineStr">
        <is>
          <t>Zeaxanthin (µg)</t>
        </is>
      </c>
      <c r="BM2" s="5" t="inlineStr">
        <is>
          <t>Vitamin D (D2 + D3), International Units (IU)</t>
        </is>
      </c>
      <c r="BN2" s="5" t="inlineStr">
        <is>
          <t>Vitamin D (D2 + D3) (µg)</t>
        </is>
      </c>
      <c r="BO2" s="5" t="inlineStr">
        <is>
          <t>Vitamin D2 (ergocalciferol) (µg)</t>
        </is>
      </c>
      <c r="BP2" s="5" t="inlineStr">
        <is>
          <t>Vitamin D3 (cholecalciferol) (µg)</t>
        </is>
      </c>
      <c r="BQ2" s="5" t="inlineStr">
        <is>
          <t>25-hydroxycholecalciferol (µg)</t>
        </is>
      </c>
      <c r="BR2" s="5" t="inlineStr">
        <is>
          <t>Vitamin C, total ascorbic acid (mg)</t>
        </is>
      </c>
      <c r="BS2" s="5" t="inlineStr">
        <is>
          <t>Pantothenic acid (mg)</t>
        </is>
      </c>
      <c r="BT2" s="5" t="inlineStr">
        <is>
          <t>Folic acid (µg)</t>
        </is>
      </c>
      <c r="BU2" s="5" t="inlineStr">
        <is>
          <t>Folate, food (µg)</t>
        </is>
      </c>
      <c r="BV2" s="5" t="inlineStr">
        <is>
          <t>Folate, DFE (µg)</t>
        </is>
      </c>
      <c r="BW2" s="5" t="inlineStr">
        <is>
          <t>Vitamin B-12, added (µg)</t>
        </is>
      </c>
      <c r="BX2" s="5" t="inlineStr">
        <is>
          <t>Vitamin A, IU (IU)</t>
        </is>
      </c>
      <c r="BY2" s="5" t="inlineStr">
        <is>
          <t>Lutein + zeaxanthin (µg)</t>
        </is>
      </c>
      <c r="BZ2" s="5" t="inlineStr">
        <is>
          <t>Vitamin E (alpha-tocopherol) (mg)</t>
        </is>
      </c>
      <c r="CA2" s="5" t="inlineStr">
        <is>
          <t>Vitamin E, added (mg)</t>
        </is>
      </c>
      <c r="CB2" s="5" t="inlineStr">
        <is>
          <t>Vitamin K (phylloquinone) (µg)</t>
        </is>
      </c>
      <c r="CC2" s="5" t="inlineStr">
        <is>
          <t>Tocopherol, beta (mg)</t>
        </is>
      </c>
      <c r="CD2" s="5" t="inlineStr">
        <is>
          <t>Tocopherol, gamma (mg)</t>
        </is>
      </c>
      <c r="CE2" s="5" t="inlineStr">
        <is>
          <t>Tocopherol, delta (mg)</t>
        </is>
      </c>
      <c r="CF2" s="5" t="inlineStr">
        <is>
          <t>Tocotrienol, alpha (mg)</t>
        </is>
      </c>
      <c r="CG2" s="5" t="inlineStr">
        <is>
          <t>Tocotrienol, beta (mg)</t>
        </is>
      </c>
      <c r="CH2" s="5" t="inlineStr">
        <is>
          <t>Tocotrienol, gamma (mg)</t>
        </is>
      </c>
      <c r="CI2" s="5" t="inlineStr">
        <is>
          <t>Tocotrienol, delta (mg)</t>
        </is>
      </c>
      <c r="CJ2" s="5" t="inlineStr">
        <is>
          <t>Vitamin K (Dihydrophylloquinone) (µg)</t>
        </is>
      </c>
      <c r="CK2" s="6" t="inlineStr">
        <is>
          <t>Fatty acids, total saturated (g)</t>
        </is>
      </c>
      <c r="CL2" s="6" t="inlineStr">
        <is>
          <t>SFA 14:0 (g)</t>
        </is>
      </c>
      <c r="CM2" s="6" t="inlineStr">
        <is>
          <t>SFA 16:0 (g)</t>
        </is>
      </c>
      <c r="CN2" s="6" t="inlineStr">
        <is>
          <t>SFA 18:0 (g)</t>
        </is>
      </c>
      <c r="CO2" s="6" t="inlineStr">
        <is>
          <t>Fatty acids, total monounsaturated (g)</t>
        </is>
      </c>
      <c r="CP2" s="6" t="inlineStr">
        <is>
          <t>MUFA 16:1 c (g)</t>
        </is>
      </c>
      <c r="CQ2" s="6" t="inlineStr">
        <is>
          <t>MUFA 18:1 c (g)</t>
        </is>
      </c>
      <c r="CR2" s="6" t="inlineStr">
        <is>
          <t>Fatty acids, total polyunsaturated (g)</t>
        </is>
      </c>
      <c r="CS2" s="6" t="inlineStr">
        <is>
          <t>PUFA 18:2 c (g)</t>
        </is>
      </c>
      <c r="CT2" s="6" t="inlineStr">
        <is>
          <t>PUFA 18:2 n-6 c,c (g)</t>
        </is>
      </c>
      <c r="CU2" s="6" t="inlineStr">
        <is>
          <t>PUFA 18:3 c (g)</t>
        </is>
      </c>
      <c r="CV2" s="6" t="inlineStr">
        <is>
          <t>PUFA 18:3 n-6 c,c,c (g)</t>
        </is>
      </c>
      <c r="CW2" s="6" t="inlineStr">
        <is>
          <t>PUFA 20:3 c (g)</t>
        </is>
      </c>
      <c r="CX2" s="6" t="inlineStr">
        <is>
          <t>PUFA 20:3 n-6 (g)</t>
        </is>
      </c>
      <c r="CY2" s="6" t="inlineStr">
        <is>
          <t>Cholesterol (mg)</t>
        </is>
      </c>
      <c r="CZ2" s="6" t="inlineStr">
        <is>
          <t>SFA 4:0 (g)</t>
        </is>
      </c>
      <c r="DA2" s="6" t="inlineStr">
        <is>
          <t>SFA 6:0 (g)</t>
        </is>
      </c>
      <c r="DB2" s="6" t="inlineStr">
        <is>
          <t>SFA 8:0 (g)</t>
        </is>
      </c>
      <c r="DC2" s="6" t="inlineStr">
        <is>
          <t>SFA 10:0 (g)</t>
        </is>
      </c>
      <c r="DD2" s="6" t="inlineStr">
        <is>
          <t>SFA 12:0 (g)</t>
        </is>
      </c>
      <c r="DE2" s="6" t="inlineStr">
        <is>
          <t>MUFA 16:1 (g)</t>
        </is>
      </c>
      <c r="DF2" s="6" t="inlineStr">
        <is>
          <t>MUFA 18:1 (g)</t>
        </is>
      </c>
      <c r="DG2" s="6" t="inlineStr">
        <is>
          <t>MUFA 20:1 (g)</t>
        </is>
      </c>
      <c r="DH2" s="6" t="inlineStr">
        <is>
          <t>MUFA 22:1 (g)</t>
        </is>
      </c>
      <c r="DI2" s="6" t="inlineStr">
        <is>
          <t>PUFA 18:2 (g)</t>
        </is>
      </c>
      <c r="DJ2" s="6" t="inlineStr">
        <is>
          <t>PUFA 18:3 (g)</t>
        </is>
      </c>
      <c r="DK2" s="6" t="inlineStr">
        <is>
          <t>PUFA 18:4 (g)</t>
        </is>
      </c>
      <c r="DL2" s="6" t="inlineStr">
        <is>
          <t>PUFA 20:4 (g)</t>
        </is>
      </c>
      <c r="DM2" s="6" t="inlineStr">
        <is>
          <t>PUFA 20:5 n-3 (EPA) (g)</t>
        </is>
      </c>
      <c r="DN2" s="6" t="inlineStr">
        <is>
          <t>PUFA 22:5 n-3 (DPA) (g)</t>
        </is>
      </c>
      <c r="DO2" s="6" t="inlineStr">
        <is>
          <t>PUFA 22:6 n-3 (DHA) (g)</t>
        </is>
      </c>
      <c r="DP2" s="6" t="inlineStr">
        <is>
          <t>Fatty acids, total trans (g)</t>
        </is>
      </c>
      <c r="DQ2" s="6" t="inlineStr">
        <is>
          <t>SFA 13:0 (g)</t>
        </is>
      </c>
      <c r="DR2" s="6" t="inlineStr">
        <is>
          <t>SFA 15:0 (g)</t>
        </is>
      </c>
      <c r="DS2" s="6" t="inlineStr">
        <is>
          <t>SFA 17:0 (g)</t>
        </is>
      </c>
      <c r="DT2" s="6" t="inlineStr">
        <is>
          <t>SFA 20:0 (g)</t>
        </is>
      </c>
      <c r="DU2" s="6" t="inlineStr">
        <is>
          <t>SFA 22:0 (g)</t>
        </is>
      </c>
      <c r="DV2" s="6" t="inlineStr">
        <is>
          <t>SFA 24:0 (g)</t>
        </is>
      </c>
      <c r="DW2" s="6" t="inlineStr">
        <is>
          <t>MUFA 14:1 (g)</t>
        </is>
      </c>
      <c r="DX2" s="6" t="inlineStr">
        <is>
          <t>MUFA 15:1 (g)</t>
        </is>
      </c>
      <c r="DY2" s="6" t="inlineStr">
        <is>
          <t>MUFA 17:1 (g)</t>
        </is>
      </c>
      <c r="DZ2" s="6" t="inlineStr">
        <is>
          <t>MUFA 24:1 c (g)</t>
        </is>
      </c>
      <c r="EA2" s="6" t="inlineStr">
        <is>
          <t>PUFA 18:3 n-3 c,c,c (ALA) (g)</t>
        </is>
      </c>
      <c r="EB2" s="6" t="inlineStr">
        <is>
          <t>PUFA 20:2 n-6 c,c (g)</t>
        </is>
      </c>
      <c r="EC2" s="6" t="inlineStr">
        <is>
          <t>PUFA 20:3 (g)</t>
        </is>
      </c>
      <c r="ED2" s="6" t="inlineStr">
        <is>
          <t>Fatty acids, total trans-monoenoic (g)</t>
        </is>
      </c>
      <c r="EE2" s="6" t="inlineStr">
        <is>
          <t>TFA 18:1 t (g)</t>
        </is>
      </c>
      <c r="EF2" s="6" t="inlineStr">
        <is>
          <t>Phytosterols (mg)</t>
        </is>
      </c>
      <c r="EG2" s="7" t="inlineStr">
        <is>
          <t>Tryptophan (g)</t>
        </is>
      </c>
      <c r="EH2" s="7" t="inlineStr">
        <is>
          <t>Threonine (g)</t>
        </is>
      </c>
      <c r="EI2" s="7" t="inlineStr">
        <is>
          <t>Isoleucine (g)</t>
        </is>
      </c>
      <c r="EJ2" s="7" t="inlineStr">
        <is>
          <t>Leucine (g)</t>
        </is>
      </c>
      <c r="EK2" s="7" t="inlineStr">
        <is>
          <t>Lysine (g)</t>
        </is>
      </c>
      <c r="EL2" s="7" t="inlineStr">
        <is>
          <t>Methionine (g)</t>
        </is>
      </c>
      <c r="EM2" s="7" t="inlineStr">
        <is>
          <t>Phenylalanine (g)</t>
        </is>
      </c>
      <c r="EN2" s="7" t="inlineStr">
        <is>
          <t>Tyrosine (g)</t>
        </is>
      </c>
      <c r="EO2" s="7" t="inlineStr">
        <is>
          <t>Valine (g)</t>
        </is>
      </c>
      <c r="EP2" s="7" t="inlineStr">
        <is>
          <t>Arginine (g)</t>
        </is>
      </c>
      <c r="EQ2" s="7" t="inlineStr">
        <is>
          <t>Histidine (g)</t>
        </is>
      </c>
      <c r="ER2" s="7" t="inlineStr">
        <is>
          <t>Alanine (g)</t>
        </is>
      </c>
      <c r="ES2" s="7" t="inlineStr">
        <is>
          <t>Aspartic acid (g)</t>
        </is>
      </c>
      <c r="ET2" s="7" t="inlineStr">
        <is>
          <t>Glutamic acid (g)</t>
        </is>
      </c>
      <c r="EU2" s="7" t="inlineStr">
        <is>
          <t>Glycine (g)</t>
        </is>
      </c>
      <c r="EV2" s="7" t="inlineStr">
        <is>
          <t>Proline (g)</t>
        </is>
      </c>
      <c r="EW2" s="7" t="inlineStr">
        <is>
          <t>Serine (g)</t>
        </is>
      </c>
      <c r="EX2" s="7" t="inlineStr">
        <is>
          <t>Hydroxyproline (g)</t>
        </is>
      </c>
      <c r="EY2" s="7" t="inlineStr">
        <is>
          <t>Cysteine (g)</t>
        </is>
      </c>
      <c r="EZ2" s="7" t="inlineStr">
        <is>
          <t>Alcohol, ethyl (g)</t>
        </is>
      </c>
      <c r="FA2" s="7" t="inlineStr">
        <is>
          <t>Caffeine (mg)</t>
        </is>
      </c>
      <c r="FB2" s="7" t="inlineStr">
        <is>
          <t>Theobromine (mg)</t>
        </is>
      </c>
      <c r="FC2" s="7" t="inlineStr">
        <is>
          <t>Cystine (g)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100</v>
      </c>
      <c r="F3" s="10">
        <f>E3/SUM($E$3:$E$5)</f>
        <v/>
      </c>
      <c r="G3" t="n">
        <v>75.8</v>
      </c>
      <c r="H3" t="n">
        <v>148</v>
      </c>
      <c r="I3" t="n">
        <v>617</v>
      </c>
      <c r="J3" t="n">
        <v>1.99</v>
      </c>
      <c r="K3" t="n">
        <v>12.4</v>
      </c>
      <c r="L3" t="n">
        <v>9.960000000000001</v>
      </c>
      <c r="M3" t="n">
        <v>8.65</v>
      </c>
      <c r="N3" t="n">
        <v>0.85</v>
      </c>
      <c r="O3" t="n">
        <v>0.96</v>
      </c>
      <c r="P3" t="n">
        <v>0.2</v>
      </c>
      <c r="Q3" t="n">
        <v>0</v>
      </c>
      <c r="R3" t="n">
        <v>0.2</v>
      </c>
      <c r="S3" t="n">
        <v>0</v>
      </c>
      <c r="T3" t="n">
        <v>0.2</v>
      </c>
      <c r="U3" t="n">
        <v>0</v>
      </c>
      <c r="V3" t="n">
        <v>0</v>
      </c>
      <c r="W3" t="n">
        <v>0</v>
      </c>
      <c r="X3" t="n">
        <v>0</v>
      </c>
      <c r="AA3" t="n">
        <v>48</v>
      </c>
      <c r="AB3" t="n">
        <v>1.67</v>
      </c>
      <c r="AC3" t="n">
        <v>11.4</v>
      </c>
      <c r="AD3" t="n">
        <v>184</v>
      </c>
      <c r="AE3" t="n">
        <v>132</v>
      </c>
      <c r="AF3" t="n">
        <v>129</v>
      </c>
      <c r="AG3" t="n">
        <v>1.24</v>
      </c>
      <c r="AH3" t="n">
        <v>0</v>
      </c>
      <c r="AI3" t="n">
        <v>0</v>
      </c>
      <c r="AJ3" t="n">
        <v>49.1</v>
      </c>
      <c r="AK3" t="n">
        <v>31.1</v>
      </c>
      <c r="AL3" t="n">
        <v>0.077</v>
      </c>
      <c r="AM3" t="n">
        <v>0.419</v>
      </c>
      <c r="AN3" t="n">
        <v>0</v>
      </c>
      <c r="AO3" t="n">
        <v>0.063</v>
      </c>
      <c r="AP3" t="n">
        <v>71</v>
      </c>
      <c r="AQ3" t="n">
        <v>335</v>
      </c>
      <c r="AR3" t="n">
        <v>0.6</v>
      </c>
      <c r="AS3" t="n">
        <v>309</v>
      </c>
      <c r="AT3" t="n">
        <v>0.2</v>
      </c>
      <c r="AU3" t="n">
        <v>0.2</v>
      </c>
      <c r="AV3" t="n">
        <v>25.1</v>
      </c>
      <c r="AW3" t="n">
        <v>0.3</v>
      </c>
      <c r="AX3" t="n">
        <v>1.02</v>
      </c>
      <c r="AY3" t="n">
        <v>180</v>
      </c>
      <c r="AZ3" t="n">
        <v>179</v>
      </c>
      <c r="BA3" t="n">
        <v>0</v>
      </c>
      <c r="BB3" t="n">
        <v>0</v>
      </c>
      <c r="BC3" t="n">
        <v>0</v>
      </c>
      <c r="BD3" t="n">
        <v>0</v>
      </c>
      <c r="BE3" t="n">
        <v>13</v>
      </c>
      <c r="BF3" t="n">
        <v>13</v>
      </c>
      <c r="BG3" t="n">
        <v>0</v>
      </c>
      <c r="BH3" t="n">
        <v>0</v>
      </c>
      <c r="BI3" t="n">
        <v>0</v>
      </c>
      <c r="BJ3" t="n">
        <v>57</v>
      </c>
      <c r="BK3" t="n">
        <v>230</v>
      </c>
      <c r="BL3" t="n">
        <v>229</v>
      </c>
      <c r="BM3" t="n">
        <v>98.40000000000001</v>
      </c>
      <c r="BN3" t="n">
        <v>2.46</v>
      </c>
      <c r="BO3" t="n">
        <v>0</v>
      </c>
      <c r="BP3" t="n">
        <v>2.46</v>
      </c>
      <c r="BQ3" t="n">
        <v>0.5600000000000001</v>
      </c>
      <c r="CK3" t="n">
        <v>3.2</v>
      </c>
      <c r="CL3" t="n">
        <v>0.032</v>
      </c>
      <c r="CM3" t="n">
        <v>2.32</v>
      </c>
      <c r="CN3" t="n">
        <v>0.8129999999999999</v>
      </c>
      <c r="CO3" t="n">
        <v>3.63</v>
      </c>
      <c r="CP3" t="n">
        <v>0.238</v>
      </c>
      <c r="CQ3" t="n">
        <v>3.35</v>
      </c>
      <c r="CR3" t="n">
        <v>1.82</v>
      </c>
      <c r="CS3" t="n">
        <v>1.46</v>
      </c>
      <c r="CT3" t="n">
        <v>1.46</v>
      </c>
      <c r="CU3" t="n">
        <v>0.011</v>
      </c>
      <c r="CV3" t="n">
        <v>0.011</v>
      </c>
      <c r="CW3" t="n">
        <v>0.02</v>
      </c>
      <c r="CX3" t="n">
        <v>0.02</v>
      </c>
      <c r="CY3" t="n">
        <v>411</v>
      </c>
      <c r="EG3" t="n">
        <v>0.166</v>
      </c>
      <c r="EH3" t="n">
        <v>0.594</v>
      </c>
      <c r="EI3" t="n">
        <v>0.616</v>
      </c>
      <c r="EJ3" t="n">
        <v>1.05</v>
      </c>
      <c r="EK3" t="n">
        <v>0.832</v>
      </c>
      <c r="EL3" t="n">
        <v>0.418</v>
      </c>
      <c r="EM3" t="n">
        <v>0.66</v>
      </c>
      <c r="EN3" t="n">
        <v>0.512</v>
      </c>
      <c r="EO3" t="n">
        <v>0.734</v>
      </c>
      <c r="EP3" t="n">
        <v>0.787</v>
      </c>
      <c r="EQ3" t="n">
        <v>0.283</v>
      </c>
      <c r="ER3" t="n">
        <v>0.667</v>
      </c>
      <c r="ES3" t="n">
        <v>1.27</v>
      </c>
      <c r="ET3" t="n">
        <v>1.63</v>
      </c>
      <c r="EU3" t="n">
        <v>0.408</v>
      </c>
      <c r="EV3" t="n">
        <v>0.5600000000000001</v>
      </c>
      <c r="EW3" t="n">
        <v>0.919</v>
      </c>
      <c r="EX3" t="n">
        <v>0</v>
      </c>
      <c r="EY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150</v>
      </c>
      <c r="F4" s="10">
        <f>E4/SUM($E$3:$E$5)</f>
        <v/>
      </c>
      <c r="G4" t="n">
        <v>99.98</v>
      </c>
      <c r="H4" t="n">
        <v>0</v>
      </c>
      <c r="I4" t="n">
        <v>0</v>
      </c>
      <c r="K4" t="n">
        <v>0</v>
      </c>
      <c r="L4" t="n">
        <v>0</v>
      </c>
      <c r="N4" t="n">
        <v>0.07000000000000001</v>
      </c>
      <c r="O4" t="n">
        <v>0</v>
      </c>
      <c r="Q4" t="n">
        <v>0</v>
      </c>
      <c r="Y4" t="n">
        <v>0</v>
      </c>
      <c r="AA4" t="n">
        <v>10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0.007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X4" t="n">
        <v>0</v>
      </c>
      <c r="AY4" t="n">
        <v>0</v>
      </c>
      <c r="AZ4" t="n">
        <v>0</v>
      </c>
      <c r="BA4" t="n">
        <v>0</v>
      </c>
      <c r="BD4" t="n">
        <v>0</v>
      </c>
      <c r="BE4" t="n">
        <v>0</v>
      </c>
      <c r="BG4" t="n">
        <v>0</v>
      </c>
      <c r="BM4" t="n">
        <v>0</v>
      </c>
      <c r="BN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R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EZ4" t="n">
        <v>0</v>
      </c>
      <c r="FA4" t="n">
        <v>0</v>
      </c>
      <c r="FB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50</v>
      </c>
      <c r="F5" s="10">
        <f>E5/SUM($E$3:$E$5)</f>
        <v/>
      </c>
      <c r="G5" t="n">
        <v>10.58</v>
      </c>
      <c r="H5" t="n">
        <v>247</v>
      </c>
      <c r="I5" t="n">
        <v>1035</v>
      </c>
      <c r="K5" t="n">
        <v>3.99</v>
      </c>
      <c r="L5" t="n">
        <v>1.24</v>
      </c>
      <c r="N5" t="n">
        <v>3.6</v>
      </c>
      <c r="O5" t="n">
        <v>80.59</v>
      </c>
      <c r="Q5" t="n">
        <v>53.1</v>
      </c>
      <c r="S5" t="n">
        <v>0.02</v>
      </c>
      <c r="T5" t="n">
        <v>1.04</v>
      </c>
      <c r="U5" t="n">
        <v>1.11</v>
      </c>
      <c r="V5" t="n">
        <v>0</v>
      </c>
      <c r="W5" t="n">
        <v>0</v>
      </c>
      <c r="Y5" t="n">
        <v>2.17</v>
      </c>
      <c r="Z5" t="n">
        <v>0</v>
      </c>
      <c r="AA5" t="n">
        <v>1002</v>
      </c>
      <c r="AB5" t="n">
        <v>8.32</v>
      </c>
      <c r="AC5" t="n">
        <v>60</v>
      </c>
      <c r="AD5" t="n">
        <v>64</v>
      </c>
      <c r="AE5" t="n">
        <v>431</v>
      </c>
      <c r="AF5" t="n">
        <v>10</v>
      </c>
      <c r="AG5" t="n">
        <v>1.83</v>
      </c>
      <c r="AH5" t="n">
        <v>0.339</v>
      </c>
      <c r="AI5" t="n">
        <v>17.466</v>
      </c>
      <c r="AK5" t="n">
        <v>3.1</v>
      </c>
      <c r="AL5" t="n">
        <v>0.022</v>
      </c>
      <c r="AM5" t="n">
        <v>0.041</v>
      </c>
      <c r="AN5" t="n">
        <v>1.332</v>
      </c>
      <c r="AO5" t="n">
        <v>0.158</v>
      </c>
      <c r="AP5" t="n">
        <v>6</v>
      </c>
      <c r="AQ5" t="n">
        <v>11</v>
      </c>
      <c r="AW5" t="n">
        <v>3.9</v>
      </c>
      <c r="AX5" t="n">
        <v>0</v>
      </c>
      <c r="AY5" t="n">
        <v>15</v>
      </c>
      <c r="AZ5" t="n">
        <v>0</v>
      </c>
      <c r="BA5" t="n">
        <v>112</v>
      </c>
      <c r="BD5" t="n">
        <v>1</v>
      </c>
      <c r="BE5" t="n">
        <v>129</v>
      </c>
      <c r="BG5" t="n">
        <v>15</v>
      </c>
      <c r="BM5" t="n">
        <v>0</v>
      </c>
      <c r="BN5" t="n">
        <v>0</v>
      </c>
      <c r="BR5" t="n">
        <v>3.8</v>
      </c>
      <c r="BS5" t="n">
        <v>0.358</v>
      </c>
      <c r="BT5" t="n">
        <v>0</v>
      </c>
      <c r="BU5" t="n">
        <v>6</v>
      </c>
      <c r="BV5" t="n">
        <v>6</v>
      </c>
      <c r="BW5" t="n">
        <v>0</v>
      </c>
      <c r="BX5" t="n">
        <v>295</v>
      </c>
      <c r="BY5" t="n">
        <v>222</v>
      </c>
      <c r="BZ5" t="n">
        <v>2.32</v>
      </c>
      <c r="CA5" t="n">
        <v>0</v>
      </c>
      <c r="CB5" t="n">
        <v>31.2</v>
      </c>
      <c r="CC5" t="n">
        <v>0</v>
      </c>
      <c r="CD5" t="n">
        <v>10.44</v>
      </c>
      <c r="CE5" t="n">
        <v>0.26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0.345</v>
      </c>
      <c r="CL5" t="n">
        <v>0.008999999999999999</v>
      </c>
      <c r="CM5" t="n">
        <v>0.104</v>
      </c>
      <c r="CN5" t="n">
        <v>0.082</v>
      </c>
      <c r="CO5" t="n">
        <v>0.246</v>
      </c>
      <c r="CQ5" t="n">
        <v>0.246</v>
      </c>
      <c r="CR5" t="n">
        <v>0.068</v>
      </c>
      <c r="CV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0.003</v>
      </c>
      <c r="DD5" t="n">
        <v>0.006</v>
      </c>
      <c r="DE5" t="n">
        <v>0.001</v>
      </c>
      <c r="DF5" t="n">
        <v>0.246</v>
      </c>
      <c r="DG5" t="n">
        <v>0</v>
      </c>
      <c r="DH5" t="n">
        <v>0</v>
      </c>
      <c r="DI5" t="n">
        <v>0.044</v>
      </c>
      <c r="DJ5" t="n">
        <v>0.011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0.136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0.011</v>
      </c>
      <c r="EB5" t="n">
        <v>0</v>
      </c>
      <c r="EC5" t="n">
        <v>0</v>
      </c>
      <c r="ED5" t="n">
        <v>0</v>
      </c>
      <c r="EE5" t="n">
        <v>0</v>
      </c>
      <c r="EF5" t="n">
        <v>26</v>
      </c>
      <c r="EG5" t="n">
        <v>0.049</v>
      </c>
      <c r="EH5" t="n">
        <v>0.136</v>
      </c>
      <c r="EI5" t="n">
        <v>0.146</v>
      </c>
      <c r="EJ5" t="n">
        <v>0.253</v>
      </c>
      <c r="EK5" t="n">
        <v>0.243</v>
      </c>
      <c r="EL5" t="n">
        <v>0.078</v>
      </c>
      <c r="EM5" t="n">
        <v>0.146</v>
      </c>
      <c r="EN5" t="n">
        <v>0.136</v>
      </c>
      <c r="EO5" t="n">
        <v>0.224</v>
      </c>
      <c r="EP5" t="n">
        <v>0.166</v>
      </c>
      <c r="EQ5" t="n">
        <v>0.117</v>
      </c>
      <c r="ER5" t="n">
        <v>0.166</v>
      </c>
      <c r="ES5" t="n">
        <v>0.438</v>
      </c>
      <c r="ET5" t="n">
        <v>0.37</v>
      </c>
      <c r="EU5" t="n">
        <v>0.195</v>
      </c>
      <c r="EV5" t="n">
        <v>0.419</v>
      </c>
      <c r="EW5" t="n">
        <v>0.195</v>
      </c>
      <c r="EX5" t="n">
        <v>0</v>
      </c>
      <c r="EZ5" t="n">
        <v>0</v>
      </c>
      <c r="FA5" t="n">
        <v>0</v>
      </c>
      <c r="FB5" t="n">
        <v>0</v>
      </c>
      <c r="FC5" t="n">
        <v>0.058</v>
      </c>
    </row>
    <row r="6">
      <c r="A6" t="inlineStr">
        <is>
          <t>Total</t>
        </is>
      </c>
      <c r="B6" t="inlineStr">
        <is>
          <t>Formulado</t>
        </is>
      </c>
      <c r="C6" t="inlineStr">
        <is>
          <t>Formulado</t>
        </is>
      </c>
      <c r="D6" t="inlineStr">
        <is>
          <t>Formulado</t>
        </is>
      </c>
      <c r="E6" s="11">
        <f>SUBTOTAL(9,E3:E5)</f>
        <v/>
      </c>
      <c r="F6" s="12" t="inlineStr">
        <is>
          <t>100%</t>
        </is>
      </c>
      <c r="G6" s="13">
        <f>SUMPRODUCT($F$3:$F$5,$G$3:$G$5)</f>
        <v/>
      </c>
      <c r="H6" s="13">
        <f>SUMPRODUCT($F$3:$F$5,$H$3:$H$5)</f>
        <v/>
      </c>
      <c r="I6" s="13">
        <f>SUMPRODUCT($F$3:$F$5,$I$3:$I$5)</f>
        <v/>
      </c>
      <c r="J6" s="13">
        <f>SUMPRODUCT($F$3:$F$5,$J$3:$J$5)</f>
        <v/>
      </c>
      <c r="K6" s="13">
        <f>SUMPRODUCT($F$3:$F$5,$K$3:$K$5)</f>
        <v/>
      </c>
      <c r="L6" s="13">
        <f>SUMPRODUCT($F$3:$F$5,$L$3:$L$5)</f>
        <v/>
      </c>
      <c r="M6" s="13">
        <f>SUMPRODUCT($F$3:$F$5,$M$3:$M$5)</f>
        <v/>
      </c>
      <c r="N6" s="13">
        <f>SUMPRODUCT($F$3:$F$5,$N$3:$N$5)</f>
        <v/>
      </c>
      <c r="O6" s="13">
        <f>SUMPRODUCT($F$3:$F$5,$O$3:$O$5)</f>
        <v/>
      </c>
      <c r="P6" s="13">
        <f>SUMPRODUCT($F$3:$F$5,$P$3:$P$5)</f>
        <v/>
      </c>
      <c r="Q6" s="13">
        <f>SUMPRODUCT($F$3:$F$5,$Q$3:$Q$5)</f>
        <v/>
      </c>
      <c r="R6" s="13">
        <f>SUMPRODUCT($F$3:$F$5,$R$3:$R$5)</f>
        <v/>
      </c>
      <c r="S6" s="13">
        <f>SUMPRODUCT($F$3:$F$5,$S$3:$S$5)</f>
        <v/>
      </c>
      <c r="T6" s="13">
        <f>SUMPRODUCT($F$3:$F$5,$T$3:$T$5)</f>
        <v/>
      </c>
      <c r="U6" s="13">
        <f>SUMPRODUCT($F$3:$F$5,$U$3:$U$5)</f>
        <v/>
      </c>
      <c r="V6" s="13">
        <f>SUMPRODUCT($F$3:$F$5,$V$3:$V$5)</f>
        <v/>
      </c>
      <c r="W6" s="13">
        <f>SUMPRODUCT($F$3:$F$5,$W$3:$W$5)</f>
        <v/>
      </c>
      <c r="X6" s="13">
        <f>SUMPRODUCT($F$3:$F$5,$X$3:$X$5)</f>
        <v/>
      </c>
      <c r="Y6" s="13">
        <f>SUMPRODUCT($F$3:$F$5,$Y$3:$Y$5)</f>
        <v/>
      </c>
      <c r="Z6" s="13">
        <f>SUMPRODUCT($F$3:$F$5,$Z$3:$Z$5)</f>
        <v/>
      </c>
      <c r="AA6" s="13">
        <f>SUMPRODUCT($F$3:$F$5,$AA$3:$AA$5)</f>
        <v/>
      </c>
      <c r="AB6" s="13">
        <f>SUMPRODUCT($F$3:$F$5,$AB$3:$AB$5)</f>
        <v/>
      </c>
      <c r="AC6" s="13">
        <f>SUMPRODUCT($F$3:$F$5,$AC$3:$AC$5)</f>
        <v/>
      </c>
      <c r="AD6" s="13">
        <f>SUMPRODUCT($F$3:$F$5,$AD$3:$AD$5)</f>
        <v/>
      </c>
      <c r="AE6" s="13">
        <f>SUMPRODUCT($F$3:$F$5,$AE$3:$AE$5)</f>
        <v/>
      </c>
      <c r="AF6" s="13">
        <f>SUMPRODUCT($F$3:$F$5,$AF$3:$AF$5)</f>
        <v/>
      </c>
      <c r="AG6" s="13">
        <f>SUMPRODUCT($F$3:$F$5,$AG$3:$AG$5)</f>
        <v/>
      </c>
      <c r="AH6" s="13">
        <f>SUMPRODUCT($F$3:$F$5,$AH$3:$AH$5)</f>
        <v/>
      </c>
      <c r="AI6" s="13">
        <f>SUMPRODUCT($F$3:$F$5,$AI$3:$AI$5)</f>
        <v/>
      </c>
      <c r="AJ6" s="13">
        <f>SUMPRODUCT($F$3:$F$5,$AJ$3:$AJ$5)</f>
        <v/>
      </c>
      <c r="AK6" s="13">
        <f>SUMPRODUCT($F$3:$F$5,$AK$3:$AK$5)</f>
        <v/>
      </c>
      <c r="AL6" s="13">
        <f>SUMPRODUCT($F$3:$F$5,$AL$3:$AL$5)</f>
        <v/>
      </c>
      <c r="AM6" s="13">
        <f>SUMPRODUCT($F$3:$F$5,$AM$3:$AM$5)</f>
        <v/>
      </c>
      <c r="AN6" s="13">
        <f>SUMPRODUCT($F$3:$F$5,$AN$3:$AN$5)</f>
        <v/>
      </c>
      <c r="AO6" s="13">
        <f>SUMPRODUCT($F$3:$F$5,$AO$3:$AO$5)</f>
        <v/>
      </c>
      <c r="AP6" s="13">
        <f>SUMPRODUCT($F$3:$F$5,$AP$3:$AP$5)</f>
        <v/>
      </c>
      <c r="AQ6" s="13">
        <f>SUMPRODUCT($F$3:$F$5,$AQ$3:$AQ$5)</f>
        <v/>
      </c>
      <c r="AR6" s="13">
        <f>SUMPRODUCT($F$3:$F$5,$AR$3:$AR$5)</f>
        <v/>
      </c>
      <c r="AS6" s="13">
        <f>SUMPRODUCT($F$3:$F$5,$AS$3:$AS$5)</f>
        <v/>
      </c>
      <c r="AT6" s="13">
        <f>SUMPRODUCT($F$3:$F$5,$AT$3:$AT$5)</f>
        <v/>
      </c>
      <c r="AU6" s="13">
        <f>SUMPRODUCT($F$3:$F$5,$AU$3:$AU$5)</f>
        <v/>
      </c>
      <c r="AV6" s="13">
        <f>SUMPRODUCT($F$3:$F$5,$AV$3:$AV$5)</f>
        <v/>
      </c>
      <c r="AW6" s="13">
        <f>SUMPRODUCT($F$3:$F$5,$AW$3:$AW$5)</f>
        <v/>
      </c>
      <c r="AX6" s="13">
        <f>SUMPRODUCT($F$3:$F$5,$AX$3:$AX$5)</f>
        <v/>
      </c>
      <c r="AY6" s="13">
        <f>SUMPRODUCT($F$3:$F$5,$AY$3:$AY$5)</f>
        <v/>
      </c>
      <c r="AZ6" s="13">
        <f>SUMPRODUCT($F$3:$F$5,$AZ$3:$AZ$5)</f>
        <v/>
      </c>
      <c r="BA6" s="13">
        <f>SUMPRODUCT($F$3:$F$5,$BA$3:$BA$5)</f>
        <v/>
      </c>
      <c r="BB6" s="13">
        <f>SUMPRODUCT($F$3:$F$5,$BB$3:$BB$5)</f>
        <v/>
      </c>
      <c r="BC6" s="13">
        <f>SUMPRODUCT($F$3:$F$5,$BC$3:$BC$5)</f>
        <v/>
      </c>
      <c r="BD6" s="13">
        <f>SUMPRODUCT($F$3:$F$5,$BD$3:$BD$5)</f>
        <v/>
      </c>
      <c r="BE6" s="13">
        <f>SUMPRODUCT($F$3:$F$5,$BE$3:$BE$5)</f>
        <v/>
      </c>
      <c r="BF6" s="13">
        <f>SUMPRODUCT($F$3:$F$5,$BF$3:$BF$5)</f>
        <v/>
      </c>
      <c r="BG6" s="13">
        <f>SUMPRODUCT($F$3:$F$5,$BG$3:$BG$5)</f>
        <v/>
      </c>
      <c r="BH6" s="13">
        <f>SUMPRODUCT($F$3:$F$5,$BH$3:$BH$5)</f>
        <v/>
      </c>
      <c r="BI6" s="13">
        <f>SUMPRODUCT($F$3:$F$5,$BI$3:$BI$5)</f>
        <v/>
      </c>
      <c r="BJ6" s="13">
        <f>SUMPRODUCT($F$3:$F$5,$BJ$3:$BJ$5)</f>
        <v/>
      </c>
      <c r="BK6" s="13">
        <f>SUMPRODUCT($F$3:$F$5,$BK$3:$BK$5)</f>
        <v/>
      </c>
      <c r="BL6" s="13">
        <f>SUMPRODUCT($F$3:$F$5,$BL$3:$BL$5)</f>
        <v/>
      </c>
      <c r="BM6" s="13">
        <f>SUMPRODUCT($F$3:$F$5,$BM$3:$BM$5)</f>
        <v/>
      </c>
      <c r="BN6" s="13">
        <f>SUMPRODUCT($F$3:$F$5,$BN$3:$BN$5)</f>
        <v/>
      </c>
      <c r="BO6" s="13">
        <f>SUMPRODUCT($F$3:$F$5,$BO$3:$BO$5)</f>
        <v/>
      </c>
      <c r="BP6" s="13">
        <f>SUMPRODUCT($F$3:$F$5,$BP$3:$BP$5)</f>
        <v/>
      </c>
      <c r="BQ6" s="13">
        <f>SUMPRODUCT($F$3:$F$5,$BQ$3:$BQ$5)</f>
        <v/>
      </c>
      <c r="BR6" s="13">
        <f>SUMPRODUCT($F$3:$F$5,$BR$3:$BR$5)</f>
        <v/>
      </c>
      <c r="BS6" s="13">
        <f>SUMPRODUCT($F$3:$F$5,$BS$3:$BS$5)</f>
        <v/>
      </c>
      <c r="BT6" s="13">
        <f>SUMPRODUCT($F$3:$F$5,$BT$3:$BT$5)</f>
        <v/>
      </c>
      <c r="BU6" s="13">
        <f>SUMPRODUCT($F$3:$F$5,$BU$3:$BU$5)</f>
        <v/>
      </c>
      <c r="BV6" s="13">
        <f>SUMPRODUCT($F$3:$F$5,$BV$3:$BV$5)</f>
        <v/>
      </c>
      <c r="BW6" s="13">
        <f>SUMPRODUCT($F$3:$F$5,$BW$3:$BW$5)</f>
        <v/>
      </c>
      <c r="BX6" s="13">
        <f>SUMPRODUCT($F$3:$F$5,$BX$3:$BX$5)</f>
        <v/>
      </c>
      <c r="BY6" s="13">
        <f>SUMPRODUCT($F$3:$F$5,$BY$3:$BY$5)</f>
        <v/>
      </c>
      <c r="BZ6" s="13">
        <f>SUMPRODUCT($F$3:$F$5,$BZ$3:$BZ$5)</f>
        <v/>
      </c>
      <c r="CA6" s="13">
        <f>SUMPRODUCT($F$3:$F$5,$CA$3:$CA$5)</f>
        <v/>
      </c>
      <c r="CB6" s="13">
        <f>SUMPRODUCT($F$3:$F$5,$CB$3:$CB$5)</f>
        <v/>
      </c>
      <c r="CC6" s="13">
        <f>SUMPRODUCT($F$3:$F$5,$CC$3:$CC$5)</f>
        <v/>
      </c>
      <c r="CD6" s="13">
        <f>SUMPRODUCT($F$3:$F$5,$CD$3:$CD$5)</f>
        <v/>
      </c>
      <c r="CE6" s="13">
        <f>SUMPRODUCT($F$3:$F$5,$CE$3:$CE$5)</f>
        <v/>
      </c>
      <c r="CF6" s="13">
        <f>SUMPRODUCT($F$3:$F$5,$CF$3:$CF$5)</f>
        <v/>
      </c>
      <c r="CG6" s="13">
        <f>SUMPRODUCT($F$3:$F$5,$CG$3:$CG$5)</f>
        <v/>
      </c>
      <c r="CH6" s="13">
        <f>SUMPRODUCT($F$3:$F$5,$CH$3:$CH$5)</f>
        <v/>
      </c>
      <c r="CI6" s="13">
        <f>SUMPRODUCT($F$3:$F$5,$CI$3:$CI$5)</f>
        <v/>
      </c>
      <c r="CJ6" s="13">
        <f>SUMPRODUCT($F$3:$F$5,$CJ$3:$CJ$5)</f>
        <v/>
      </c>
      <c r="CK6" s="13">
        <f>SUMPRODUCT($F$3:$F$5,$CK$3:$CK$5)</f>
        <v/>
      </c>
      <c r="CL6" s="13">
        <f>SUMPRODUCT($F$3:$F$5,$CL$3:$CL$5)</f>
        <v/>
      </c>
      <c r="CM6" s="13">
        <f>SUMPRODUCT($F$3:$F$5,$CM$3:$CM$5)</f>
        <v/>
      </c>
      <c r="CN6" s="13">
        <f>SUMPRODUCT($F$3:$F$5,$CN$3:$CN$5)</f>
        <v/>
      </c>
      <c r="CO6" s="13">
        <f>SUMPRODUCT($F$3:$F$5,$CO$3:$CO$5)</f>
        <v/>
      </c>
      <c r="CP6" s="13">
        <f>SUMPRODUCT($F$3:$F$5,$CP$3:$CP$5)</f>
        <v/>
      </c>
      <c r="CQ6" s="13">
        <f>SUMPRODUCT($F$3:$F$5,$CQ$3:$CQ$5)</f>
        <v/>
      </c>
      <c r="CR6" s="13">
        <f>SUMPRODUCT($F$3:$F$5,$CR$3:$CR$5)</f>
        <v/>
      </c>
      <c r="CS6" s="13">
        <f>SUMPRODUCT($F$3:$F$5,$CS$3:$CS$5)</f>
        <v/>
      </c>
      <c r="CT6" s="13">
        <f>SUMPRODUCT($F$3:$F$5,$CT$3:$CT$5)</f>
        <v/>
      </c>
      <c r="CU6" s="13">
        <f>SUMPRODUCT($F$3:$F$5,$CU$3:$CU$5)</f>
        <v/>
      </c>
      <c r="CV6" s="13">
        <f>SUMPRODUCT($F$3:$F$5,$CV$3:$CV$5)</f>
        <v/>
      </c>
      <c r="CW6" s="13">
        <f>SUMPRODUCT($F$3:$F$5,$CW$3:$CW$5)</f>
        <v/>
      </c>
      <c r="CX6" s="13">
        <f>SUMPRODUCT($F$3:$F$5,$CX$3:$CX$5)</f>
        <v/>
      </c>
      <c r="CY6" s="13">
        <f>SUMPRODUCT($F$3:$F$5,$CY$3:$CY$5)</f>
        <v/>
      </c>
      <c r="CZ6" s="13">
        <f>SUMPRODUCT($F$3:$F$5,$CZ$3:$CZ$5)</f>
        <v/>
      </c>
      <c r="DA6" s="13">
        <f>SUMPRODUCT($F$3:$F$5,$DA$3:$DA$5)</f>
        <v/>
      </c>
      <c r="DB6" s="13">
        <f>SUMPRODUCT($F$3:$F$5,$DB$3:$DB$5)</f>
        <v/>
      </c>
      <c r="DC6" s="13">
        <f>SUMPRODUCT($F$3:$F$5,$DC$3:$DC$5)</f>
        <v/>
      </c>
      <c r="DD6" s="13">
        <f>SUMPRODUCT($F$3:$F$5,$DD$3:$DD$5)</f>
        <v/>
      </c>
      <c r="DE6" s="13">
        <f>SUMPRODUCT($F$3:$F$5,$DE$3:$DE$5)</f>
        <v/>
      </c>
      <c r="DF6" s="13">
        <f>SUMPRODUCT($F$3:$F$5,$DF$3:$DF$5)</f>
        <v/>
      </c>
      <c r="DG6" s="13">
        <f>SUMPRODUCT($F$3:$F$5,$DG$3:$DG$5)</f>
        <v/>
      </c>
      <c r="DH6" s="13">
        <f>SUMPRODUCT($F$3:$F$5,$DH$3:$DH$5)</f>
        <v/>
      </c>
      <c r="DI6" s="13">
        <f>SUMPRODUCT($F$3:$F$5,$DI$3:$DI$5)</f>
        <v/>
      </c>
      <c r="DJ6" s="13">
        <f>SUMPRODUCT($F$3:$F$5,$DJ$3:$DJ$5)</f>
        <v/>
      </c>
      <c r="DK6" s="13">
        <f>SUMPRODUCT($F$3:$F$5,$DK$3:$DK$5)</f>
        <v/>
      </c>
      <c r="DL6" s="13">
        <f>SUMPRODUCT($F$3:$F$5,$DL$3:$DL$5)</f>
        <v/>
      </c>
      <c r="DM6" s="13">
        <f>SUMPRODUCT($F$3:$F$5,$DM$3:$DM$5)</f>
        <v/>
      </c>
      <c r="DN6" s="13">
        <f>SUMPRODUCT($F$3:$F$5,$DN$3:$DN$5)</f>
        <v/>
      </c>
      <c r="DO6" s="13">
        <f>SUMPRODUCT($F$3:$F$5,$DO$3:$DO$5)</f>
        <v/>
      </c>
      <c r="DP6" s="13">
        <f>SUMPRODUCT($F$3:$F$5,$DP$3:$DP$5)</f>
        <v/>
      </c>
      <c r="DQ6" s="13">
        <f>SUMPRODUCT($F$3:$F$5,$DQ$3:$DQ$5)</f>
        <v/>
      </c>
      <c r="DR6" s="13">
        <f>SUMPRODUCT($F$3:$F$5,$DR$3:$DR$5)</f>
        <v/>
      </c>
      <c r="DS6" s="13">
        <f>SUMPRODUCT($F$3:$F$5,$DS$3:$DS$5)</f>
        <v/>
      </c>
      <c r="DT6" s="13">
        <f>SUMPRODUCT($F$3:$F$5,$DT$3:$DT$5)</f>
        <v/>
      </c>
      <c r="DU6" s="13">
        <f>SUMPRODUCT($F$3:$F$5,$DU$3:$DU$5)</f>
        <v/>
      </c>
      <c r="DV6" s="13">
        <f>SUMPRODUCT($F$3:$F$5,$DV$3:$DV$5)</f>
        <v/>
      </c>
      <c r="DW6" s="13">
        <f>SUMPRODUCT($F$3:$F$5,$DW$3:$DW$5)</f>
        <v/>
      </c>
      <c r="DX6" s="13">
        <f>SUMPRODUCT($F$3:$F$5,$DX$3:$DX$5)</f>
        <v/>
      </c>
      <c r="DY6" s="13">
        <f>SUMPRODUCT($F$3:$F$5,$DY$3:$DY$5)</f>
        <v/>
      </c>
      <c r="DZ6" s="13">
        <f>SUMPRODUCT($F$3:$F$5,$DZ$3:$DZ$5)</f>
        <v/>
      </c>
      <c r="EA6" s="13">
        <f>SUMPRODUCT($F$3:$F$5,$EA$3:$EA$5)</f>
        <v/>
      </c>
      <c r="EB6" s="13">
        <f>SUMPRODUCT($F$3:$F$5,$EB$3:$EB$5)</f>
        <v/>
      </c>
      <c r="EC6" s="13">
        <f>SUMPRODUCT($F$3:$F$5,$EC$3:$EC$5)</f>
        <v/>
      </c>
      <c r="ED6" s="13">
        <f>SUMPRODUCT($F$3:$F$5,$ED$3:$ED$5)</f>
        <v/>
      </c>
      <c r="EE6" s="13">
        <f>SUMPRODUCT($F$3:$F$5,$EE$3:$EE$5)</f>
        <v/>
      </c>
      <c r="EF6" s="13">
        <f>SUMPRODUCT($F$3:$F$5,$EF$3:$EF$5)</f>
        <v/>
      </c>
      <c r="EG6" s="13">
        <f>SUMPRODUCT($F$3:$F$5,$EG$3:$EG$5)</f>
        <v/>
      </c>
      <c r="EH6" s="13">
        <f>SUMPRODUCT($F$3:$F$5,$EH$3:$EH$5)</f>
        <v/>
      </c>
      <c r="EI6" s="13">
        <f>SUMPRODUCT($F$3:$F$5,$EI$3:$EI$5)</f>
        <v/>
      </c>
      <c r="EJ6" s="13">
        <f>SUMPRODUCT($F$3:$F$5,$EJ$3:$EJ$5)</f>
        <v/>
      </c>
      <c r="EK6" s="13">
        <f>SUMPRODUCT($F$3:$F$5,$EK$3:$EK$5)</f>
        <v/>
      </c>
      <c r="EL6" s="13">
        <f>SUMPRODUCT($F$3:$F$5,$EL$3:$EL$5)</f>
        <v/>
      </c>
      <c r="EM6" s="13">
        <f>SUMPRODUCT($F$3:$F$5,$EM$3:$EM$5)</f>
        <v/>
      </c>
      <c r="EN6" s="13">
        <f>SUMPRODUCT($F$3:$F$5,$EN$3:$EN$5)</f>
        <v/>
      </c>
      <c r="EO6" s="13">
        <f>SUMPRODUCT($F$3:$F$5,$EO$3:$EO$5)</f>
        <v/>
      </c>
      <c r="EP6" s="13">
        <f>SUMPRODUCT($F$3:$F$5,$EP$3:$EP$5)</f>
        <v/>
      </c>
      <c r="EQ6" s="13">
        <f>SUMPRODUCT($F$3:$F$5,$EQ$3:$EQ$5)</f>
        <v/>
      </c>
      <c r="ER6" s="13">
        <f>SUMPRODUCT($F$3:$F$5,$ER$3:$ER$5)</f>
        <v/>
      </c>
      <c r="ES6" s="13">
        <f>SUMPRODUCT($F$3:$F$5,$ES$3:$ES$5)</f>
        <v/>
      </c>
      <c r="ET6" s="13">
        <f>SUMPRODUCT($F$3:$F$5,$ET$3:$ET$5)</f>
        <v/>
      </c>
      <c r="EU6" s="13">
        <f>SUMPRODUCT($F$3:$F$5,$EU$3:$EU$5)</f>
        <v/>
      </c>
      <c r="EV6" s="13">
        <f>SUMPRODUCT($F$3:$F$5,$EV$3:$EV$5)</f>
        <v/>
      </c>
      <c r="EW6" s="13">
        <f>SUMPRODUCT($F$3:$F$5,$EW$3:$EW$5)</f>
        <v/>
      </c>
      <c r="EX6" s="13">
        <f>SUMPRODUCT($F$3:$F$5,$EX$3:$EX$5)</f>
        <v/>
      </c>
      <c r="EY6" s="13">
        <f>SUMPRODUCT($F$3:$F$5,$EY$3:$EY$5)</f>
        <v/>
      </c>
      <c r="EZ6" s="13">
        <f>SUMPRODUCT($F$3:$F$5,$EZ$3:$EZ$5)</f>
        <v/>
      </c>
      <c r="FA6" s="13">
        <f>SUMPRODUCT($F$3:$F$5,$FA$3:$FA$5)</f>
        <v/>
      </c>
      <c r="FB6" s="13">
        <f>SUMPRODUCT($F$3:$F$5,$FB$3:$FB$5)</f>
        <v/>
      </c>
      <c r="FC6" s="13">
        <f>SUMPRODUCT($F$3:$F$5,$FC$3:$FC$5)</f>
        <v/>
      </c>
    </row>
  </sheetData>
  <mergeCells count="7">
    <mergeCell ref="O1:Z1"/>
    <mergeCell ref="A1:F1"/>
    <mergeCell ref="AL1:CJ1"/>
    <mergeCell ref="G1:N1"/>
    <mergeCell ref="CK1:EF1"/>
    <mergeCell ref="AA1:AK1"/>
    <mergeCell ref="EG1:F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Ingredientes!G6</f>
        <v/>
      </c>
      <c r="C2" t="inlineStr">
        <is>
          <t>g</t>
        </is>
      </c>
    </row>
    <row r="3">
      <c r="A3" t="inlineStr">
        <is>
          <t>Energy</t>
        </is>
      </c>
      <c r="B3">
        <f>Ingredientes!H6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Ingredientes!I6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Ingredientes!J6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Ingredientes!K6</f>
        <v/>
      </c>
      <c r="C6" t="inlineStr">
        <is>
          <t>g</t>
        </is>
      </c>
    </row>
    <row r="7">
      <c r="A7" t="inlineStr">
        <is>
          <t>Total lipid (fat)</t>
        </is>
      </c>
      <c r="B7">
        <f>Ingredientes!L6</f>
        <v/>
      </c>
      <c r="C7" t="inlineStr">
        <is>
          <t>g</t>
        </is>
      </c>
    </row>
    <row r="8">
      <c r="A8" t="inlineStr">
        <is>
          <t>Total fat (NLEA)</t>
        </is>
      </c>
      <c r="B8">
        <f>Ingredientes!M6</f>
        <v/>
      </c>
      <c r="C8" t="inlineStr">
        <is>
          <t>g</t>
        </is>
      </c>
    </row>
    <row r="9">
      <c r="A9" t="inlineStr">
        <is>
          <t>Ash</t>
        </is>
      </c>
      <c r="B9">
        <f>Ingredientes!N6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Ingredientes!O6</f>
        <v/>
      </c>
      <c r="C10" t="inlineStr">
        <is>
          <t>g</t>
        </is>
      </c>
    </row>
    <row r="11">
      <c r="A11" t="inlineStr">
        <is>
          <t>Carbohydrate, by summation</t>
        </is>
      </c>
      <c r="B11">
        <f>Ingredientes!P6</f>
        <v/>
      </c>
      <c r="C11" t="inlineStr">
        <is>
          <t>g</t>
        </is>
      </c>
    </row>
    <row r="12">
      <c r="A12" t="inlineStr">
        <is>
          <t>Fiber, total dietary</t>
        </is>
      </c>
      <c r="B12">
        <f>Ingredientes!Q6</f>
        <v/>
      </c>
      <c r="C12" t="inlineStr">
        <is>
          <t>g</t>
        </is>
      </c>
    </row>
    <row r="13">
      <c r="A13" t="inlineStr">
        <is>
          <t>Sugars, Total</t>
        </is>
      </c>
      <c r="B13">
        <f>Ingredientes!R6</f>
        <v/>
      </c>
      <c r="C13" t="inlineStr">
        <is>
          <t>g</t>
        </is>
      </c>
    </row>
    <row r="14">
      <c r="A14" t="inlineStr">
        <is>
          <t>Sucrose</t>
        </is>
      </c>
      <c r="B14">
        <f>Ingredientes!S6</f>
        <v/>
      </c>
      <c r="C14" t="inlineStr">
        <is>
          <t>g</t>
        </is>
      </c>
    </row>
    <row r="15">
      <c r="A15" t="inlineStr">
        <is>
          <t>Glucose</t>
        </is>
      </c>
      <c r="B15">
        <f>Ingredientes!T6</f>
        <v/>
      </c>
      <c r="C15" t="inlineStr">
        <is>
          <t>g</t>
        </is>
      </c>
    </row>
    <row r="16">
      <c r="A16" t="inlineStr">
        <is>
          <t>Fructose</t>
        </is>
      </c>
      <c r="B16">
        <f>Ingredientes!U6</f>
        <v/>
      </c>
      <c r="C16" t="inlineStr">
        <is>
          <t>g</t>
        </is>
      </c>
    </row>
    <row r="17">
      <c r="A17" t="inlineStr">
        <is>
          <t>Lactose</t>
        </is>
      </c>
      <c r="B17">
        <f>Ingredientes!V6</f>
        <v/>
      </c>
      <c r="C17" t="inlineStr">
        <is>
          <t>g</t>
        </is>
      </c>
    </row>
    <row r="18">
      <c r="A18" t="inlineStr">
        <is>
          <t>Maltose</t>
        </is>
      </c>
      <c r="B18">
        <f>Ingredientes!W6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Ingredientes!X6</f>
        <v/>
      </c>
      <c r="C19" t="inlineStr">
        <is>
          <t>g</t>
        </is>
      </c>
    </row>
    <row r="20">
      <c r="A20" t="inlineStr">
        <is>
          <t>Total Sugars</t>
        </is>
      </c>
      <c r="B20">
        <f>Ingredientes!Y6</f>
        <v/>
      </c>
      <c r="C20" t="inlineStr">
        <is>
          <t>g</t>
        </is>
      </c>
    </row>
    <row r="21">
      <c r="A21" t="inlineStr">
        <is>
          <t>Galactose</t>
        </is>
      </c>
      <c r="B21">
        <f>Ingredientes!Z6</f>
        <v/>
      </c>
      <c r="C21" t="inlineStr">
        <is>
          <t>g</t>
        </is>
      </c>
    </row>
    <row r="22">
      <c r="A22" t="inlineStr">
        <is>
          <t>Calcium, Ca</t>
        </is>
      </c>
      <c r="B22">
        <f>Ingredientes!AA6</f>
        <v/>
      </c>
      <c r="C22" t="inlineStr">
        <is>
          <t>mg</t>
        </is>
      </c>
    </row>
    <row r="23">
      <c r="A23" t="inlineStr">
        <is>
          <t>Iron, Fe</t>
        </is>
      </c>
      <c r="B23">
        <f>Ingredientes!AB6</f>
        <v/>
      </c>
      <c r="C23" t="inlineStr">
        <is>
          <t>mg</t>
        </is>
      </c>
    </row>
    <row r="24">
      <c r="A24" t="inlineStr">
        <is>
          <t>Magnesium, Mg</t>
        </is>
      </c>
      <c r="B24">
        <f>Ingredientes!AC6</f>
        <v/>
      </c>
      <c r="C24" t="inlineStr">
        <is>
          <t>mg</t>
        </is>
      </c>
    </row>
    <row r="25">
      <c r="A25" t="inlineStr">
        <is>
          <t>Phosphorus, P</t>
        </is>
      </c>
      <c r="B25">
        <f>Ingredientes!AD6</f>
        <v/>
      </c>
      <c r="C25" t="inlineStr">
        <is>
          <t>mg</t>
        </is>
      </c>
    </row>
    <row r="26">
      <c r="A26" t="inlineStr">
        <is>
          <t>Potassium, K</t>
        </is>
      </c>
      <c r="B26">
        <f>Ingredientes!AE6</f>
        <v/>
      </c>
      <c r="C26" t="inlineStr">
        <is>
          <t>mg</t>
        </is>
      </c>
    </row>
    <row r="27">
      <c r="A27" t="inlineStr">
        <is>
          <t>Sodium, Na</t>
        </is>
      </c>
      <c r="B27">
        <f>Ingredientes!AF6</f>
        <v/>
      </c>
      <c r="C27" t="inlineStr">
        <is>
          <t>mg</t>
        </is>
      </c>
    </row>
    <row r="28">
      <c r="A28" t="inlineStr">
        <is>
          <t>Zinc, Zn</t>
        </is>
      </c>
      <c r="B28">
        <f>Ingredientes!AG6</f>
        <v/>
      </c>
      <c r="C28" t="inlineStr">
        <is>
          <t>mg</t>
        </is>
      </c>
    </row>
    <row r="29">
      <c r="A29" t="inlineStr">
        <is>
          <t>Copper, Cu</t>
        </is>
      </c>
      <c r="B29">
        <f>Ingredientes!AH6</f>
        <v/>
      </c>
      <c r="C29" t="inlineStr">
        <is>
          <t>mg</t>
        </is>
      </c>
    </row>
    <row r="30">
      <c r="A30" t="inlineStr">
        <is>
          <t>Manganese, Mn</t>
        </is>
      </c>
      <c r="B30">
        <f>Ingredientes!AI6</f>
        <v/>
      </c>
      <c r="C30" t="inlineStr">
        <is>
          <t>mg</t>
        </is>
      </c>
    </row>
    <row r="31">
      <c r="A31" t="inlineStr">
        <is>
          <t>Iodine, I</t>
        </is>
      </c>
      <c r="B31">
        <f>Ingredientes!AJ6</f>
        <v/>
      </c>
      <c r="C31" t="inlineStr">
        <is>
          <t>µg</t>
        </is>
      </c>
    </row>
    <row r="32">
      <c r="A32" t="inlineStr">
        <is>
          <t>Selenium, Se</t>
        </is>
      </c>
      <c r="B32">
        <f>Ingredientes!AK6</f>
        <v/>
      </c>
      <c r="C32" t="inlineStr">
        <is>
          <t>µg</t>
        </is>
      </c>
    </row>
    <row r="33">
      <c r="A33" t="inlineStr">
        <is>
          <t>Thiamin</t>
        </is>
      </c>
      <c r="B33">
        <f>Ingredientes!AL6</f>
        <v/>
      </c>
      <c r="C33" t="inlineStr">
        <is>
          <t>mg</t>
        </is>
      </c>
    </row>
    <row r="34">
      <c r="A34" t="inlineStr">
        <is>
          <t>Riboflavin</t>
        </is>
      </c>
      <c r="B34">
        <f>Ingredientes!AM6</f>
        <v/>
      </c>
      <c r="C34" t="inlineStr">
        <is>
          <t>mg</t>
        </is>
      </c>
    </row>
    <row r="35">
      <c r="A35" t="inlineStr">
        <is>
          <t>Niacin</t>
        </is>
      </c>
      <c r="B35">
        <f>Ingredientes!AN6</f>
        <v/>
      </c>
      <c r="C35" t="inlineStr">
        <is>
          <t>mg</t>
        </is>
      </c>
    </row>
    <row r="36">
      <c r="A36" t="inlineStr">
        <is>
          <t>Vitamin B-6</t>
        </is>
      </c>
      <c r="B36">
        <f>Ingredientes!AO6</f>
        <v/>
      </c>
      <c r="C36" t="inlineStr">
        <is>
          <t>mg</t>
        </is>
      </c>
    </row>
    <row r="37">
      <c r="A37" t="inlineStr">
        <is>
          <t>Folate, total</t>
        </is>
      </c>
      <c r="B37">
        <f>Ingredientes!AP6</f>
        <v/>
      </c>
      <c r="C37" t="inlineStr">
        <is>
          <t>µg</t>
        </is>
      </c>
    </row>
    <row r="38">
      <c r="A38" t="inlineStr">
        <is>
          <t>Choline, total</t>
        </is>
      </c>
      <c r="B38">
        <f>Ingredientes!AQ6</f>
        <v/>
      </c>
      <c r="C38" t="inlineStr">
        <is>
          <t>mg</t>
        </is>
      </c>
    </row>
    <row r="39">
      <c r="A39" t="inlineStr">
        <is>
          <t>Choline, free</t>
        </is>
      </c>
      <c r="B39">
        <f>Ingredientes!AR6</f>
        <v/>
      </c>
      <c r="C39" t="inlineStr">
        <is>
          <t>mg</t>
        </is>
      </c>
    </row>
    <row r="40">
      <c r="A40" t="inlineStr">
        <is>
          <t>Choline, from phosphocholine</t>
        </is>
      </c>
      <c r="B40">
        <f>Ingredientes!AS6</f>
        <v/>
      </c>
      <c r="C40" t="inlineStr">
        <is>
          <t>mg</t>
        </is>
      </c>
    </row>
    <row r="41">
      <c r="A41" t="inlineStr">
        <is>
          <t>Choline, from phosphotidyl choline</t>
        </is>
      </c>
      <c r="B41">
        <f>Ingredientes!AT6</f>
        <v/>
      </c>
      <c r="C41" t="inlineStr">
        <is>
          <t>mg</t>
        </is>
      </c>
    </row>
    <row r="42">
      <c r="A42" t="inlineStr">
        <is>
          <t>Choline, from glycerophosphocholine</t>
        </is>
      </c>
      <c r="B42">
        <f>Ingredientes!AU6</f>
        <v/>
      </c>
      <c r="C42" t="inlineStr">
        <is>
          <t>mg</t>
        </is>
      </c>
    </row>
    <row r="43">
      <c r="A43" t="inlineStr">
        <is>
          <t>Choline, from sphingomyelin</t>
        </is>
      </c>
      <c r="B43">
        <f>Ingredientes!AV6</f>
        <v/>
      </c>
      <c r="C43" t="inlineStr">
        <is>
          <t>mg</t>
        </is>
      </c>
    </row>
    <row r="44">
      <c r="A44" t="inlineStr">
        <is>
          <t>Betaine</t>
        </is>
      </c>
      <c r="B44">
        <f>Ingredientes!AW6</f>
        <v/>
      </c>
      <c r="C44" t="inlineStr">
        <is>
          <t>mg</t>
        </is>
      </c>
    </row>
    <row r="45">
      <c r="A45" t="inlineStr">
        <is>
          <t>Vitamin B-12</t>
        </is>
      </c>
      <c r="B45">
        <f>Ingredientes!AX6</f>
        <v/>
      </c>
      <c r="C45" t="inlineStr">
        <is>
          <t>µg</t>
        </is>
      </c>
    </row>
    <row r="46">
      <c r="A46" t="inlineStr">
        <is>
          <t>Vitamin A, RAE</t>
        </is>
      </c>
      <c r="B46">
        <f>Ingredientes!AY6</f>
        <v/>
      </c>
      <c r="C46" t="inlineStr">
        <is>
          <t>µg</t>
        </is>
      </c>
    </row>
    <row r="47">
      <c r="A47" t="inlineStr">
        <is>
          <t>Retinol</t>
        </is>
      </c>
      <c r="B47">
        <f>Ingredientes!AZ6</f>
        <v/>
      </c>
      <c r="C47" t="inlineStr">
        <is>
          <t>µg</t>
        </is>
      </c>
    </row>
    <row r="48">
      <c r="A48" t="inlineStr">
        <is>
          <t>Carotene, beta</t>
        </is>
      </c>
      <c r="B48">
        <f>Ingredientes!BA6</f>
        <v/>
      </c>
      <c r="C48" t="inlineStr">
        <is>
          <t>µg</t>
        </is>
      </c>
    </row>
    <row r="49">
      <c r="A49" t="inlineStr">
        <is>
          <t>cis-beta-Carotene</t>
        </is>
      </c>
      <c r="B49">
        <f>Ingredientes!BB6</f>
        <v/>
      </c>
      <c r="C49" t="inlineStr">
        <is>
          <t>µg</t>
        </is>
      </c>
    </row>
    <row r="50">
      <c r="A50" t="inlineStr">
        <is>
          <t>trans-beta-Carotene</t>
        </is>
      </c>
      <c r="B50">
        <f>Ingredientes!BC6</f>
        <v/>
      </c>
      <c r="C50" t="inlineStr">
        <is>
          <t>µg</t>
        </is>
      </c>
    </row>
    <row r="51">
      <c r="A51" t="inlineStr">
        <is>
          <t>Carotene, alpha</t>
        </is>
      </c>
      <c r="B51">
        <f>Ingredientes!BD6</f>
        <v/>
      </c>
      <c r="C51" t="inlineStr">
        <is>
          <t>µg</t>
        </is>
      </c>
    </row>
    <row r="52">
      <c r="A52" t="inlineStr">
        <is>
          <t>Cryptoxanthin, beta</t>
        </is>
      </c>
      <c r="B52">
        <f>Ingredientes!BE6</f>
        <v/>
      </c>
      <c r="C52" t="inlineStr">
        <is>
          <t>µg</t>
        </is>
      </c>
    </row>
    <row r="53">
      <c r="A53" t="inlineStr">
        <is>
          <t>Cryptoxanthin, alpha</t>
        </is>
      </c>
      <c r="B53">
        <f>Ingredientes!BF6</f>
        <v/>
      </c>
      <c r="C53" t="inlineStr">
        <is>
          <t>µg</t>
        </is>
      </c>
    </row>
    <row r="54">
      <c r="A54" t="inlineStr">
        <is>
          <t>Lycopene</t>
        </is>
      </c>
      <c r="B54">
        <f>Ingredientes!BG6</f>
        <v/>
      </c>
      <c r="C54" t="inlineStr">
        <is>
          <t>µg</t>
        </is>
      </c>
    </row>
    <row r="55">
      <c r="A55" t="inlineStr">
        <is>
          <t>cis-Lycopene</t>
        </is>
      </c>
      <c r="B55">
        <f>Ingredientes!BH6</f>
        <v/>
      </c>
      <c r="C55" t="inlineStr">
        <is>
          <t>µg</t>
        </is>
      </c>
    </row>
    <row r="56">
      <c r="A56" t="inlineStr">
        <is>
          <t>trans-Lycopene</t>
        </is>
      </c>
      <c r="B56">
        <f>Ingredientes!BI6</f>
        <v/>
      </c>
      <c r="C56" t="inlineStr">
        <is>
          <t>µg</t>
        </is>
      </c>
    </row>
    <row r="57">
      <c r="A57" t="inlineStr">
        <is>
          <t>cis-Lutein/Zeaxanthin</t>
        </is>
      </c>
      <c r="B57">
        <f>Ingredientes!BJ6</f>
        <v/>
      </c>
      <c r="C57" t="inlineStr">
        <is>
          <t>µg</t>
        </is>
      </c>
    </row>
    <row r="58">
      <c r="A58" t="inlineStr">
        <is>
          <t>Lutein</t>
        </is>
      </c>
      <c r="B58">
        <f>Ingredientes!BK6</f>
        <v/>
      </c>
      <c r="C58" t="inlineStr">
        <is>
          <t>µg</t>
        </is>
      </c>
    </row>
    <row r="59">
      <c r="A59" t="inlineStr">
        <is>
          <t>Zeaxanthin</t>
        </is>
      </c>
      <c r="B59">
        <f>Ingredientes!BL6</f>
        <v/>
      </c>
      <c r="C59" t="inlineStr">
        <is>
          <t>µg</t>
        </is>
      </c>
    </row>
    <row r="60">
      <c r="A60" t="inlineStr">
        <is>
          <t>Vitamin D (D2 + D3), International Units</t>
        </is>
      </c>
      <c r="B60">
        <f>Ingredientes!BM6</f>
        <v/>
      </c>
      <c r="C60" t="inlineStr">
        <is>
          <t>IU</t>
        </is>
      </c>
    </row>
    <row r="61">
      <c r="A61" t="inlineStr">
        <is>
          <t>Vitamin D (D2 + D3)</t>
        </is>
      </c>
      <c r="B61">
        <f>Ingredientes!BN6</f>
        <v/>
      </c>
      <c r="C61" t="inlineStr">
        <is>
          <t>µg</t>
        </is>
      </c>
    </row>
    <row r="62">
      <c r="A62" t="inlineStr">
        <is>
          <t>Vitamin D2 (ergocalciferol)</t>
        </is>
      </c>
      <c r="B62">
        <f>Ingredientes!BO6</f>
        <v/>
      </c>
      <c r="C62" t="inlineStr">
        <is>
          <t>µg</t>
        </is>
      </c>
    </row>
    <row r="63">
      <c r="A63" t="inlineStr">
        <is>
          <t>Vitamin D3 (cholecalciferol)</t>
        </is>
      </c>
      <c r="B63">
        <f>Ingredientes!BP6</f>
        <v/>
      </c>
      <c r="C63" t="inlineStr">
        <is>
          <t>µg</t>
        </is>
      </c>
    </row>
    <row r="64">
      <c r="A64" t="inlineStr">
        <is>
          <t>25-hydroxycholecalciferol</t>
        </is>
      </c>
      <c r="B64">
        <f>Ingredientes!BQ6</f>
        <v/>
      </c>
      <c r="C64" t="inlineStr">
        <is>
          <t>µg</t>
        </is>
      </c>
    </row>
    <row r="65">
      <c r="A65" t="inlineStr">
        <is>
          <t>Vitamin C, total ascorbic acid</t>
        </is>
      </c>
      <c r="B65">
        <f>Ingredientes!BR6</f>
        <v/>
      </c>
      <c r="C65" t="inlineStr">
        <is>
          <t>mg</t>
        </is>
      </c>
    </row>
    <row r="66">
      <c r="A66" t="inlineStr">
        <is>
          <t>Pantothenic acid</t>
        </is>
      </c>
      <c r="B66">
        <f>Ingredientes!BS6</f>
        <v/>
      </c>
      <c r="C66" t="inlineStr">
        <is>
          <t>mg</t>
        </is>
      </c>
    </row>
    <row r="67">
      <c r="A67" t="inlineStr">
        <is>
          <t>Folic acid</t>
        </is>
      </c>
      <c r="B67">
        <f>Ingredientes!BT6</f>
        <v/>
      </c>
      <c r="C67" t="inlineStr">
        <is>
          <t>µg</t>
        </is>
      </c>
    </row>
    <row r="68">
      <c r="A68" t="inlineStr">
        <is>
          <t>Folate, food</t>
        </is>
      </c>
      <c r="B68">
        <f>Ingredientes!BU6</f>
        <v/>
      </c>
      <c r="C68" t="inlineStr">
        <is>
          <t>µg</t>
        </is>
      </c>
    </row>
    <row r="69">
      <c r="A69" t="inlineStr">
        <is>
          <t>Folate, DFE</t>
        </is>
      </c>
      <c r="B69">
        <f>Ingredientes!BV6</f>
        <v/>
      </c>
      <c r="C69" t="inlineStr">
        <is>
          <t>µg</t>
        </is>
      </c>
    </row>
    <row r="70">
      <c r="A70" t="inlineStr">
        <is>
          <t>Vitamin B-12, added</t>
        </is>
      </c>
      <c r="B70">
        <f>Ingredientes!BW6</f>
        <v/>
      </c>
      <c r="C70" t="inlineStr">
        <is>
          <t>µg</t>
        </is>
      </c>
    </row>
    <row r="71">
      <c r="A71" t="inlineStr">
        <is>
          <t>Vitamin A, IU</t>
        </is>
      </c>
      <c r="B71">
        <f>Ingredientes!BX6</f>
        <v/>
      </c>
      <c r="C71" t="inlineStr">
        <is>
          <t>IU</t>
        </is>
      </c>
    </row>
    <row r="72">
      <c r="A72" t="inlineStr">
        <is>
          <t>Lutein + zeaxanthin</t>
        </is>
      </c>
      <c r="B72">
        <f>Ingredientes!BY6</f>
        <v/>
      </c>
      <c r="C72" t="inlineStr">
        <is>
          <t>µg</t>
        </is>
      </c>
    </row>
    <row r="73">
      <c r="A73" t="inlineStr">
        <is>
          <t>Vitamin E (alpha-tocopherol)</t>
        </is>
      </c>
      <c r="B73">
        <f>Ingredientes!BZ6</f>
        <v/>
      </c>
      <c r="C73" t="inlineStr">
        <is>
          <t>mg</t>
        </is>
      </c>
    </row>
    <row r="74">
      <c r="A74" t="inlineStr">
        <is>
          <t>Vitamin E, added</t>
        </is>
      </c>
      <c r="B74">
        <f>Ingredientes!CA6</f>
        <v/>
      </c>
      <c r="C74" t="inlineStr">
        <is>
          <t>mg</t>
        </is>
      </c>
    </row>
    <row r="75">
      <c r="A75" t="inlineStr">
        <is>
          <t>Vitamin K (phylloquinone)</t>
        </is>
      </c>
      <c r="B75">
        <f>Ingredientes!CB6</f>
        <v/>
      </c>
      <c r="C75" t="inlineStr">
        <is>
          <t>µg</t>
        </is>
      </c>
    </row>
    <row r="76">
      <c r="A76" t="inlineStr">
        <is>
          <t>Tocopherol, beta</t>
        </is>
      </c>
      <c r="B76">
        <f>Ingredientes!CC6</f>
        <v/>
      </c>
      <c r="C76" t="inlineStr">
        <is>
          <t>mg</t>
        </is>
      </c>
    </row>
    <row r="77">
      <c r="A77" t="inlineStr">
        <is>
          <t>Tocopherol, gamma</t>
        </is>
      </c>
      <c r="B77">
        <f>Ingredientes!CD6</f>
        <v/>
      </c>
      <c r="C77" t="inlineStr">
        <is>
          <t>mg</t>
        </is>
      </c>
    </row>
    <row r="78">
      <c r="A78" t="inlineStr">
        <is>
          <t>Tocopherol, delta</t>
        </is>
      </c>
      <c r="B78">
        <f>Ingredientes!CE6</f>
        <v/>
      </c>
      <c r="C78" t="inlineStr">
        <is>
          <t>mg</t>
        </is>
      </c>
    </row>
    <row r="79">
      <c r="A79" t="inlineStr">
        <is>
          <t>Tocotrienol, alpha</t>
        </is>
      </c>
      <c r="B79">
        <f>Ingredientes!CF6</f>
        <v/>
      </c>
      <c r="C79" t="inlineStr">
        <is>
          <t>mg</t>
        </is>
      </c>
    </row>
    <row r="80">
      <c r="A80" t="inlineStr">
        <is>
          <t>Tocotrienol, beta</t>
        </is>
      </c>
      <c r="B80">
        <f>Ingredientes!CG6</f>
        <v/>
      </c>
      <c r="C80" t="inlineStr">
        <is>
          <t>mg</t>
        </is>
      </c>
    </row>
    <row r="81">
      <c r="A81" t="inlineStr">
        <is>
          <t>Tocotrienol, gamma</t>
        </is>
      </c>
      <c r="B81">
        <f>Ingredientes!CH6</f>
        <v/>
      </c>
      <c r="C81" t="inlineStr">
        <is>
          <t>mg</t>
        </is>
      </c>
    </row>
    <row r="82">
      <c r="A82" t="inlineStr">
        <is>
          <t>Tocotrienol, delta</t>
        </is>
      </c>
      <c r="B82">
        <f>Ingredientes!CI6</f>
        <v/>
      </c>
      <c r="C82" t="inlineStr">
        <is>
          <t>mg</t>
        </is>
      </c>
    </row>
    <row r="83">
      <c r="A83" t="inlineStr">
        <is>
          <t>Vitamin K (Dihydrophylloquinone)</t>
        </is>
      </c>
      <c r="B83">
        <f>Ingredientes!CJ6</f>
        <v/>
      </c>
      <c r="C83" t="inlineStr">
        <is>
          <t>µg</t>
        </is>
      </c>
    </row>
    <row r="84">
      <c r="A84" t="inlineStr">
        <is>
          <t>Fatty acids, total saturated</t>
        </is>
      </c>
      <c r="B84">
        <f>Ingredientes!CK6</f>
        <v/>
      </c>
      <c r="C84" t="inlineStr">
        <is>
          <t>g</t>
        </is>
      </c>
    </row>
    <row r="85">
      <c r="A85" t="inlineStr">
        <is>
          <t>SFA 14:0</t>
        </is>
      </c>
      <c r="B85">
        <f>Ingredientes!CL6</f>
        <v/>
      </c>
      <c r="C85" t="inlineStr">
        <is>
          <t>g</t>
        </is>
      </c>
    </row>
    <row r="86">
      <c r="A86" t="inlineStr">
        <is>
          <t>SFA 16:0</t>
        </is>
      </c>
      <c r="B86">
        <f>Ingredientes!CM6</f>
        <v/>
      </c>
      <c r="C86" t="inlineStr">
        <is>
          <t>g</t>
        </is>
      </c>
    </row>
    <row r="87">
      <c r="A87" t="inlineStr">
        <is>
          <t>SFA 18:0</t>
        </is>
      </c>
      <c r="B87">
        <f>Ingredientes!CN6</f>
        <v/>
      </c>
      <c r="C87" t="inlineStr">
        <is>
          <t>g</t>
        </is>
      </c>
    </row>
    <row r="88">
      <c r="A88" t="inlineStr">
        <is>
          <t>Fatty acids, total monounsaturated</t>
        </is>
      </c>
      <c r="B88">
        <f>Ingredientes!CO6</f>
        <v/>
      </c>
      <c r="C88" t="inlineStr">
        <is>
          <t>g</t>
        </is>
      </c>
    </row>
    <row r="89">
      <c r="A89" t="inlineStr">
        <is>
          <t>MUFA 16:1 c</t>
        </is>
      </c>
      <c r="B89">
        <f>Ingredientes!CP6</f>
        <v/>
      </c>
      <c r="C89" t="inlineStr">
        <is>
          <t>g</t>
        </is>
      </c>
    </row>
    <row r="90">
      <c r="A90" t="inlineStr">
        <is>
          <t>MUFA 18:1 c</t>
        </is>
      </c>
      <c r="B90">
        <f>Ingredientes!CQ6</f>
        <v/>
      </c>
      <c r="C90" t="inlineStr">
        <is>
          <t>g</t>
        </is>
      </c>
    </row>
    <row r="91">
      <c r="A91" t="inlineStr">
        <is>
          <t>Fatty acids, total polyunsaturated</t>
        </is>
      </c>
      <c r="B91">
        <f>Ingredientes!CR6</f>
        <v/>
      </c>
      <c r="C91" t="inlineStr">
        <is>
          <t>g</t>
        </is>
      </c>
    </row>
    <row r="92">
      <c r="A92" t="inlineStr">
        <is>
          <t>PUFA 18:2 c</t>
        </is>
      </c>
      <c r="B92">
        <f>Ingredientes!CS6</f>
        <v/>
      </c>
      <c r="C92" t="inlineStr">
        <is>
          <t>g</t>
        </is>
      </c>
    </row>
    <row r="93">
      <c r="A93" t="inlineStr">
        <is>
          <t>PUFA 18:2 n-6 c,c</t>
        </is>
      </c>
      <c r="B93">
        <f>Ingredientes!CT6</f>
        <v/>
      </c>
      <c r="C93" t="inlineStr">
        <is>
          <t>g</t>
        </is>
      </c>
    </row>
    <row r="94">
      <c r="A94" t="inlineStr">
        <is>
          <t>PUFA 18:3 c</t>
        </is>
      </c>
      <c r="B94">
        <f>Ingredientes!CU6</f>
        <v/>
      </c>
      <c r="C94" t="inlineStr">
        <is>
          <t>g</t>
        </is>
      </c>
    </row>
    <row r="95">
      <c r="A95" t="inlineStr">
        <is>
          <t>PUFA 18:3 n-6 c,c,c</t>
        </is>
      </c>
      <c r="B95">
        <f>Ingredientes!CV6</f>
        <v/>
      </c>
      <c r="C95" t="inlineStr">
        <is>
          <t>g</t>
        </is>
      </c>
    </row>
    <row r="96">
      <c r="A96" t="inlineStr">
        <is>
          <t>PUFA 20:3 c</t>
        </is>
      </c>
      <c r="B96">
        <f>Ingredientes!CW6</f>
        <v/>
      </c>
      <c r="C96" t="inlineStr">
        <is>
          <t>g</t>
        </is>
      </c>
    </row>
    <row r="97">
      <c r="A97" t="inlineStr">
        <is>
          <t>PUFA 20:3 n-6</t>
        </is>
      </c>
      <c r="B97">
        <f>Ingredientes!CX6</f>
        <v/>
      </c>
      <c r="C97" t="inlineStr">
        <is>
          <t>g</t>
        </is>
      </c>
    </row>
    <row r="98">
      <c r="A98" t="inlineStr">
        <is>
          <t>Cholesterol</t>
        </is>
      </c>
      <c r="B98">
        <f>Ingredientes!CY6</f>
        <v/>
      </c>
      <c r="C98" t="inlineStr">
        <is>
          <t>mg</t>
        </is>
      </c>
    </row>
    <row r="99">
      <c r="A99" t="inlineStr">
        <is>
          <t>SFA 4:0</t>
        </is>
      </c>
      <c r="B99">
        <f>Ingredientes!CZ6</f>
        <v/>
      </c>
      <c r="C99" t="inlineStr">
        <is>
          <t>g</t>
        </is>
      </c>
    </row>
    <row r="100">
      <c r="A100" t="inlineStr">
        <is>
          <t>SFA 6:0</t>
        </is>
      </c>
      <c r="B100">
        <f>Ingredientes!DA6</f>
        <v/>
      </c>
      <c r="C100" t="inlineStr">
        <is>
          <t>g</t>
        </is>
      </c>
    </row>
    <row r="101">
      <c r="A101" t="inlineStr">
        <is>
          <t>SFA 8:0</t>
        </is>
      </c>
      <c r="B101">
        <f>Ingredientes!DB6</f>
        <v/>
      </c>
      <c r="C101" t="inlineStr">
        <is>
          <t>g</t>
        </is>
      </c>
    </row>
    <row r="102">
      <c r="A102" t="inlineStr">
        <is>
          <t>SFA 10:0</t>
        </is>
      </c>
      <c r="B102">
        <f>Ingredientes!DC6</f>
        <v/>
      </c>
      <c r="C102" t="inlineStr">
        <is>
          <t>g</t>
        </is>
      </c>
    </row>
    <row r="103">
      <c r="A103" t="inlineStr">
        <is>
          <t>SFA 12:0</t>
        </is>
      </c>
      <c r="B103">
        <f>Ingredientes!DD6</f>
        <v/>
      </c>
      <c r="C103" t="inlineStr">
        <is>
          <t>g</t>
        </is>
      </c>
    </row>
    <row r="104">
      <c r="A104" t="inlineStr">
        <is>
          <t>MUFA 16:1</t>
        </is>
      </c>
      <c r="B104">
        <f>Ingredientes!DE6</f>
        <v/>
      </c>
      <c r="C104" t="inlineStr">
        <is>
          <t>g</t>
        </is>
      </c>
    </row>
    <row r="105">
      <c r="A105" t="inlineStr">
        <is>
          <t>MUFA 18:1</t>
        </is>
      </c>
      <c r="B105">
        <f>Ingredientes!DF6</f>
        <v/>
      </c>
      <c r="C105" t="inlineStr">
        <is>
          <t>g</t>
        </is>
      </c>
    </row>
    <row r="106">
      <c r="A106" t="inlineStr">
        <is>
          <t>MUFA 20:1</t>
        </is>
      </c>
      <c r="B106">
        <f>Ingredientes!DG6</f>
        <v/>
      </c>
      <c r="C106" t="inlineStr">
        <is>
          <t>g</t>
        </is>
      </c>
    </row>
    <row r="107">
      <c r="A107" t="inlineStr">
        <is>
          <t>MUFA 22:1</t>
        </is>
      </c>
      <c r="B107">
        <f>Ingredientes!DH6</f>
        <v/>
      </c>
      <c r="C107" t="inlineStr">
        <is>
          <t>g</t>
        </is>
      </c>
    </row>
    <row r="108">
      <c r="A108" t="inlineStr">
        <is>
          <t>PUFA 18:2</t>
        </is>
      </c>
      <c r="B108">
        <f>Ingredientes!DI6</f>
        <v/>
      </c>
      <c r="C108" t="inlineStr">
        <is>
          <t>g</t>
        </is>
      </c>
    </row>
    <row r="109">
      <c r="A109" t="inlineStr">
        <is>
          <t>PUFA 18:3</t>
        </is>
      </c>
      <c r="B109">
        <f>Ingredientes!DJ6</f>
        <v/>
      </c>
      <c r="C109" t="inlineStr">
        <is>
          <t>g</t>
        </is>
      </c>
    </row>
    <row r="110">
      <c r="A110" t="inlineStr">
        <is>
          <t>PUFA 18:4</t>
        </is>
      </c>
      <c r="B110">
        <f>Ingredientes!DK6</f>
        <v/>
      </c>
      <c r="C110" t="inlineStr">
        <is>
          <t>g</t>
        </is>
      </c>
    </row>
    <row r="111">
      <c r="A111" t="inlineStr">
        <is>
          <t>PUFA 20:4</t>
        </is>
      </c>
      <c r="B111">
        <f>Ingredientes!DL6</f>
        <v/>
      </c>
      <c r="C111" t="inlineStr">
        <is>
          <t>g</t>
        </is>
      </c>
    </row>
    <row r="112">
      <c r="A112" t="inlineStr">
        <is>
          <t>PUFA 20:5 n-3 (EPA)</t>
        </is>
      </c>
      <c r="B112">
        <f>Ingredientes!DM6</f>
        <v/>
      </c>
      <c r="C112" t="inlineStr">
        <is>
          <t>g</t>
        </is>
      </c>
    </row>
    <row r="113">
      <c r="A113" t="inlineStr">
        <is>
          <t>PUFA 22:5 n-3 (DPA)</t>
        </is>
      </c>
      <c r="B113">
        <f>Ingredientes!DN6</f>
        <v/>
      </c>
      <c r="C113" t="inlineStr">
        <is>
          <t>g</t>
        </is>
      </c>
    </row>
    <row r="114">
      <c r="A114" t="inlineStr">
        <is>
          <t>PUFA 22:6 n-3 (DHA)</t>
        </is>
      </c>
      <c r="B114">
        <f>Ingredientes!DO6</f>
        <v/>
      </c>
      <c r="C114" t="inlineStr">
        <is>
          <t>g</t>
        </is>
      </c>
    </row>
    <row r="115">
      <c r="A115" t="inlineStr">
        <is>
          <t>Fatty acids, total trans</t>
        </is>
      </c>
      <c r="B115">
        <f>Ingredientes!DP6</f>
        <v/>
      </c>
      <c r="C115" t="inlineStr">
        <is>
          <t>g</t>
        </is>
      </c>
    </row>
    <row r="116">
      <c r="A116" t="inlineStr">
        <is>
          <t>SFA 13:0</t>
        </is>
      </c>
      <c r="B116">
        <f>Ingredientes!DQ6</f>
        <v/>
      </c>
      <c r="C116" t="inlineStr">
        <is>
          <t>g</t>
        </is>
      </c>
    </row>
    <row r="117">
      <c r="A117" t="inlineStr">
        <is>
          <t>SFA 15:0</t>
        </is>
      </c>
      <c r="B117">
        <f>Ingredientes!DR6</f>
        <v/>
      </c>
      <c r="C117" t="inlineStr">
        <is>
          <t>g</t>
        </is>
      </c>
    </row>
    <row r="118">
      <c r="A118" t="inlineStr">
        <is>
          <t>SFA 17:0</t>
        </is>
      </c>
      <c r="B118">
        <f>Ingredientes!DS6</f>
        <v/>
      </c>
      <c r="C118" t="inlineStr">
        <is>
          <t>g</t>
        </is>
      </c>
    </row>
    <row r="119">
      <c r="A119" t="inlineStr">
        <is>
          <t>SFA 20:0</t>
        </is>
      </c>
      <c r="B119">
        <f>Ingredientes!DT6</f>
        <v/>
      </c>
      <c r="C119" t="inlineStr">
        <is>
          <t>g</t>
        </is>
      </c>
    </row>
    <row r="120">
      <c r="A120" t="inlineStr">
        <is>
          <t>SFA 22:0</t>
        </is>
      </c>
      <c r="B120">
        <f>Ingredientes!DU6</f>
        <v/>
      </c>
      <c r="C120" t="inlineStr">
        <is>
          <t>g</t>
        </is>
      </c>
    </row>
    <row r="121">
      <c r="A121" t="inlineStr">
        <is>
          <t>SFA 24:0</t>
        </is>
      </c>
      <c r="B121">
        <f>Ingredientes!DV6</f>
        <v/>
      </c>
      <c r="C121" t="inlineStr">
        <is>
          <t>g</t>
        </is>
      </c>
    </row>
    <row r="122">
      <c r="A122" t="inlineStr">
        <is>
          <t>MUFA 14:1</t>
        </is>
      </c>
      <c r="B122">
        <f>Ingredientes!DW6</f>
        <v/>
      </c>
      <c r="C122" t="inlineStr">
        <is>
          <t>g</t>
        </is>
      </c>
    </row>
    <row r="123">
      <c r="A123" t="inlineStr">
        <is>
          <t>MUFA 15:1</t>
        </is>
      </c>
      <c r="B123">
        <f>Ingredientes!DX6</f>
        <v/>
      </c>
      <c r="C123" t="inlineStr">
        <is>
          <t>g</t>
        </is>
      </c>
    </row>
    <row r="124">
      <c r="A124" t="inlineStr">
        <is>
          <t>MUFA 17:1</t>
        </is>
      </c>
      <c r="B124">
        <f>Ingredientes!DY6</f>
        <v/>
      </c>
      <c r="C124" t="inlineStr">
        <is>
          <t>g</t>
        </is>
      </c>
    </row>
    <row r="125">
      <c r="A125" t="inlineStr">
        <is>
          <t>MUFA 24:1 c</t>
        </is>
      </c>
      <c r="B125">
        <f>Ingredientes!DZ6</f>
        <v/>
      </c>
      <c r="C125" t="inlineStr">
        <is>
          <t>g</t>
        </is>
      </c>
    </row>
    <row r="126">
      <c r="A126" t="inlineStr">
        <is>
          <t>PUFA 18:3 n-3 c,c,c (ALA)</t>
        </is>
      </c>
      <c r="B126">
        <f>Ingredientes!EA6</f>
        <v/>
      </c>
      <c r="C126" t="inlineStr">
        <is>
          <t>g</t>
        </is>
      </c>
    </row>
    <row r="127">
      <c r="A127" t="inlineStr">
        <is>
          <t>PUFA 20:2 n-6 c,c</t>
        </is>
      </c>
      <c r="B127">
        <f>Ingredientes!EB6</f>
        <v/>
      </c>
      <c r="C127" t="inlineStr">
        <is>
          <t>g</t>
        </is>
      </c>
    </row>
    <row r="128">
      <c r="A128" t="inlineStr">
        <is>
          <t>PUFA 20:3</t>
        </is>
      </c>
      <c r="B128">
        <f>Ingredientes!EC6</f>
        <v/>
      </c>
      <c r="C128" t="inlineStr">
        <is>
          <t>g</t>
        </is>
      </c>
    </row>
    <row r="129">
      <c r="A129" t="inlineStr">
        <is>
          <t>Fatty acids, total trans-monoenoic</t>
        </is>
      </c>
      <c r="B129">
        <f>Ingredientes!ED6</f>
        <v/>
      </c>
      <c r="C129" t="inlineStr">
        <is>
          <t>g</t>
        </is>
      </c>
    </row>
    <row r="130">
      <c r="A130" t="inlineStr">
        <is>
          <t>TFA 18:1 t</t>
        </is>
      </c>
      <c r="B130">
        <f>Ingredientes!EE6</f>
        <v/>
      </c>
      <c r="C130" t="inlineStr">
        <is>
          <t>g</t>
        </is>
      </c>
    </row>
    <row r="131">
      <c r="A131" t="inlineStr">
        <is>
          <t>Phytosterols</t>
        </is>
      </c>
      <c r="B131">
        <f>Ingredientes!EF6</f>
        <v/>
      </c>
      <c r="C131" t="inlineStr">
        <is>
          <t>mg</t>
        </is>
      </c>
    </row>
    <row r="132">
      <c r="A132" t="inlineStr">
        <is>
          <t>Tryptophan</t>
        </is>
      </c>
      <c r="B132">
        <f>Ingredientes!EG6</f>
        <v/>
      </c>
      <c r="C132" t="inlineStr">
        <is>
          <t>g</t>
        </is>
      </c>
    </row>
    <row r="133">
      <c r="A133" t="inlineStr">
        <is>
          <t>Threonine</t>
        </is>
      </c>
      <c r="B133">
        <f>Ingredientes!EH6</f>
        <v/>
      </c>
      <c r="C133" t="inlineStr">
        <is>
          <t>g</t>
        </is>
      </c>
    </row>
    <row r="134">
      <c r="A134" t="inlineStr">
        <is>
          <t>Isoleucine</t>
        </is>
      </c>
      <c r="B134">
        <f>Ingredientes!EI6</f>
        <v/>
      </c>
      <c r="C134" t="inlineStr">
        <is>
          <t>g</t>
        </is>
      </c>
    </row>
    <row r="135">
      <c r="A135" t="inlineStr">
        <is>
          <t>Leucine</t>
        </is>
      </c>
      <c r="B135">
        <f>Ingredientes!EJ6</f>
        <v/>
      </c>
      <c r="C135" t="inlineStr">
        <is>
          <t>g</t>
        </is>
      </c>
    </row>
    <row r="136">
      <c r="A136" t="inlineStr">
        <is>
          <t>Lysine</t>
        </is>
      </c>
      <c r="B136">
        <f>Ingredientes!EK6</f>
        <v/>
      </c>
      <c r="C136" t="inlineStr">
        <is>
          <t>g</t>
        </is>
      </c>
    </row>
    <row r="137">
      <c r="A137" t="inlineStr">
        <is>
          <t>Methionine</t>
        </is>
      </c>
      <c r="B137">
        <f>Ingredientes!EL6</f>
        <v/>
      </c>
      <c r="C137" t="inlineStr">
        <is>
          <t>g</t>
        </is>
      </c>
    </row>
    <row r="138">
      <c r="A138" t="inlineStr">
        <is>
          <t>Phenylalanine</t>
        </is>
      </c>
      <c r="B138">
        <f>Ingredientes!EM6</f>
        <v/>
      </c>
      <c r="C138" t="inlineStr">
        <is>
          <t>g</t>
        </is>
      </c>
    </row>
    <row r="139">
      <c r="A139" t="inlineStr">
        <is>
          <t>Tyrosine</t>
        </is>
      </c>
      <c r="B139">
        <f>Ingredientes!EN6</f>
        <v/>
      </c>
      <c r="C139" t="inlineStr">
        <is>
          <t>g</t>
        </is>
      </c>
    </row>
    <row r="140">
      <c r="A140" t="inlineStr">
        <is>
          <t>Valine</t>
        </is>
      </c>
      <c r="B140">
        <f>Ingredientes!EO6</f>
        <v/>
      </c>
      <c r="C140" t="inlineStr">
        <is>
          <t>g</t>
        </is>
      </c>
    </row>
    <row r="141">
      <c r="A141" t="inlineStr">
        <is>
          <t>Arginine</t>
        </is>
      </c>
      <c r="B141">
        <f>Ingredientes!EP6</f>
        <v/>
      </c>
      <c r="C141" t="inlineStr">
        <is>
          <t>g</t>
        </is>
      </c>
    </row>
    <row r="142">
      <c r="A142" t="inlineStr">
        <is>
          <t>Histidine</t>
        </is>
      </c>
      <c r="B142">
        <f>Ingredientes!EQ6</f>
        <v/>
      </c>
      <c r="C142" t="inlineStr">
        <is>
          <t>g</t>
        </is>
      </c>
    </row>
    <row r="143">
      <c r="A143" t="inlineStr">
        <is>
          <t>Alanine</t>
        </is>
      </c>
      <c r="B143">
        <f>Ingredientes!ER6</f>
        <v/>
      </c>
      <c r="C143" t="inlineStr">
        <is>
          <t>g</t>
        </is>
      </c>
    </row>
    <row r="144">
      <c r="A144" t="inlineStr">
        <is>
          <t>Aspartic acid</t>
        </is>
      </c>
      <c r="B144">
        <f>Ingredientes!ES6</f>
        <v/>
      </c>
      <c r="C144" t="inlineStr">
        <is>
          <t>g</t>
        </is>
      </c>
    </row>
    <row r="145">
      <c r="A145" t="inlineStr">
        <is>
          <t>Glutamic acid</t>
        </is>
      </c>
      <c r="B145">
        <f>Ingredientes!ET6</f>
        <v/>
      </c>
      <c r="C145" t="inlineStr">
        <is>
          <t>g</t>
        </is>
      </c>
    </row>
    <row r="146">
      <c r="A146" t="inlineStr">
        <is>
          <t>Glycine</t>
        </is>
      </c>
      <c r="B146">
        <f>Ingredientes!EU6</f>
        <v/>
      </c>
      <c r="C146" t="inlineStr">
        <is>
          <t>g</t>
        </is>
      </c>
    </row>
    <row r="147">
      <c r="A147" t="inlineStr">
        <is>
          <t>Proline</t>
        </is>
      </c>
      <c r="B147">
        <f>Ingredientes!EV6</f>
        <v/>
      </c>
      <c r="C147" t="inlineStr">
        <is>
          <t>g</t>
        </is>
      </c>
    </row>
    <row r="148">
      <c r="A148" t="inlineStr">
        <is>
          <t>Serine</t>
        </is>
      </c>
      <c r="B148">
        <f>Ingredientes!EW6</f>
        <v/>
      </c>
      <c r="C148" t="inlineStr">
        <is>
          <t>g</t>
        </is>
      </c>
    </row>
    <row r="149">
      <c r="A149" t="inlineStr">
        <is>
          <t>Hydroxyproline</t>
        </is>
      </c>
      <c r="B149">
        <f>Ingredientes!EX6</f>
        <v/>
      </c>
      <c r="C149" t="inlineStr">
        <is>
          <t>g</t>
        </is>
      </c>
    </row>
    <row r="150">
      <c r="A150" t="inlineStr">
        <is>
          <t>Cysteine</t>
        </is>
      </c>
      <c r="B150">
        <f>Ingredientes!EY6</f>
        <v/>
      </c>
      <c r="C150" t="inlineStr">
        <is>
          <t>g</t>
        </is>
      </c>
    </row>
    <row r="151">
      <c r="A151" t="inlineStr">
        <is>
          <t>Alcohol, ethyl</t>
        </is>
      </c>
      <c r="B151">
        <f>Ingredientes!EZ6</f>
        <v/>
      </c>
      <c r="C151" t="inlineStr">
        <is>
          <t>g</t>
        </is>
      </c>
    </row>
    <row r="152">
      <c r="A152" t="inlineStr">
        <is>
          <t>Caffeine</t>
        </is>
      </c>
      <c r="B152">
        <f>Ingredientes!FA6</f>
        <v/>
      </c>
      <c r="C152" t="inlineStr">
        <is>
          <t>mg</t>
        </is>
      </c>
    </row>
    <row r="153">
      <c r="A153" t="inlineStr">
        <is>
          <t>Theobromine</t>
        </is>
      </c>
      <c r="B153">
        <f>Ingredientes!FB6</f>
        <v/>
      </c>
      <c r="C153" t="inlineStr">
        <is>
          <t>mg</t>
        </is>
      </c>
    </row>
    <row r="154">
      <c r="A154" t="inlineStr">
        <is>
          <t>Cystine</t>
        </is>
      </c>
      <c r="B154">
        <f>Ingredientes!FC6</f>
        <v/>
      </c>
      <c r="C15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2025-12-04T21:50:12Z</dcterms:created>
  <dcterms:modified xsi:type="dcterms:W3CDTF">2025-12-04T21:50:13Z</dcterms:modified>
</cp:coreProperties>
</file>