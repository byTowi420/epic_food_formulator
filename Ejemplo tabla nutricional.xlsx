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correoucuedu-my.sharepoint.com/personal/jose_torres_correo_ucu_edu_uy/Documents/VS CODE/Programacion II/food_formulator/"/>
    </mc:Choice>
  </mc:AlternateContent>
  <xr:revisionPtr revIDLastSave="88" documentId="8_{ECD9DDF4-A810-436C-A4F0-009AF0C184B3}" xr6:coauthVersionLast="47" xr6:coauthVersionMax="47" xr10:uidLastSave="{06387C6B-F67D-466E-A0F0-28D7B87EFEED}"/>
  <bookViews>
    <workbookView xWindow="28680" yWindow="-120" windowWidth="29040" windowHeight="15720" activeTab="2" xr2:uid="{00000000-000D-0000-FFFF-FFFF00000000}"/>
  </bookViews>
  <sheets>
    <sheet name="Ejemplos y otros valores" sheetId="3" r:id="rId1"/>
    <sheet name="Hoja1" sheetId="8" r:id="rId2"/>
    <sheet name="Calculos Nutricionales" sheetId="7" r:id="rId3"/>
    <sheet name="Modelos" sheetId="6" r:id="rId4"/>
    <sheet name="No significativas y desgloce" sheetId="5" r:id="rId5"/>
    <sheet name="Valores Diarios de referencia" sheetId="4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3" l="1"/>
  <c r="C13" i="3"/>
  <c r="C8" i="3"/>
  <c r="C7" i="3"/>
  <c r="C6" i="3"/>
  <c r="C5" i="3"/>
  <c r="C4" i="3"/>
</calcChain>
</file>

<file path=xl/sharedStrings.xml><?xml version="1.0" encoding="utf-8"?>
<sst xmlns="http://schemas.openxmlformats.org/spreadsheetml/2006/main" count="374" uniqueCount="319">
  <si>
    <t>-</t>
  </si>
  <si>
    <t>Energia</t>
  </si>
  <si>
    <t>Carbohidratos</t>
  </si>
  <si>
    <t>Proteinas</t>
  </si>
  <si>
    <t>Grasas totales</t>
  </si>
  <si>
    <t>Grasas saturadas</t>
  </si>
  <si>
    <t>Grasas trans</t>
  </si>
  <si>
    <t>Fibra alimentaria</t>
  </si>
  <si>
    <t>Sodio</t>
  </si>
  <si>
    <t>Cantidad por porcion</t>
  </si>
  <si>
    <t>20 g</t>
  </si>
  <si>
    <t>12 g</t>
  </si>
  <si>
    <t>120 mg</t>
  </si>
  <si>
    <t>3 g</t>
  </si>
  <si>
    <t>0 g</t>
  </si>
  <si>
    <t>*% Valores Diarios con base a una dieta de 2000 kcal u 8400 kJ. Sus valores diarios pueden ser mayores o menores dependiendo de sus necesidades energéticas.</t>
  </si>
  <si>
    <t>263 kcal = 1100 kJ</t>
  </si>
  <si>
    <t xml:space="preserve"> VALORES DIARIOS DE REFERENCIA DE NUTRIENTES (VDR) DE DECLARACION</t>
  </si>
  <si>
    <t xml:space="preserve">                             OBLIGATORIA (1)</t>
  </si>
  <si>
    <t>Valor Energético           2000 kcal - 8400 kJ</t>
  </si>
  <si>
    <t>Carbohidratos                   300 gramos</t>
  </si>
  <si>
    <t>Proteínas                       75 gramos</t>
  </si>
  <si>
    <t>Grasas Totales                  55 gramos</t>
  </si>
  <si>
    <t>Grasas Saturadas                22 gramos</t>
  </si>
  <si>
    <t>Fibra Alimentaria               25 gramos</t>
  </si>
  <si>
    <t>Sodio                        2400 miligramos</t>
  </si>
  <si>
    <t>VALORES DE INGESTA DIARIA RECOMENDADA DE NUTRIENTES (IDR) DE DECLARACION</t>
  </si>
  <si>
    <t xml:space="preserve">                    VOLUNTARIA: VITAMINAS Y MINERALES</t>
  </si>
  <si>
    <t>Vitamina A (2)           600 µg</t>
  </si>
  <si>
    <t>Vitamina D (2)             5 µg</t>
  </si>
  <si>
    <t>Vitamina C (2)            45 mg</t>
  </si>
  <si>
    <t>Vitamina E (2)            10 mg</t>
  </si>
  <si>
    <t>Tiamina (2)              1,2 mg</t>
  </si>
  <si>
    <t>Riboflavina (2)          1,3 mg</t>
  </si>
  <si>
    <t>Niacina (2)               16 mg</t>
  </si>
  <si>
    <t>Vitamina B6 (2)          1,3 mg</t>
  </si>
  <si>
    <t>Acido fólico (2)         400 µg</t>
  </si>
  <si>
    <t>Vitaminia B12 (2)        2,4 µg</t>
  </si>
  <si>
    <t>Biotina (2)               30 µg</t>
  </si>
  <si>
    <t>Acido pantoténico (2)      5 mg</t>
  </si>
  <si>
    <t>Calcio (2)              1000 mg</t>
  </si>
  <si>
    <t>Hierro (2) (*)            14 mg</t>
  </si>
  <si>
    <t>Magnesio (2)             260 mg</t>
  </si>
  <si>
    <t>Zinc (2) (**)              7 mg</t>
  </si>
  <si>
    <t>Yodo (2)                 130 µg</t>
  </si>
  <si>
    <t>Vitamina K (2)            65 µg</t>
  </si>
  <si>
    <t>Fósforo (3)              700 mg</t>
  </si>
  <si>
    <t>Flúor (3)                  4 mg</t>
  </si>
  <si>
    <t>Cobre (3)                900 µg</t>
  </si>
  <si>
    <t>Selenio (2)               34 µg</t>
  </si>
  <si>
    <t>Molibdeno (3)             45 µg</t>
  </si>
  <si>
    <t>Cromo (3)                 35 µg</t>
  </si>
  <si>
    <t>Manganeso (3)            2,3 mg</t>
  </si>
  <si>
    <t>Colina (3)               550 mg</t>
  </si>
  <si>
    <t>(*) 10% de biodisponibilidad</t>
  </si>
  <si>
    <t>(**) Moderada biodisponibilidad</t>
  </si>
  <si>
    <t>NOTAS:</t>
  </si>
  <si>
    <t>5 g</t>
  </si>
  <si>
    <t>% VD(*)</t>
  </si>
  <si>
    <t>3.4.3.2.  En la información nutricional, se expresará "cero" o "0" o</t>
  </si>
  <si>
    <t xml:space="preserve">          "no contiene" para el valor energético y/o nutrientes, cuando</t>
  </si>
  <si>
    <t xml:space="preserve">          el alimento contenga cantidades menores o iguales a las</t>
  </si>
  <si>
    <t xml:space="preserve">          establecidas cono "no significativas" de acuerdo a la tabla</t>
  </si>
  <si>
    <t xml:space="preserve">          siguiente:</t>
  </si>
  <si>
    <t>Valor Energético / Nutrientes            Cantidades no significativas por</t>
  </si>
  <si>
    <t xml:space="preserve">                                         porción (expresada en g o ml)</t>
  </si>
  <si>
    <t>Valor energético                         Menor o igual que 4 kcal o</t>
  </si>
  <si>
    <t xml:space="preserve">                                         menor que 17 kJ</t>
  </si>
  <si>
    <t>Carbohidratos                            Menor o igual que 0,5 g</t>
  </si>
  <si>
    <t>Proteínas                                Menor o igual que 0,5 g</t>
  </si>
  <si>
    <t>Grasas totales (*)                       Menor o igual que 0,5 g</t>
  </si>
  <si>
    <t>Grasas saturadas                         Menor o igual que 0,2 g</t>
  </si>
  <si>
    <t>Grasas trans                             Menor o igual que 0,2 g</t>
  </si>
  <si>
    <t>Fibra alimentaria                        Menor o igual que 0,5 g</t>
  </si>
  <si>
    <t>Sodio                                    Menor o igual que 5 mg</t>
  </si>
  <si>
    <t>(*)     Se declarará "cero" "0", o "no contiene", cuando la cantidad de</t>
  </si>
  <si>
    <t xml:space="preserve">        grasas totales, grasa saturadas y grasas trans cumplan con la</t>
  </si>
  <si>
    <t xml:space="preserve">        condición de cantidades no significativas y ningún otro tipo de</t>
  </si>
  <si>
    <t xml:space="preserve">        grasa sea declarado en cantidades superiores a cero.</t>
  </si>
  <si>
    <t>3.4.3.3. Alternativamente, se podrá utilizar una declaración nutricional</t>
  </si>
  <si>
    <t xml:space="preserve">         simplificada. A tales efectos, la declaración del valor</t>
  </si>
  <si>
    <t xml:space="preserve">         energético o contenido de nutrientes se sustituirá por la</t>
  </si>
  <si>
    <t xml:space="preserve">         siguiente frase: "No aporta cantidades significativas de (valor</t>
  </si>
  <si>
    <t xml:space="preserve">         energético y/o el/los nombre/s del/de los nutriente/s)", la que</t>
  </si>
  <si>
    <t xml:space="preserve">         se colocará dentro del espacio reservado para la rotulación</t>
  </si>
  <si>
    <t xml:space="preserve">         nutricional.</t>
  </si>
  <si>
    <t>3.4.4.   Reglas para la información nutricional</t>
  </si>
  <si>
    <t>3.4.4.1. La información nutricional debe ser expresada por porción,</t>
  </si>
  <si>
    <t xml:space="preserve">         incluyendo la medida casera correspondiente a la misma según lo</t>
  </si>
  <si>
    <t xml:space="preserve">         establezca el Reglamento Técnico MERCOSUR específico y en</t>
  </si>
  <si>
    <t xml:space="preserve">         porcentaje de Valor Diario (%VD). Queda excluida la declaración</t>
  </si>
  <si>
    <t xml:space="preserve">         de grasas trans en porcentaje de Valor Diario (%VD).</t>
  </si>
  <si>
    <t xml:space="preserve">         Adicionalmente la información nutricional puede ser expresada</t>
  </si>
  <si>
    <t xml:space="preserve">         por 100 g o 100 ml.</t>
  </si>
  <si>
    <t>3.4.4.2. Para calcular el porcentaje del Valor Diario (% VD) del valor</t>
  </si>
  <si>
    <t xml:space="preserve">         energético y de cada nutriente que aporta la porción del alimento</t>
  </si>
  <si>
    <t xml:space="preserve">         se utilizarán los Valores Diarios de Referencia de Nutrientes</t>
  </si>
  <si>
    <t xml:space="preserve">         (VDR) y de Ingesta Diaria Recomendada (IDR) que constan en el</t>
  </si>
  <si>
    <t xml:space="preserve">         Anexo A de esta Resolución. Se debe agregar como parte de la</t>
  </si>
  <si>
    <t xml:space="preserve">         información nutricional la siguientes expresión "Sus valores</t>
  </si>
  <si>
    <t xml:space="preserve">         diarios pueden ser mayores o menores dependiendo de sus</t>
  </si>
  <si>
    <t xml:space="preserve">         necesidades energéticas".</t>
  </si>
  <si>
    <t>3.4.4.3. Las cantidades mencionadas deberán ser las correspondientes al</t>
  </si>
  <si>
    <t xml:space="preserve">         alimento tal como se ofrece al consumidor. Se podrá declarar</t>
  </si>
  <si>
    <t xml:space="preserve">         también información respecto del alimento preparado, siempre</t>
  </si>
  <si>
    <t xml:space="preserve">         y cuando se indiquen las instrucciones específicas de preparación</t>
  </si>
  <si>
    <t xml:space="preserve">         y la información se refiera al alimento en el estado listo para</t>
  </si>
  <si>
    <t xml:space="preserve">         el consumo.</t>
  </si>
  <si>
    <t>3.4.5.  Cuando se declare la cantidad de azúcares y/o polialcoholes y/o</t>
  </si>
  <si>
    <t xml:space="preserve">        almidón y/u otros carbohidratos presentes en el alimento, esta</t>
  </si>
  <si>
    <t xml:space="preserve">        declaración seguirá inmediatamente a la de la cantidad de</t>
  </si>
  <si>
    <t xml:space="preserve">        carbohidratos, de la siguiente manera:</t>
  </si>
  <si>
    <t>Carbohidratos: g, de los cuales:</t>
  </si>
  <si>
    <t>azúcares:               g</t>
  </si>
  <si>
    <t>polialcoholes:          g</t>
  </si>
  <si>
    <t>almidón:                g</t>
  </si>
  <si>
    <t>otros carbohidratos (los que deberán ser identificados en la</t>
  </si>
  <si>
    <t>rotulación)             g</t>
  </si>
  <si>
    <t>La cantidad de azúcares, polialcoholes, almidón y otros carbohidratos</t>
  </si>
  <si>
    <t>podrá indicarse también como porcentaje del total de carbohidratos.</t>
  </si>
  <si>
    <t>3.4.6.  Cuando se declare la cantidad del (de los) tipo(s) de</t>
  </si>
  <si>
    <t xml:space="preserve">        grasa(s) y/o ácidos grasos y/o de colesterol, esta declaración</t>
  </si>
  <si>
    <t xml:space="preserve">        seguirá inmediatamente a la de la cantidad de grasas totales,</t>
  </si>
  <si>
    <t xml:space="preserve">        de la siguiente manera:</t>
  </si>
  <si>
    <t>grasas totales:                 g, de las cuales:</t>
  </si>
  <si>
    <t>grasas saturadas:               g</t>
  </si>
  <si>
    <t>grasas trans:                   g</t>
  </si>
  <si>
    <t>grasas monoinsaturadas:         g</t>
  </si>
  <si>
    <t>grasas poliinsaturadas:         g</t>
  </si>
  <si>
    <t>colesterol:                     mg</t>
  </si>
  <si>
    <t>3.5.    Tolerancia.</t>
  </si>
  <si>
    <t>3.5.1.  Se acepta una tolerancia de ± 20% respecto a los valores de</t>
  </si>
  <si>
    <t xml:space="preserve">        nutrientes declarados en el rótulo.</t>
  </si>
  <si>
    <t>3.5.2.  Para los productos que contengan micronutrientes en cantidad</t>
  </si>
  <si>
    <t xml:space="preserve">        superior a la tolerancia establecida en el numeral 3.5.1, la</t>
  </si>
  <si>
    <t xml:space="preserve">        empresa responsable deberá contar con los estudios que la</t>
  </si>
  <si>
    <t xml:space="preserve">        justifiquen.</t>
  </si>
  <si>
    <t>4.      Declaración de propiedades Nutricionales (Información Nutricional</t>
  </si>
  <si>
    <t xml:space="preserve">        Complementaria)</t>
  </si>
  <si>
    <t>4.1.1   La declaración de propiedades nutricionales en los rótulos de</t>
  </si>
  <si>
    <t xml:space="preserve">        los alimentos es facultativa y no deberá sustituir sino añadirse</t>
  </si>
  <si>
    <t xml:space="preserve">        a la declaración de los nutrientes.</t>
  </si>
  <si>
    <t>5.      Disposiciones Generales</t>
  </si>
  <si>
    <t>5.1     El rotulado nutricional podrá ser colocado en el país de origen</t>
  </si>
  <si>
    <t xml:space="preserve">        o en el de destino, y en este último caso, previo a la</t>
  </si>
  <si>
    <t xml:space="preserve">        comercialización del alimento.</t>
  </si>
  <si>
    <t>5.2.    A los efectos de la comprobación de la información nutricional,</t>
  </si>
  <si>
    <t xml:space="preserve">        en caso de resultados divergentes las partes actuantes acordarán</t>
  </si>
  <si>
    <t xml:space="preserve">        emplear métodos analíticos reconocidos internacionalmente y</t>
  </si>
  <si>
    <t xml:space="preserve">        validados.</t>
  </si>
  <si>
    <t>5.3.    Cuando facultativamente se declare información nutricional en</t>
  </si>
  <si>
    <t xml:space="preserve">        los rótulos de los alimentos exceptuados en el presente Reglamento</t>
  </si>
  <si>
    <t xml:space="preserve">        o para los alimentos no contemplados en el RTM de Porciones de</t>
  </si>
  <si>
    <t xml:space="preserve">        Alimentos Envasados, el rotulado nutricional deberá cumplir con</t>
  </si>
  <si>
    <t xml:space="preserve">        los requisitos del presente Reglamento.</t>
  </si>
  <si>
    <t xml:space="preserve">        A su vez, para la determinación de la porción de estos alimentos</t>
  </si>
  <si>
    <t xml:space="preserve">        se deberá aplicar lo establecido en el RTM de Porciones de</t>
  </si>
  <si>
    <t xml:space="preserve">        Alimentos Envasados, tomando como referencia, aquel o aquellos</t>
  </si>
  <si>
    <t xml:space="preserve">        alimentos que por sus características nutricionales sean</t>
  </si>
  <si>
    <t xml:space="preserve">        comparables y/o similares. En caso contrario se utilizará la</t>
  </si>
  <si>
    <t xml:space="preserve">        metodología empleada para la armonización de las porciones</t>
  </si>
  <si>
    <t xml:space="preserve">        descrita en el Reglamento antes mencionado.</t>
  </si>
  <si>
    <t>5.4.    Los alimentos destinados a personas con trastornos metabólicos</t>
  </si>
  <si>
    <t xml:space="preserve">        específicos y/o condiciones fisiológicas particulares podrán, a</t>
  </si>
  <si>
    <t xml:space="preserve">        través de reglamentación, ser exceptuadas de declarar las</t>
  </si>
  <si>
    <t xml:space="preserve">        porciones y/o el porcentaje de valor diario establecidas en el</t>
  </si>
  <si>
    <t xml:space="preserve">        Reglamento Técnico MERCOSUR específico.</t>
  </si>
  <si>
    <t xml:space="preserve">                                 ANEXO B</t>
  </si>
  <si>
    <t xml:space="preserve">                     MODELOS DE ROTULADO NUTRICIONAL</t>
  </si>
  <si>
    <t>A) Modelo Vertical A</t>
  </si>
  <si>
    <t xml:space="preserve">                        INFORMACION NUTRICIONAL</t>
  </si>
  <si>
    <t xml:space="preserve">                        Porción ... g o ml (medida casera)</t>
  </si>
  <si>
    <t xml:space="preserve">                        Cantidad por porción      % VD (*)</t>
  </si>
  <si>
    <t xml:space="preserve">     Valor energético     ... kcal = ... kJ</t>
  </si>
  <si>
    <t xml:space="preserve">     Carbohidratos              ... g</t>
  </si>
  <si>
    <t xml:space="preserve">     Proteínas                  ... g</t>
  </si>
  <si>
    <t xml:space="preserve">     Grasas totales             ... g</t>
  </si>
  <si>
    <t xml:space="preserve">     Grasas saturadas           ... g</t>
  </si>
  <si>
    <t xml:space="preserve">     Grasas trans              .... g           (No declarar)</t>
  </si>
  <si>
    <t xml:space="preserve">     Fibra alimentaria         .... g</t>
  </si>
  <si>
    <t xml:space="preserve">     Sodio                      ... mg</t>
  </si>
  <si>
    <t xml:space="preserve">     No aporta cantidades significativas de ... (Valor energético y/o</t>
  </si>
  <si>
    <t xml:space="preserve">     el/los nombre/s del/de los nutriente/s) (Esta frase se puede emplear</t>
  </si>
  <si>
    <t xml:space="preserve">     cuando se utilice la declaración nutricional simplificada)</t>
  </si>
  <si>
    <t>* % Valores Diarios con base a una dieta de 2.000 kcal u 8.400 kJ. Sus</t>
  </si>
  <si>
    <t>valores diarios pueden ser mayores o menores dependiendo de sus</t>
  </si>
  <si>
    <t>necesidades energéticas</t>
  </si>
  <si>
    <t>B) Modelo Vertical B</t>
  </si>
  <si>
    <t xml:space="preserve">             Cantidad por porción  % VD (*) Cantidad por porción  % VD(*)</t>
  </si>
  <si>
    <t>INFORMACION  Valor energético               Grasas saturadas . g</t>
  </si>
  <si>
    <t>NUTRICIONAL  ... kcal = ... kJ</t>
  </si>
  <si>
    <t>Porción g o  Carbohidratos .....g           Grasas trans ......g  (No</t>
  </si>
  <si>
    <t xml:space="preserve">                                                                 declarar)</t>
  </si>
  <si>
    <t>ml (medida   Proteínas ........ g           Fibra alimentaria .g</t>
  </si>
  <si>
    <t>casera)      Grasas totales ....g           Sodio ............mg</t>
  </si>
  <si>
    <t>"No aporta cantidades significativas de ... (Valor energético y/o el/los</t>
  </si>
  <si>
    <t>nombre/s del/de los nutriente/s)" (Esta frase se puede emplear cuando se</t>
  </si>
  <si>
    <t>utilice la declaración nutricional simplificada)</t>
  </si>
  <si>
    <t>* Valores Diarios con base a una dieta de 2.000 kcal u 8.400 kJ. Sus</t>
  </si>
  <si>
    <t>C) Modelo Lineal</t>
  </si>
  <si>
    <t>Información Nutricional: Porción ... g o ml (medida casera). Valor</t>
  </si>
  <si>
    <t>energético ... Kcal = ... kJ ( ... %VD*); Carbohidratos ... g ( ... %VD);</t>
  </si>
  <si>
    <t>Proteínas ... g ( ... %VD); Grasas totales ... g ( ... %VD); Grasas</t>
  </si>
  <si>
    <t>saturadas ... g ( ... %VD); Grasas trans ... g; Fibra alimentaria ... g (</t>
  </si>
  <si>
    <t>... %VD); Sodio ... mg ( ... %VD):</t>
  </si>
  <si>
    <t>No aporta cantidades significativas de ... (Valor energético y/o el/los</t>
  </si>
  <si>
    <t>nombre/s del/de los nutriente/s) (Esta frase se puede emplear cuando se</t>
  </si>
  <si>
    <t>necesidades energéticas.</t>
  </si>
  <si>
    <t>Nota aplicable a todos los modelos</t>
  </si>
  <si>
    <t>La expresión "INFORMACION NUTRICIONAL", el valor y las unidades de la</t>
  </si>
  <si>
    <t>porción y lo correspondiente a la medida casera deben ser de mayor</t>
  </si>
  <si>
    <t>destaque que el resto de la información nutricional.</t>
  </si>
  <si>
    <t>tamaño porcion</t>
  </si>
  <si>
    <t>Medida casera</t>
  </si>
  <si>
    <t>INFORMACION NUTRICIONAL</t>
  </si>
  <si>
    <t>(1) FAO/OMS -Diet, Nutrition and Prevention of Chronic Diseases. WHO</t>
  </si>
  <si>
    <t>Technical Report Series 916 Geneva, 2003.</t>
  </si>
  <si>
    <t>(2) Human Vitamin and Mineral Requirements, Report 07ª Joint FAO/OMS</t>
  </si>
  <si>
    <t>Expert Consultation Bangkok, Thailand, 2001</t>
  </si>
  <si>
    <t>(3) Dietary Reference Intake, Food and Nutrition Broad, Institute of</t>
  </si>
  <si>
    <t>Medicine. 1999-2001.</t>
  </si>
  <si>
    <t>Medida casera       Capacidad o dimensión</t>
  </si>
  <si>
    <t>Taza de té           200 cm3 o ml</t>
  </si>
  <si>
    <t>Vaso                 200 cm3 o ml</t>
  </si>
  <si>
    <t>Cuchara de sopa      10 cm3 o ml</t>
  </si>
  <si>
    <t>Cuchara de té        5 cm3 o ml</t>
  </si>
  <si>
    <t>Plato llano o playo  22 cm de diámetro</t>
  </si>
  <si>
    <t>Plato hondo          250 cm3 o ml</t>
  </si>
  <si>
    <t>Para valores menores o iguales a la unidad de medida casera:</t>
  </si>
  <si>
    <t xml:space="preserve">     PORCENTAJE DE LA MEDIDA           FRACCION A INDICAR</t>
  </si>
  <si>
    <t xml:space="preserve">              CASERA</t>
  </si>
  <si>
    <t xml:space="preserve">     Hasta el 30%                1/4 de ...(medida casera)</t>
  </si>
  <si>
    <t xml:space="preserve">     Del 31% al 70%              1/2 de ...(medida casera)</t>
  </si>
  <si>
    <t xml:space="preserve">     Del 71% al 130%             1 ...(medida casera)</t>
  </si>
  <si>
    <t>Para valores mayores a que la unidad de medida casera:</t>
  </si>
  <si>
    <t xml:space="preserve">     Del 131% al 170%            1 1/2 de ...(medida casera)</t>
  </si>
  <si>
    <t xml:space="preserve">     Del 171% al 230%            2 ...(medida casera)</t>
  </si>
  <si>
    <t>Porción 100 g o ml (medida casera)</t>
  </si>
  <si>
    <t>No aporta cantidades significativas de ... (Valor energético y/o el/los nombre/s del/de los nutriente/s)</t>
  </si>
  <si>
    <t xml:space="preserve">     No aporta cantidades significativas de …</t>
  </si>
  <si>
    <t>3.2- Cálculo de nutrientes-</t>
  </si>
  <si>
    <t>3.2.1- Cálculo de energía-</t>
  </si>
  <si>
    <t xml:space="preserve">          La cantidad de energía que ha de declararse deberá calcularse</t>
  </si>
  <si>
    <t>utilizando los siguientes factores de conversión:</t>
  </si>
  <si>
    <t>Proteínas                                 4 kcal/g - 47 kJ/g</t>
  </si>
  <si>
    <t>Lípidos                                   9 kcal/g - 37 kJ/g</t>
  </si>
  <si>
    <t>Alcohol (Etanol)                          7 kcal/g - 29 kJ/g</t>
  </si>
  <si>
    <t>Acidos orgánicos                          3 kcal/g - 13 kJ/g</t>
  </si>
  <si>
    <t>Polialcoholes                           2.4 kcal/g - 10 kJ/g</t>
  </si>
  <si>
    <t>Polidextrosas                             1 kcal/g -  4 KJ/g</t>
  </si>
  <si>
    <t xml:space="preserve">          Podrá usarse factores adecuados para otros ítems aquí no</t>
  </si>
  <si>
    <t>previstos, los que serán indicados en los Reglamentos Técnicos MERCOSUR</t>
  </si>
  <si>
    <t>específicos.</t>
  </si>
  <si>
    <t>3.2.2- Cálculo de proteínas-</t>
  </si>
  <si>
    <t xml:space="preserve">          La cantidad de proteínas que ha de indicarse, deberá calcularse</t>
  </si>
  <si>
    <t>utilizando la fórmula siguiente:</t>
  </si>
  <si>
    <t xml:space="preserve">          Proteína = contenido total de nitrógeno (Kjeldahl) x factor</t>
  </si>
  <si>
    <t xml:space="preserve">          Se utilizará los siguientes factores:</t>
  </si>
  <si>
    <t xml:space="preserve">          5.75 - proteínas vegetales</t>
  </si>
  <si>
    <t xml:space="preserve">          6.38 - proteínas lácteas</t>
  </si>
  <si>
    <t xml:space="preserve">          6.25 - proteínas cárnicas o mezclas de proteínas</t>
  </si>
  <si>
    <t xml:space="preserve">          Podrá usarse un factor diferente cuando se indique en un</t>
  </si>
  <si>
    <t>Reglamento Técnico MERCOSUR específico.</t>
  </si>
  <si>
    <t>3.2.3- Cálculo de glúcidos-</t>
  </si>
  <si>
    <t xml:space="preserve">          Se calculará como la diferencia entre 100 y la suma del</t>
  </si>
  <si>
    <t>contenido de proteínas, lípidos, fibra alimentaria, humedad y cenizas.</t>
  </si>
  <si>
    <t>3.3.5- Siempre que se declare el contenido de azúcares y/o polialcoholes</t>
  </si>
  <si>
    <t xml:space="preserve">y/o almidón y/o polidextrosas y/o otros glúcidos, esta declaración </t>
  </si>
  <si>
    <t>seguirá inmediatamente a la del contenido de glúcidos, de la siguiente manera:</t>
  </si>
  <si>
    <t xml:space="preserve">               - glúcidos ... g, de los cuales:</t>
  </si>
  <si>
    <t xml:space="preserve">                    . azúcares: ... g</t>
  </si>
  <si>
    <t xml:space="preserve">                    . polialcoholes: ... g</t>
  </si>
  <si>
    <t xml:space="preserve">                    . almidón: ... g</t>
  </si>
  <si>
    <t xml:space="preserve">                    . polidextrosas: ... g</t>
  </si>
  <si>
    <t xml:space="preserve">                    . otros glúcidos: ... g</t>
  </si>
  <si>
    <t xml:space="preserve">          La declaración "otros glúcidos" se refiere a cualquier otro</t>
  </si>
  <si>
    <t>glúcido, el cual deberá ser claramente identificado.</t>
  </si>
  <si>
    <t xml:space="preserve">          El contenido de azúcares, polialcoholes, almidón, polidextrosas</t>
  </si>
  <si>
    <t>y otros glúcidos podrá indicarse también como porcentaje del total de</t>
  </si>
  <si>
    <t>glúcidos.</t>
  </si>
  <si>
    <t>Valor energetico</t>
  </si>
  <si>
    <t>Unidad</t>
  </si>
  <si>
    <t>Grasas</t>
  </si>
  <si>
    <t xml:space="preserve">3.3.6- Siempre que se declare la cantidad y/o el tipo de ácidos grasos </t>
  </si>
  <si>
    <t xml:space="preserve">y/o la cantidad de colesterol, esta declaración seguirá inmediatamente a </t>
  </si>
  <si>
    <t>la del contenido total de lípidos, de la siguiente manera:</t>
  </si>
  <si>
    <t xml:space="preserve">             - lípidos ... g, de los cuales:</t>
  </si>
  <si>
    <t xml:space="preserve">                    . ácidos grasos saturados: ... g</t>
  </si>
  <si>
    <t xml:space="preserve">                    . ácidos grasos monoinsaturados: ... g</t>
  </si>
  <si>
    <t xml:space="preserve">                    . ácidos grasos poliinsaturados: ... g</t>
  </si>
  <si>
    <t xml:space="preserve">                    . colesterol: ... mg</t>
  </si>
  <si>
    <t xml:space="preserve">          El contenido de ácidos grasos saturados, ácidos grasos</t>
  </si>
  <si>
    <t>monoinsaturados y ácidos grasos poliinsaturados podrá indicarse también</t>
  </si>
  <si>
    <t>como porcenaje del total de lípidos.</t>
  </si>
  <si>
    <t>Campo para numero seguido de un selector de unidad(g o ml)</t>
  </si>
  <si>
    <t>Campo para texto seguido de un selector de unidad(Vaso, Cuchara de sopa, unidad, etc)</t>
  </si>
  <si>
    <t>No aporta (campo donse se puede agregar más de uno de los siguientes)</t>
  </si>
  <si>
    <t>Nutrientes adicionales  (campo donse se puede agregar más de uno de los siguientes)</t>
  </si>
  <si>
    <t>Energy (kcal)</t>
  </si>
  <si>
    <t>Energy (kJ)</t>
  </si>
  <si>
    <t>Carbohydrate, by difference (g)</t>
  </si>
  <si>
    <t>Protein (g)</t>
  </si>
  <si>
    <t>Total lipid (fat) (g)</t>
  </si>
  <si>
    <t>Fiber, total dietary (g)</t>
  </si>
  <si>
    <t>Sodium, Na (mg)</t>
  </si>
  <si>
    <t>Fatty acids, total saturated (g)</t>
  </si>
  <si>
    <t>Fatty acids, total trans (g)</t>
  </si>
  <si>
    <t>Carbohidratos (excepto polialcoholes)          4 kcal/g - 17 kJ-g</t>
  </si>
  <si>
    <t xml:space="preserve">        Grasas saturadas</t>
  </si>
  <si>
    <t xml:space="preserve">        Grasas monoinsaturadas</t>
  </si>
  <si>
    <t xml:space="preserve">        Grasas poliinsaturadas</t>
  </si>
  <si>
    <t xml:space="preserve">        Grasas trans</t>
  </si>
  <si>
    <t>15 g, de las cuales</t>
  </si>
  <si>
    <t xml:space="preserve">        Colesterol</t>
  </si>
  <si>
    <t>15 mg</t>
  </si>
  <si>
    <t>Información Nutricional: Porción 100g (1/2 Unidad). Valor energético 263 Kcal = 1100 kJ (13 %VD*); Carbohidratos 20g (7% VD); Proteínas 12g (16% VD); Grasas totales 15g (27% VD), de los cuales: Grasas saturadas 5g (23% VD), Grasas monoinsaturadas 5g,  Grasas poliinsaturadas 5g,  Grasas trans 0g, Colesterol 15 mg; Fibra alimentaria 3g (12% VD); Sodio 120mg (5% VD)</t>
  </si>
  <si>
    <t>(*) % Valores Diarios con base a una dieta de 2.000 kcal u 8.400 kJ. Sus valores diarios pueden ser mayores o menores dependiendo de sus necesidades energéticas.</t>
  </si>
  <si>
    <t>Desglose Grasa</t>
  </si>
  <si>
    <t>Desglose Carbohidratos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</si>
</sst>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color rgb="FF1B1B1B"/>
      <name val="Arial"/>
      <family val="2"/>
    </font>
    <font>
      <sz val="10"/>
      <color rgb="FF000000"/>
      <name val="Calibri"/>
      <family val="2"/>
    </font>
    <font>
      <sz val="10"/>
      <color rgb="FF333333"/>
      <name val="Courier New"/>
      <family val="3"/>
    </font>
    <font>
      <sz val="12"/>
      <color rgb="FF000000"/>
      <name val="Aptos"/>
      <family val="2"/>
    </font>
    <font>
      <sz val="9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AEEF3"/>
      </patternFill>
    </fill>
    <fill>
      <patternFill patternType="solid">
        <fgColor rgb="FFE6B8B7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 applyBorder="0"/>
    <xf numFmtId="9" fontId="1" fillId="0" borderId="0" applyFont="0" applyFill="0" applyBorder="0" applyAlignment="0" applyProtection="0"/>
  </cellStyleXfs>
  <cellXfs count="26">
    <xf numFmtId="0" fontId="0" fillId="0" borderId="0" xfId="0"/>
    <xf numFmtId="0" fontId="2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0" fillId="0" borderId="4" xfId="0" applyBorder="1"/>
    <xf numFmtId="0" fontId="0" fillId="0" borderId="0" xfId="0" applyBorder="1"/>
    <xf numFmtId="0" fontId="0" fillId="0" borderId="5" xfId="0" applyBorder="1" applyAlignment="1">
      <alignment horizontal="right"/>
    </xf>
    <xf numFmtId="0" fontId="0" fillId="0" borderId="0" xfId="0" applyBorder="1" applyAlignment="1">
      <alignment horizontal="center"/>
    </xf>
    <xf numFmtId="9" fontId="0" fillId="0" borderId="5" xfId="1" applyFont="1" applyBorder="1" applyAlignment="1">
      <alignment horizontal="right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6" fillId="0" borderId="4" xfId="0" applyFont="1" applyBorder="1"/>
    <xf numFmtId="0" fontId="3" fillId="0" borderId="6" xfId="0" applyFont="1" applyBorder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0" fontId="3" fillId="0" borderId="8" xfId="0" applyFont="1" applyBorder="1" applyAlignment="1">
      <alignment horizontal="center" wrapText="1"/>
    </xf>
    <xf numFmtId="0" fontId="0" fillId="0" borderId="4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 vertical="top" wrapText="1"/>
    </xf>
    <xf numFmtId="0" fontId="0" fillId="0" borderId="0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F01BA-F986-4A29-8309-C3970F79890F}">
  <dimension ref="A1:P53"/>
  <sheetViews>
    <sheetView topLeftCell="A6" zoomScaleNormal="100" workbookViewId="0">
      <selection activeCell="C42" sqref="C42"/>
    </sheetView>
  </sheetViews>
  <sheetFormatPr baseColWidth="10" defaultRowHeight="14.4" x14ac:dyDescent="0.3"/>
  <cols>
    <col min="1" max="1" width="24" customWidth="1"/>
    <col min="2" max="2" width="19" bestFit="1" customWidth="1"/>
    <col min="3" max="3" width="9.44140625" customWidth="1"/>
  </cols>
  <sheetData>
    <row r="1" spans="1:6" ht="15.6" x14ac:dyDescent="0.3">
      <c r="A1" s="20" t="s">
        <v>214</v>
      </c>
      <c r="B1" s="21"/>
      <c r="C1" s="22"/>
      <c r="F1" s="5"/>
    </row>
    <row r="2" spans="1:6" ht="15.6" x14ac:dyDescent="0.3">
      <c r="A2" s="17" t="s">
        <v>237</v>
      </c>
      <c r="B2" s="18"/>
      <c r="C2" s="19"/>
      <c r="F2" s="5" t="s">
        <v>315</v>
      </c>
    </row>
    <row r="3" spans="1:6" x14ac:dyDescent="0.3">
      <c r="A3" s="6"/>
      <c r="B3" s="7" t="s">
        <v>9</v>
      </c>
      <c r="C3" s="8" t="s">
        <v>58</v>
      </c>
      <c r="F3" s="3"/>
    </row>
    <row r="4" spans="1:6" ht="15.6" x14ac:dyDescent="0.3">
      <c r="A4" s="6" t="s">
        <v>1</v>
      </c>
      <c r="B4" s="9" t="s">
        <v>16</v>
      </c>
      <c r="C4" s="10">
        <f>263/2000</f>
        <v>0.13150000000000001</v>
      </c>
      <c r="D4" s="11" t="s">
        <v>298</v>
      </c>
      <c r="E4" s="11" t="s">
        <v>299</v>
      </c>
      <c r="F4" s="5" t="s">
        <v>238</v>
      </c>
    </row>
    <row r="5" spans="1:6" ht="15.6" x14ac:dyDescent="0.3">
      <c r="A5" s="6" t="s">
        <v>2</v>
      </c>
      <c r="B5" s="9" t="s">
        <v>10</v>
      </c>
      <c r="C5" s="10">
        <f>20/300</f>
        <v>6.6666666666666666E-2</v>
      </c>
      <c r="D5" s="11" t="s">
        <v>300</v>
      </c>
      <c r="F5" s="5" t="s">
        <v>316</v>
      </c>
    </row>
    <row r="6" spans="1:6" x14ac:dyDescent="0.3">
      <c r="A6" s="6" t="s">
        <v>3</v>
      </c>
      <c r="B6" s="9" t="s">
        <v>11</v>
      </c>
      <c r="C6" s="10">
        <f>12/75</f>
        <v>0.16</v>
      </c>
      <c r="D6" s="11" t="s">
        <v>301</v>
      </c>
    </row>
    <row r="7" spans="1:6" x14ac:dyDescent="0.3">
      <c r="A7" s="6" t="s">
        <v>4</v>
      </c>
      <c r="B7" s="9" t="s">
        <v>312</v>
      </c>
      <c r="C7" s="10">
        <f>15/55</f>
        <v>0.27272727272727271</v>
      </c>
      <c r="D7" s="11" t="s">
        <v>302</v>
      </c>
    </row>
    <row r="8" spans="1:6" x14ac:dyDescent="0.3">
      <c r="A8" s="13" t="s">
        <v>308</v>
      </c>
      <c r="B8" s="9" t="s">
        <v>57</v>
      </c>
      <c r="C8" s="10">
        <f>5/22</f>
        <v>0.22727272727272727</v>
      </c>
      <c r="D8" t="s">
        <v>305</v>
      </c>
    </row>
    <row r="9" spans="1:6" x14ac:dyDescent="0.3">
      <c r="A9" s="13" t="s">
        <v>309</v>
      </c>
      <c r="B9" s="9" t="s">
        <v>57</v>
      </c>
      <c r="C9" s="10" t="s">
        <v>0</v>
      </c>
      <c r="D9" s="11"/>
    </row>
    <row r="10" spans="1:6" x14ac:dyDescent="0.3">
      <c r="A10" s="13" t="s">
        <v>310</v>
      </c>
      <c r="B10" s="9" t="s">
        <v>57</v>
      </c>
      <c r="C10" s="10" t="s">
        <v>0</v>
      </c>
      <c r="D10" s="11"/>
    </row>
    <row r="11" spans="1:6" x14ac:dyDescent="0.3">
      <c r="A11" s="13" t="s">
        <v>311</v>
      </c>
      <c r="B11" s="9" t="s">
        <v>14</v>
      </c>
      <c r="C11" s="10" t="s">
        <v>0</v>
      </c>
      <c r="D11" t="s">
        <v>306</v>
      </c>
    </row>
    <row r="12" spans="1:6" x14ac:dyDescent="0.3">
      <c r="A12" s="13" t="s">
        <v>313</v>
      </c>
      <c r="B12" s="9" t="s">
        <v>314</v>
      </c>
      <c r="C12" s="10" t="s">
        <v>0</v>
      </c>
    </row>
    <row r="13" spans="1:6" x14ac:dyDescent="0.3">
      <c r="A13" s="6" t="s">
        <v>7</v>
      </c>
      <c r="B13" s="9" t="s">
        <v>13</v>
      </c>
      <c r="C13" s="10">
        <f>3/25</f>
        <v>0.12</v>
      </c>
      <c r="D13" s="12" t="s">
        <v>303</v>
      </c>
    </row>
    <row r="14" spans="1:6" x14ac:dyDescent="0.3">
      <c r="A14" s="6" t="s">
        <v>8</v>
      </c>
      <c r="B14" s="9" t="s">
        <v>12</v>
      </c>
      <c r="C14" s="10">
        <f>120/2400</f>
        <v>0.05</v>
      </c>
      <c r="D14" t="s">
        <v>304</v>
      </c>
    </row>
    <row r="15" spans="1:6" ht="30" hidden="1" customHeight="1" x14ac:dyDescent="0.3">
      <c r="A15" s="23" t="s">
        <v>239</v>
      </c>
      <c r="B15" s="24"/>
      <c r="C15" s="25"/>
    </row>
    <row r="16" spans="1:6" ht="42" customHeight="1" x14ac:dyDescent="0.3">
      <c r="A16" s="14" t="s">
        <v>15</v>
      </c>
      <c r="B16" s="15"/>
      <c r="C16" s="16"/>
    </row>
    <row r="17" spans="1:16" x14ac:dyDescent="0.3">
      <c r="A17" s="2"/>
      <c r="B17" s="2"/>
      <c r="C17" s="2"/>
    </row>
    <row r="20" spans="1:16" x14ac:dyDescent="0.3">
      <c r="A20" t="s">
        <v>212</v>
      </c>
      <c r="F20" t="s">
        <v>213</v>
      </c>
      <c r="G20" t="s">
        <v>295</v>
      </c>
      <c r="P20" t="s">
        <v>318</v>
      </c>
    </row>
    <row r="21" spans="1:16" x14ac:dyDescent="0.3">
      <c r="A21" t="s">
        <v>294</v>
      </c>
      <c r="F21" s="4" t="s">
        <v>221</v>
      </c>
      <c r="P21" s="4" t="s">
        <v>266</v>
      </c>
    </row>
    <row r="22" spans="1:16" x14ac:dyDescent="0.3">
      <c r="F22" s="4" t="s">
        <v>222</v>
      </c>
      <c r="P22" s="4" t="s">
        <v>267</v>
      </c>
    </row>
    <row r="23" spans="1:16" x14ac:dyDescent="0.3">
      <c r="F23" s="4" t="s">
        <v>223</v>
      </c>
      <c r="P23" s="4" t="s">
        <v>268</v>
      </c>
    </row>
    <row r="24" spans="1:16" x14ac:dyDescent="0.3">
      <c r="E24" s="1"/>
      <c r="F24" s="4" t="s">
        <v>224</v>
      </c>
      <c r="L24" t="s">
        <v>296</v>
      </c>
      <c r="P24" s="3"/>
    </row>
    <row r="25" spans="1:16" x14ac:dyDescent="0.3">
      <c r="A25" t="s">
        <v>297</v>
      </c>
      <c r="F25" s="4" t="s">
        <v>225</v>
      </c>
      <c r="H25" s="1"/>
      <c r="L25" t="s">
        <v>280</v>
      </c>
      <c r="P25" s="4" t="s">
        <v>269</v>
      </c>
    </row>
    <row r="26" spans="1:16" x14ac:dyDescent="0.3">
      <c r="A26" s="4" t="s">
        <v>28</v>
      </c>
      <c r="F26" s="4" t="s">
        <v>226</v>
      </c>
      <c r="L26" t="s">
        <v>2</v>
      </c>
      <c r="P26" s="4" t="s">
        <v>270</v>
      </c>
    </row>
    <row r="27" spans="1:16" x14ac:dyDescent="0.3">
      <c r="A27" s="4" t="s">
        <v>29</v>
      </c>
      <c r="F27" s="4" t="s">
        <v>227</v>
      </c>
      <c r="L27" t="s">
        <v>3</v>
      </c>
      <c r="P27" s="4" t="s">
        <v>271</v>
      </c>
    </row>
    <row r="28" spans="1:16" x14ac:dyDescent="0.3">
      <c r="A28" s="4" t="s">
        <v>30</v>
      </c>
      <c r="F28" s="4" t="s">
        <v>281</v>
      </c>
      <c r="H28" t="s">
        <v>0</v>
      </c>
      <c r="L28" t="s">
        <v>282</v>
      </c>
      <c r="P28" s="4" t="s">
        <v>272</v>
      </c>
    </row>
    <row r="29" spans="1:16" x14ac:dyDescent="0.3">
      <c r="A29" s="4" t="s">
        <v>31</v>
      </c>
      <c r="P29" s="4" t="s">
        <v>273</v>
      </c>
    </row>
    <row r="30" spans="1:16" x14ac:dyDescent="0.3">
      <c r="A30" s="4" t="s">
        <v>32</v>
      </c>
      <c r="P30" s="4" t="s">
        <v>274</v>
      </c>
    </row>
    <row r="31" spans="1:16" x14ac:dyDescent="0.3">
      <c r="A31" s="4" t="s">
        <v>33</v>
      </c>
      <c r="F31" s="4" t="s">
        <v>228</v>
      </c>
      <c r="P31" s="3"/>
    </row>
    <row r="32" spans="1:16" x14ac:dyDescent="0.3">
      <c r="A32" s="4" t="s">
        <v>34</v>
      </c>
      <c r="F32" s="3"/>
      <c r="P32" s="4" t="s">
        <v>275</v>
      </c>
    </row>
    <row r="33" spans="1:16" x14ac:dyDescent="0.3">
      <c r="A33" s="4" t="s">
        <v>35</v>
      </c>
      <c r="F33" s="4" t="s">
        <v>229</v>
      </c>
      <c r="P33" s="4" t="s">
        <v>276</v>
      </c>
    </row>
    <row r="34" spans="1:16" x14ac:dyDescent="0.3">
      <c r="A34" s="4" t="s">
        <v>36</v>
      </c>
      <c r="F34" s="4" t="s">
        <v>230</v>
      </c>
      <c r="P34" s="3"/>
    </row>
    <row r="35" spans="1:16" x14ac:dyDescent="0.3">
      <c r="A35" s="4" t="s">
        <v>37</v>
      </c>
      <c r="F35" s="4" t="s">
        <v>231</v>
      </c>
      <c r="P35" s="4" t="s">
        <v>277</v>
      </c>
    </row>
    <row r="36" spans="1:16" x14ac:dyDescent="0.3">
      <c r="A36" s="4" t="s">
        <v>38</v>
      </c>
      <c r="F36" s="4" t="s">
        <v>232</v>
      </c>
      <c r="P36" s="4" t="s">
        <v>278</v>
      </c>
    </row>
    <row r="37" spans="1:16" x14ac:dyDescent="0.3">
      <c r="A37" s="4" t="s">
        <v>39</v>
      </c>
      <c r="F37" s="4" t="s">
        <v>233</v>
      </c>
      <c r="P37" s="4" t="s">
        <v>279</v>
      </c>
    </row>
    <row r="38" spans="1:16" x14ac:dyDescent="0.3">
      <c r="A38" s="4" t="s">
        <v>40</v>
      </c>
      <c r="F38" s="3"/>
    </row>
    <row r="39" spans="1:16" x14ac:dyDescent="0.3">
      <c r="A39" s="4" t="s">
        <v>41</v>
      </c>
      <c r="F39" s="4" t="s">
        <v>234</v>
      </c>
    </row>
    <row r="40" spans="1:16" x14ac:dyDescent="0.3">
      <c r="A40" s="4" t="s">
        <v>42</v>
      </c>
      <c r="F40" s="3"/>
      <c r="M40" t="s">
        <v>317</v>
      </c>
    </row>
    <row r="41" spans="1:16" x14ac:dyDescent="0.3">
      <c r="A41" s="4" t="s">
        <v>43</v>
      </c>
      <c r="F41" s="4" t="s">
        <v>229</v>
      </c>
      <c r="M41" s="4" t="s">
        <v>283</v>
      </c>
    </row>
    <row r="42" spans="1:16" x14ac:dyDescent="0.3">
      <c r="A42" s="4" t="s">
        <v>44</v>
      </c>
      <c r="F42" s="4" t="s">
        <v>230</v>
      </c>
      <c r="M42" s="4" t="s">
        <v>284</v>
      </c>
    </row>
    <row r="43" spans="1:16" x14ac:dyDescent="0.3">
      <c r="A43" s="4" t="s">
        <v>45</v>
      </c>
      <c r="F43" s="4" t="s">
        <v>235</v>
      </c>
      <c r="M43" s="4" t="s">
        <v>285</v>
      </c>
    </row>
    <row r="44" spans="1:16" x14ac:dyDescent="0.3">
      <c r="A44" s="4" t="s">
        <v>46</v>
      </c>
      <c r="F44" s="4" t="s">
        <v>236</v>
      </c>
      <c r="M44" s="3"/>
    </row>
    <row r="45" spans="1:16" x14ac:dyDescent="0.3">
      <c r="A45" s="4" t="s">
        <v>47</v>
      </c>
      <c r="M45" s="4" t="s">
        <v>286</v>
      </c>
    </row>
    <row r="46" spans="1:16" x14ac:dyDescent="0.3">
      <c r="A46" s="4" t="s">
        <v>48</v>
      </c>
      <c r="M46" s="4" t="s">
        <v>287</v>
      </c>
    </row>
    <row r="47" spans="1:16" x14ac:dyDescent="0.3">
      <c r="A47" s="4" t="s">
        <v>49</v>
      </c>
      <c r="M47" s="4" t="s">
        <v>288</v>
      </c>
    </row>
    <row r="48" spans="1:16" x14ac:dyDescent="0.3">
      <c r="A48" s="4" t="s">
        <v>50</v>
      </c>
      <c r="M48" s="4" t="s">
        <v>289</v>
      </c>
    </row>
    <row r="49" spans="1:13" x14ac:dyDescent="0.3">
      <c r="A49" s="4" t="s">
        <v>51</v>
      </c>
      <c r="M49" s="4" t="s">
        <v>290</v>
      </c>
    </row>
    <row r="50" spans="1:13" x14ac:dyDescent="0.3">
      <c r="A50" s="4" t="s">
        <v>52</v>
      </c>
      <c r="M50" s="3"/>
    </row>
    <row r="51" spans="1:13" x14ac:dyDescent="0.3">
      <c r="A51" s="4" t="s">
        <v>53</v>
      </c>
      <c r="M51" s="4" t="s">
        <v>291</v>
      </c>
    </row>
    <row r="52" spans="1:13" x14ac:dyDescent="0.3">
      <c r="M52" s="4" t="s">
        <v>292</v>
      </c>
    </row>
    <row r="53" spans="1:13" x14ac:dyDescent="0.3">
      <c r="M53" s="4" t="s">
        <v>293</v>
      </c>
    </row>
  </sheetData>
  <mergeCells count="4">
    <mergeCell ref="A16:C16"/>
    <mergeCell ref="A2:C2"/>
    <mergeCell ref="A1:C1"/>
    <mergeCell ref="A15:C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96439-C9A7-4BE6-867E-5312FF718CF2}">
  <dimension ref="A1:B8"/>
  <sheetViews>
    <sheetView workbookViewId="0">
      <selection activeCell="G1" sqref="G1"/>
    </sheetView>
  </sheetViews>
  <sheetFormatPr baseColWidth="10" defaultRowHeight="14.4" x14ac:dyDescent="0.3"/>
  <sheetData>
    <row r="1" spans="1:2" x14ac:dyDescent="0.3">
      <c r="A1" s="6" t="s">
        <v>1</v>
      </c>
      <c r="B1" s="11" t="s">
        <v>298</v>
      </c>
    </row>
    <row r="2" spans="1:2" x14ac:dyDescent="0.3">
      <c r="A2" s="6" t="s">
        <v>2</v>
      </c>
      <c r="B2" s="11" t="s">
        <v>300</v>
      </c>
    </row>
    <row r="3" spans="1:2" x14ac:dyDescent="0.3">
      <c r="A3" s="6" t="s">
        <v>3</v>
      </c>
      <c r="B3" s="11" t="s">
        <v>301</v>
      </c>
    </row>
    <row r="4" spans="1:2" x14ac:dyDescent="0.3">
      <c r="A4" s="6" t="s">
        <v>4</v>
      </c>
      <c r="B4" s="11" t="s">
        <v>302</v>
      </c>
    </row>
    <row r="5" spans="1:2" x14ac:dyDescent="0.3">
      <c r="A5" s="6" t="s">
        <v>5</v>
      </c>
      <c r="B5" t="s">
        <v>305</v>
      </c>
    </row>
    <row r="6" spans="1:2" x14ac:dyDescent="0.3">
      <c r="A6" s="6" t="s">
        <v>6</v>
      </c>
      <c r="B6" t="s">
        <v>306</v>
      </c>
    </row>
    <row r="7" spans="1:2" x14ac:dyDescent="0.3">
      <c r="A7" s="6" t="s">
        <v>7</v>
      </c>
      <c r="B7" s="12" t="s">
        <v>303</v>
      </c>
    </row>
    <row r="8" spans="1:2" x14ac:dyDescent="0.3">
      <c r="A8" s="6" t="s">
        <v>8</v>
      </c>
      <c r="B8" t="s">
        <v>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C2744-CCC5-4014-99AE-3F6F13884AD2}">
  <dimension ref="A1:A39"/>
  <sheetViews>
    <sheetView tabSelected="1" topLeftCell="A7" workbookViewId="0">
      <selection activeCell="I28" sqref="I28"/>
    </sheetView>
  </sheetViews>
  <sheetFormatPr baseColWidth="10" defaultRowHeight="14.4" x14ac:dyDescent="0.3"/>
  <sheetData>
    <row r="1" spans="1:1" x14ac:dyDescent="0.3">
      <c r="A1" s="4" t="s">
        <v>240</v>
      </c>
    </row>
    <row r="2" spans="1:1" x14ac:dyDescent="0.3">
      <c r="A2" s="3"/>
    </row>
    <row r="3" spans="1:1" x14ac:dyDescent="0.3">
      <c r="A3" s="4" t="s">
        <v>241</v>
      </c>
    </row>
    <row r="4" spans="1:1" x14ac:dyDescent="0.3">
      <c r="A4" s="3"/>
    </row>
    <row r="5" spans="1:1" x14ac:dyDescent="0.3">
      <c r="A5" s="4" t="s">
        <v>242</v>
      </c>
    </row>
    <row r="6" spans="1:1" x14ac:dyDescent="0.3">
      <c r="A6" s="4" t="s">
        <v>243</v>
      </c>
    </row>
    <row r="7" spans="1:1" x14ac:dyDescent="0.3">
      <c r="A7" s="3"/>
    </row>
    <row r="8" spans="1:1" x14ac:dyDescent="0.3">
      <c r="A8" s="4" t="s">
        <v>307</v>
      </c>
    </row>
    <row r="9" spans="1:1" x14ac:dyDescent="0.3">
      <c r="A9" s="4" t="s">
        <v>244</v>
      </c>
    </row>
    <row r="10" spans="1:1" x14ac:dyDescent="0.3">
      <c r="A10" s="4" t="s">
        <v>245</v>
      </c>
    </row>
    <row r="11" spans="1:1" x14ac:dyDescent="0.3">
      <c r="A11" s="4" t="s">
        <v>246</v>
      </c>
    </row>
    <row r="12" spans="1:1" x14ac:dyDescent="0.3">
      <c r="A12" s="4" t="s">
        <v>247</v>
      </c>
    </row>
    <row r="13" spans="1:1" x14ac:dyDescent="0.3">
      <c r="A13" s="4" t="s">
        <v>248</v>
      </c>
    </row>
    <row r="14" spans="1:1" x14ac:dyDescent="0.3">
      <c r="A14" s="4" t="s">
        <v>249</v>
      </c>
    </row>
    <row r="15" spans="1:1" x14ac:dyDescent="0.3">
      <c r="A15" s="3"/>
    </row>
    <row r="16" spans="1:1" x14ac:dyDescent="0.3">
      <c r="A16" s="4" t="s">
        <v>250</v>
      </c>
    </row>
    <row r="17" spans="1:1" x14ac:dyDescent="0.3">
      <c r="A17" s="4" t="s">
        <v>251</v>
      </c>
    </row>
    <row r="18" spans="1:1" x14ac:dyDescent="0.3">
      <c r="A18" s="4" t="s">
        <v>252</v>
      </c>
    </row>
    <row r="19" spans="1:1" x14ac:dyDescent="0.3">
      <c r="A19" s="3"/>
    </row>
    <row r="20" spans="1:1" x14ac:dyDescent="0.3">
      <c r="A20" s="4" t="s">
        <v>253</v>
      </c>
    </row>
    <row r="21" spans="1:1" x14ac:dyDescent="0.3">
      <c r="A21" s="3"/>
    </row>
    <row r="22" spans="1:1" x14ac:dyDescent="0.3">
      <c r="A22" s="4" t="s">
        <v>254</v>
      </c>
    </row>
    <row r="23" spans="1:1" x14ac:dyDescent="0.3">
      <c r="A23" s="4" t="s">
        <v>255</v>
      </c>
    </row>
    <row r="24" spans="1:1" x14ac:dyDescent="0.3">
      <c r="A24" s="3"/>
    </row>
    <row r="25" spans="1:1" x14ac:dyDescent="0.3">
      <c r="A25" s="4" t="s">
        <v>256</v>
      </c>
    </row>
    <row r="26" spans="1:1" x14ac:dyDescent="0.3">
      <c r="A26" s="3"/>
    </row>
    <row r="27" spans="1:1" x14ac:dyDescent="0.3">
      <c r="A27" s="4" t="s">
        <v>257</v>
      </c>
    </row>
    <row r="28" spans="1:1" x14ac:dyDescent="0.3">
      <c r="A28" s="3"/>
    </row>
    <row r="29" spans="1:1" x14ac:dyDescent="0.3">
      <c r="A29" s="4" t="s">
        <v>258</v>
      </c>
    </row>
    <row r="30" spans="1:1" x14ac:dyDescent="0.3">
      <c r="A30" s="4" t="s">
        <v>259</v>
      </c>
    </row>
    <row r="31" spans="1:1" x14ac:dyDescent="0.3">
      <c r="A31" s="4" t="s">
        <v>260</v>
      </c>
    </row>
    <row r="32" spans="1:1" x14ac:dyDescent="0.3">
      <c r="A32" s="3"/>
    </row>
    <row r="33" spans="1:1" x14ac:dyDescent="0.3">
      <c r="A33" s="4" t="s">
        <v>261</v>
      </c>
    </row>
    <row r="34" spans="1:1" x14ac:dyDescent="0.3">
      <c r="A34" s="4" t="s">
        <v>262</v>
      </c>
    </row>
    <row r="35" spans="1:1" x14ac:dyDescent="0.3">
      <c r="A35" s="3"/>
    </row>
    <row r="36" spans="1:1" x14ac:dyDescent="0.3">
      <c r="A36" s="4" t="s">
        <v>263</v>
      </c>
    </row>
    <row r="37" spans="1:1" x14ac:dyDescent="0.3">
      <c r="A37" s="3"/>
    </row>
    <row r="38" spans="1:1" x14ac:dyDescent="0.3">
      <c r="A38" s="4" t="s">
        <v>264</v>
      </c>
    </row>
    <row r="39" spans="1:1" x14ac:dyDescent="0.3">
      <c r="A39" s="4" t="s">
        <v>265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76179-2A7E-4392-A16E-AF884D1F8A87}">
  <dimension ref="A1:A63"/>
  <sheetViews>
    <sheetView topLeftCell="A25" workbookViewId="0">
      <selection activeCell="A51" sqref="A51:A57"/>
    </sheetView>
  </sheetViews>
  <sheetFormatPr baseColWidth="10" defaultRowHeight="14.4" x14ac:dyDescent="0.3"/>
  <sheetData>
    <row r="1" spans="1:1" x14ac:dyDescent="0.3">
      <c r="A1" s="4" t="s">
        <v>167</v>
      </c>
    </row>
    <row r="2" spans="1:1" x14ac:dyDescent="0.3">
      <c r="A2" s="3"/>
    </row>
    <row r="3" spans="1:1" x14ac:dyDescent="0.3">
      <c r="A3" s="4" t="s">
        <v>168</v>
      </c>
    </row>
    <row r="4" spans="1:1" x14ac:dyDescent="0.3">
      <c r="A4" s="3"/>
    </row>
    <row r="5" spans="1:1" x14ac:dyDescent="0.3">
      <c r="A5" s="4" t="s">
        <v>169</v>
      </c>
    </row>
    <row r="6" spans="1:1" x14ac:dyDescent="0.3">
      <c r="A6" s="3"/>
    </row>
    <row r="7" spans="1:1" x14ac:dyDescent="0.3">
      <c r="A7" s="4" t="s">
        <v>170</v>
      </c>
    </row>
    <row r="8" spans="1:1" x14ac:dyDescent="0.3">
      <c r="A8" s="4" t="s">
        <v>171</v>
      </c>
    </row>
    <row r="9" spans="1:1" x14ac:dyDescent="0.3">
      <c r="A9" s="4" t="s">
        <v>172</v>
      </c>
    </row>
    <row r="10" spans="1:1" x14ac:dyDescent="0.3">
      <c r="A10" s="4" t="s">
        <v>173</v>
      </c>
    </row>
    <row r="11" spans="1:1" x14ac:dyDescent="0.3">
      <c r="A11" s="4" t="s">
        <v>174</v>
      </c>
    </row>
    <row r="12" spans="1:1" x14ac:dyDescent="0.3">
      <c r="A12" s="4" t="s">
        <v>175</v>
      </c>
    </row>
    <row r="13" spans="1:1" x14ac:dyDescent="0.3">
      <c r="A13" s="4" t="s">
        <v>176</v>
      </c>
    </row>
    <row r="14" spans="1:1" x14ac:dyDescent="0.3">
      <c r="A14" s="4" t="s">
        <v>177</v>
      </c>
    </row>
    <row r="15" spans="1:1" x14ac:dyDescent="0.3">
      <c r="A15" s="4" t="s">
        <v>178</v>
      </c>
    </row>
    <row r="16" spans="1:1" x14ac:dyDescent="0.3">
      <c r="A16" s="4" t="s">
        <v>179</v>
      </c>
    </row>
    <row r="17" spans="1:1" x14ac:dyDescent="0.3">
      <c r="A17" s="4" t="s">
        <v>180</v>
      </c>
    </row>
    <row r="18" spans="1:1" x14ac:dyDescent="0.3">
      <c r="A18" s="4" t="s">
        <v>181</v>
      </c>
    </row>
    <row r="19" spans="1:1" x14ac:dyDescent="0.3">
      <c r="A19" s="4" t="s">
        <v>182</v>
      </c>
    </row>
    <row r="20" spans="1:1" x14ac:dyDescent="0.3">
      <c r="A20" s="4" t="s">
        <v>183</v>
      </c>
    </row>
    <row r="21" spans="1:1" x14ac:dyDescent="0.3">
      <c r="A21" s="3"/>
    </row>
    <row r="22" spans="1:1" x14ac:dyDescent="0.3">
      <c r="A22" s="4" t="s">
        <v>184</v>
      </c>
    </row>
    <row r="23" spans="1:1" x14ac:dyDescent="0.3">
      <c r="A23" s="4" t="s">
        <v>185</v>
      </c>
    </row>
    <row r="24" spans="1:1" x14ac:dyDescent="0.3">
      <c r="A24" s="4" t="s">
        <v>186</v>
      </c>
    </row>
    <row r="25" spans="1:1" x14ac:dyDescent="0.3">
      <c r="A25" s="3"/>
    </row>
    <row r="26" spans="1:1" x14ac:dyDescent="0.3">
      <c r="A26" s="4" t="s">
        <v>187</v>
      </c>
    </row>
    <row r="27" spans="1:1" x14ac:dyDescent="0.3">
      <c r="A27" s="3"/>
    </row>
    <row r="28" spans="1:1" x14ac:dyDescent="0.3">
      <c r="A28" s="4" t="s">
        <v>188</v>
      </c>
    </row>
    <row r="29" spans="1:1" x14ac:dyDescent="0.3">
      <c r="A29" s="4" t="s">
        <v>189</v>
      </c>
    </row>
    <row r="30" spans="1:1" x14ac:dyDescent="0.3">
      <c r="A30" s="4" t="s">
        <v>190</v>
      </c>
    </row>
    <row r="31" spans="1:1" x14ac:dyDescent="0.3">
      <c r="A31" s="4" t="s">
        <v>191</v>
      </c>
    </row>
    <row r="32" spans="1:1" x14ac:dyDescent="0.3">
      <c r="A32" s="4" t="s">
        <v>192</v>
      </c>
    </row>
    <row r="33" spans="1:1" x14ac:dyDescent="0.3">
      <c r="A33" s="4" t="s">
        <v>193</v>
      </c>
    </row>
    <row r="34" spans="1:1" x14ac:dyDescent="0.3">
      <c r="A34" s="4" t="s">
        <v>194</v>
      </c>
    </row>
    <row r="35" spans="1:1" x14ac:dyDescent="0.3">
      <c r="A35" s="4" t="s">
        <v>195</v>
      </c>
    </row>
    <row r="36" spans="1:1" x14ac:dyDescent="0.3">
      <c r="A36" s="4" t="s">
        <v>196</v>
      </c>
    </row>
    <row r="37" spans="1:1" x14ac:dyDescent="0.3">
      <c r="A37" s="4" t="s">
        <v>197</v>
      </c>
    </row>
    <row r="38" spans="1:1" x14ac:dyDescent="0.3">
      <c r="A38" s="3"/>
    </row>
    <row r="39" spans="1:1" x14ac:dyDescent="0.3">
      <c r="A39" s="4" t="s">
        <v>198</v>
      </c>
    </row>
    <row r="40" spans="1:1" x14ac:dyDescent="0.3">
      <c r="A40" s="4" t="s">
        <v>185</v>
      </c>
    </row>
    <row r="41" spans="1:1" x14ac:dyDescent="0.3">
      <c r="A41" s="4" t="s">
        <v>186</v>
      </c>
    </row>
    <row r="42" spans="1:1" x14ac:dyDescent="0.3">
      <c r="A42" s="3"/>
    </row>
    <row r="43" spans="1:1" x14ac:dyDescent="0.3">
      <c r="A43" s="4" t="s">
        <v>199</v>
      </c>
    </row>
    <row r="44" spans="1:1" x14ac:dyDescent="0.3">
      <c r="A44" s="3"/>
    </row>
    <row r="45" spans="1:1" x14ac:dyDescent="0.3">
      <c r="A45" s="4" t="s">
        <v>200</v>
      </c>
    </row>
    <row r="46" spans="1:1" x14ac:dyDescent="0.3">
      <c r="A46" s="4" t="s">
        <v>201</v>
      </c>
    </row>
    <row r="47" spans="1:1" x14ac:dyDescent="0.3">
      <c r="A47" s="4" t="s">
        <v>202</v>
      </c>
    </row>
    <row r="48" spans="1:1" x14ac:dyDescent="0.3">
      <c r="A48" s="4" t="s">
        <v>203</v>
      </c>
    </row>
    <row r="49" spans="1:1" x14ac:dyDescent="0.3">
      <c r="A49" s="4" t="s">
        <v>204</v>
      </c>
    </row>
    <row r="50" spans="1:1" x14ac:dyDescent="0.3">
      <c r="A50" s="3"/>
    </row>
    <row r="51" spans="1:1" x14ac:dyDescent="0.3">
      <c r="A51" s="4" t="s">
        <v>205</v>
      </c>
    </row>
    <row r="52" spans="1:1" x14ac:dyDescent="0.3">
      <c r="A52" s="4" t="s">
        <v>206</v>
      </c>
    </row>
    <row r="53" spans="1:1" x14ac:dyDescent="0.3">
      <c r="A53" s="4" t="s">
        <v>197</v>
      </c>
    </row>
    <row r="54" spans="1:1" x14ac:dyDescent="0.3">
      <c r="A54" s="3"/>
    </row>
    <row r="55" spans="1:1" x14ac:dyDescent="0.3">
      <c r="A55" s="4" t="s">
        <v>184</v>
      </c>
    </row>
    <row r="56" spans="1:1" x14ac:dyDescent="0.3">
      <c r="A56" s="4" t="s">
        <v>185</v>
      </c>
    </row>
    <row r="57" spans="1:1" x14ac:dyDescent="0.3">
      <c r="A57" s="4" t="s">
        <v>207</v>
      </c>
    </row>
    <row r="58" spans="1:1" x14ac:dyDescent="0.3">
      <c r="A58" s="3"/>
    </row>
    <row r="59" spans="1:1" x14ac:dyDescent="0.3">
      <c r="A59" s="4" t="s">
        <v>208</v>
      </c>
    </row>
    <row r="60" spans="1:1" x14ac:dyDescent="0.3">
      <c r="A60" s="3"/>
    </row>
    <row r="61" spans="1:1" x14ac:dyDescent="0.3">
      <c r="A61" s="4" t="s">
        <v>209</v>
      </c>
    </row>
    <row r="62" spans="1:1" x14ac:dyDescent="0.3">
      <c r="A62" s="4" t="s">
        <v>210</v>
      </c>
    </row>
    <row r="63" spans="1:1" x14ac:dyDescent="0.3">
      <c r="A63" s="4" t="s">
        <v>211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81A31-DED3-4809-8496-A32352CD78A9}">
  <dimension ref="A1:A140"/>
  <sheetViews>
    <sheetView workbookViewId="0">
      <selection activeCell="A19" sqref="A19:A22"/>
    </sheetView>
  </sheetViews>
  <sheetFormatPr baseColWidth="10" defaultRowHeight="14.4" x14ac:dyDescent="0.3"/>
  <sheetData>
    <row r="1" spans="1:1" x14ac:dyDescent="0.3">
      <c r="A1" s="4" t="s">
        <v>59</v>
      </c>
    </row>
    <row r="2" spans="1:1" x14ac:dyDescent="0.3">
      <c r="A2" s="4" t="s">
        <v>60</v>
      </c>
    </row>
    <row r="3" spans="1:1" x14ac:dyDescent="0.3">
      <c r="A3" s="4" t="s">
        <v>61</v>
      </c>
    </row>
    <row r="4" spans="1:1" x14ac:dyDescent="0.3">
      <c r="A4" s="4" t="s">
        <v>62</v>
      </c>
    </row>
    <row r="5" spans="1:1" x14ac:dyDescent="0.3">
      <c r="A5" s="4" t="s">
        <v>63</v>
      </c>
    </row>
    <row r="6" spans="1:1" x14ac:dyDescent="0.3">
      <c r="A6" s="3"/>
    </row>
    <row r="7" spans="1:1" x14ac:dyDescent="0.3">
      <c r="A7" s="4" t="s">
        <v>64</v>
      </c>
    </row>
    <row r="8" spans="1:1" x14ac:dyDescent="0.3">
      <c r="A8" s="4" t="s">
        <v>65</v>
      </c>
    </row>
    <row r="9" spans="1:1" x14ac:dyDescent="0.3">
      <c r="A9" s="4" t="s">
        <v>66</v>
      </c>
    </row>
    <row r="10" spans="1:1" x14ac:dyDescent="0.3">
      <c r="A10" s="4" t="s">
        <v>67</v>
      </c>
    </row>
    <row r="11" spans="1:1" x14ac:dyDescent="0.3">
      <c r="A11" s="4" t="s">
        <v>68</v>
      </c>
    </row>
    <row r="12" spans="1:1" x14ac:dyDescent="0.3">
      <c r="A12" s="4" t="s">
        <v>69</v>
      </c>
    </row>
    <row r="13" spans="1:1" x14ac:dyDescent="0.3">
      <c r="A13" s="4" t="s">
        <v>70</v>
      </c>
    </row>
    <row r="14" spans="1:1" x14ac:dyDescent="0.3">
      <c r="A14" s="4" t="s">
        <v>71</v>
      </c>
    </row>
    <row r="15" spans="1:1" x14ac:dyDescent="0.3">
      <c r="A15" s="4" t="s">
        <v>72</v>
      </c>
    </row>
    <row r="16" spans="1:1" x14ac:dyDescent="0.3">
      <c r="A16" s="4" t="s">
        <v>73</v>
      </c>
    </row>
    <row r="17" spans="1:1" x14ac:dyDescent="0.3">
      <c r="A17" s="4" t="s">
        <v>74</v>
      </c>
    </row>
    <row r="18" spans="1:1" x14ac:dyDescent="0.3">
      <c r="A18" s="3"/>
    </row>
    <row r="19" spans="1:1" x14ac:dyDescent="0.3">
      <c r="A19" s="4" t="s">
        <v>75</v>
      </c>
    </row>
    <row r="20" spans="1:1" x14ac:dyDescent="0.3">
      <c r="A20" s="4" t="s">
        <v>76</v>
      </c>
    </row>
    <row r="21" spans="1:1" x14ac:dyDescent="0.3">
      <c r="A21" s="4" t="s">
        <v>77</v>
      </c>
    </row>
    <row r="22" spans="1:1" x14ac:dyDescent="0.3">
      <c r="A22" s="4" t="s">
        <v>78</v>
      </c>
    </row>
    <row r="23" spans="1:1" x14ac:dyDescent="0.3">
      <c r="A23" s="3"/>
    </row>
    <row r="24" spans="1:1" x14ac:dyDescent="0.3">
      <c r="A24" s="4" t="s">
        <v>79</v>
      </c>
    </row>
    <row r="25" spans="1:1" x14ac:dyDescent="0.3">
      <c r="A25" s="4" t="s">
        <v>80</v>
      </c>
    </row>
    <row r="26" spans="1:1" x14ac:dyDescent="0.3">
      <c r="A26" s="4" t="s">
        <v>81</v>
      </c>
    </row>
    <row r="27" spans="1:1" x14ac:dyDescent="0.3">
      <c r="A27" s="4" t="s">
        <v>82</v>
      </c>
    </row>
    <row r="28" spans="1:1" x14ac:dyDescent="0.3">
      <c r="A28" s="4" t="s">
        <v>83</v>
      </c>
    </row>
    <row r="29" spans="1:1" x14ac:dyDescent="0.3">
      <c r="A29" s="4" t="s">
        <v>84</v>
      </c>
    </row>
    <row r="30" spans="1:1" x14ac:dyDescent="0.3">
      <c r="A30" s="4" t="s">
        <v>85</v>
      </c>
    </row>
    <row r="31" spans="1:1" x14ac:dyDescent="0.3">
      <c r="A31" s="3"/>
    </row>
    <row r="32" spans="1:1" x14ac:dyDescent="0.3">
      <c r="A32" s="4" t="s">
        <v>86</v>
      </c>
    </row>
    <row r="33" spans="1:1" x14ac:dyDescent="0.3">
      <c r="A33" s="3"/>
    </row>
    <row r="34" spans="1:1" x14ac:dyDescent="0.3">
      <c r="A34" s="4" t="s">
        <v>87</v>
      </c>
    </row>
    <row r="35" spans="1:1" x14ac:dyDescent="0.3">
      <c r="A35" s="4" t="s">
        <v>88</v>
      </c>
    </row>
    <row r="36" spans="1:1" x14ac:dyDescent="0.3">
      <c r="A36" s="4" t="s">
        <v>89</v>
      </c>
    </row>
    <row r="37" spans="1:1" x14ac:dyDescent="0.3">
      <c r="A37" s="4" t="s">
        <v>90</v>
      </c>
    </row>
    <row r="38" spans="1:1" x14ac:dyDescent="0.3">
      <c r="A38" s="4" t="s">
        <v>91</v>
      </c>
    </row>
    <row r="39" spans="1:1" x14ac:dyDescent="0.3">
      <c r="A39" s="4" t="s">
        <v>92</v>
      </c>
    </row>
    <row r="40" spans="1:1" x14ac:dyDescent="0.3">
      <c r="A40" s="4" t="s">
        <v>93</v>
      </c>
    </row>
    <row r="41" spans="1:1" x14ac:dyDescent="0.3">
      <c r="A41" s="3"/>
    </row>
    <row r="42" spans="1:1" x14ac:dyDescent="0.3">
      <c r="A42" s="4" t="s">
        <v>94</v>
      </c>
    </row>
    <row r="43" spans="1:1" x14ac:dyDescent="0.3">
      <c r="A43" s="4" t="s">
        <v>95</v>
      </c>
    </row>
    <row r="44" spans="1:1" x14ac:dyDescent="0.3">
      <c r="A44" s="4" t="s">
        <v>96</v>
      </c>
    </row>
    <row r="45" spans="1:1" x14ac:dyDescent="0.3">
      <c r="A45" s="4" t="s">
        <v>97</v>
      </c>
    </row>
    <row r="46" spans="1:1" x14ac:dyDescent="0.3">
      <c r="A46" s="4" t="s">
        <v>98</v>
      </c>
    </row>
    <row r="47" spans="1:1" x14ac:dyDescent="0.3">
      <c r="A47" s="4" t="s">
        <v>99</v>
      </c>
    </row>
    <row r="48" spans="1:1" x14ac:dyDescent="0.3">
      <c r="A48" s="4" t="s">
        <v>100</v>
      </c>
    </row>
    <row r="49" spans="1:1" x14ac:dyDescent="0.3">
      <c r="A49" s="4" t="s">
        <v>101</v>
      </c>
    </row>
    <row r="50" spans="1:1" x14ac:dyDescent="0.3">
      <c r="A50" s="3"/>
    </row>
    <row r="51" spans="1:1" x14ac:dyDescent="0.3">
      <c r="A51" s="4" t="s">
        <v>102</v>
      </c>
    </row>
    <row r="52" spans="1:1" x14ac:dyDescent="0.3">
      <c r="A52" s="4" t="s">
        <v>103</v>
      </c>
    </row>
    <row r="53" spans="1:1" x14ac:dyDescent="0.3">
      <c r="A53" s="4" t="s">
        <v>104</v>
      </c>
    </row>
    <row r="54" spans="1:1" x14ac:dyDescent="0.3">
      <c r="A54" s="4" t="s">
        <v>105</v>
      </c>
    </row>
    <row r="55" spans="1:1" x14ac:dyDescent="0.3">
      <c r="A55" s="4" t="s">
        <v>106</v>
      </c>
    </row>
    <row r="56" spans="1:1" x14ac:dyDescent="0.3">
      <c r="A56" s="4" t="s">
        <v>107</v>
      </c>
    </row>
    <row r="57" spans="1:1" x14ac:dyDescent="0.3">
      <c r="A57" s="3"/>
    </row>
    <row r="58" spans="1:1" x14ac:dyDescent="0.3">
      <c r="A58" s="4" t="s">
        <v>108</v>
      </c>
    </row>
    <row r="59" spans="1:1" x14ac:dyDescent="0.3">
      <c r="A59" s="4" t="s">
        <v>109</v>
      </c>
    </row>
    <row r="60" spans="1:1" x14ac:dyDescent="0.3">
      <c r="A60" s="4" t="s">
        <v>110</v>
      </c>
    </row>
    <row r="61" spans="1:1" x14ac:dyDescent="0.3">
      <c r="A61" s="4" t="s">
        <v>111</v>
      </c>
    </row>
    <row r="62" spans="1:1" x14ac:dyDescent="0.3">
      <c r="A62" s="3"/>
    </row>
    <row r="63" spans="1:1" x14ac:dyDescent="0.3">
      <c r="A63" s="4" t="s">
        <v>112</v>
      </c>
    </row>
    <row r="64" spans="1:1" x14ac:dyDescent="0.3">
      <c r="A64" s="3"/>
    </row>
    <row r="65" spans="1:1" x14ac:dyDescent="0.3">
      <c r="A65" s="4" t="s">
        <v>113</v>
      </c>
    </row>
    <row r="66" spans="1:1" x14ac:dyDescent="0.3">
      <c r="A66" s="3"/>
    </row>
    <row r="67" spans="1:1" x14ac:dyDescent="0.3">
      <c r="A67" s="4" t="s">
        <v>114</v>
      </c>
    </row>
    <row r="68" spans="1:1" x14ac:dyDescent="0.3">
      <c r="A68" s="3"/>
    </row>
    <row r="69" spans="1:1" x14ac:dyDescent="0.3">
      <c r="A69" s="4" t="s">
        <v>115</v>
      </c>
    </row>
    <row r="70" spans="1:1" x14ac:dyDescent="0.3">
      <c r="A70" s="3"/>
    </row>
    <row r="71" spans="1:1" x14ac:dyDescent="0.3">
      <c r="A71" s="4" t="s">
        <v>116</v>
      </c>
    </row>
    <row r="72" spans="1:1" x14ac:dyDescent="0.3">
      <c r="A72" s="4" t="s">
        <v>117</v>
      </c>
    </row>
    <row r="73" spans="1:1" x14ac:dyDescent="0.3">
      <c r="A73" s="3"/>
    </row>
    <row r="74" spans="1:1" x14ac:dyDescent="0.3">
      <c r="A74" s="4" t="s">
        <v>118</v>
      </c>
    </row>
    <row r="75" spans="1:1" x14ac:dyDescent="0.3">
      <c r="A75" s="4" t="s">
        <v>119</v>
      </c>
    </row>
    <row r="76" spans="1:1" x14ac:dyDescent="0.3">
      <c r="A76" s="3"/>
    </row>
    <row r="77" spans="1:1" x14ac:dyDescent="0.3">
      <c r="A77" s="4" t="s">
        <v>120</v>
      </c>
    </row>
    <row r="78" spans="1:1" x14ac:dyDescent="0.3">
      <c r="A78" s="4" t="s">
        <v>121</v>
      </c>
    </row>
    <row r="79" spans="1:1" x14ac:dyDescent="0.3">
      <c r="A79" s="4" t="s">
        <v>122</v>
      </c>
    </row>
    <row r="80" spans="1:1" x14ac:dyDescent="0.3">
      <c r="A80" s="4" t="s">
        <v>123</v>
      </c>
    </row>
    <row r="81" spans="1:1" x14ac:dyDescent="0.3">
      <c r="A81" s="3"/>
    </row>
    <row r="82" spans="1:1" x14ac:dyDescent="0.3">
      <c r="A82" s="4" t="s">
        <v>124</v>
      </c>
    </row>
    <row r="83" spans="1:1" x14ac:dyDescent="0.3">
      <c r="A83" s="3"/>
    </row>
    <row r="84" spans="1:1" x14ac:dyDescent="0.3">
      <c r="A84" s="4" t="s">
        <v>125</v>
      </c>
    </row>
    <row r="85" spans="1:1" x14ac:dyDescent="0.3">
      <c r="A85" s="3"/>
    </row>
    <row r="86" spans="1:1" x14ac:dyDescent="0.3">
      <c r="A86" s="4" t="s">
        <v>126</v>
      </c>
    </row>
    <row r="87" spans="1:1" x14ac:dyDescent="0.3">
      <c r="A87" s="3"/>
    </row>
    <row r="88" spans="1:1" x14ac:dyDescent="0.3">
      <c r="A88" s="4" t="s">
        <v>127</v>
      </c>
    </row>
    <row r="89" spans="1:1" x14ac:dyDescent="0.3">
      <c r="A89" s="3"/>
    </row>
    <row r="90" spans="1:1" x14ac:dyDescent="0.3">
      <c r="A90" s="4" t="s">
        <v>128</v>
      </c>
    </row>
    <row r="91" spans="1:1" x14ac:dyDescent="0.3">
      <c r="A91" s="3"/>
    </row>
    <row r="92" spans="1:1" x14ac:dyDescent="0.3">
      <c r="A92" s="4" t="s">
        <v>129</v>
      </c>
    </row>
    <row r="93" spans="1:1" x14ac:dyDescent="0.3">
      <c r="A93" s="3"/>
    </row>
    <row r="94" spans="1:1" x14ac:dyDescent="0.3">
      <c r="A94" s="4" t="s">
        <v>130</v>
      </c>
    </row>
    <row r="95" spans="1:1" x14ac:dyDescent="0.3">
      <c r="A95" s="3"/>
    </row>
    <row r="96" spans="1:1" x14ac:dyDescent="0.3">
      <c r="A96" s="4" t="s">
        <v>131</v>
      </c>
    </row>
    <row r="97" spans="1:1" x14ac:dyDescent="0.3">
      <c r="A97" s="4" t="s">
        <v>132</v>
      </c>
    </row>
    <row r="98" spans="1:1" x14ac:dyDescent="0.3">
      <c r="A98" s="3"/>
    </row>
    <row r="99" spans="1:1" x14ac:dyDescent="0.3">
      <c r="A99" s="4" t="s">
        <v>133</v>
      </c>
    </row>
    <row r="100" spans="1:1" x14ac:dyDescent="0.3">
      <c r="A100" s="4" t="s">
        <v>134</v>
      </c>
    </row>
    <row r="101" spans="1:1" x14ac:dyDescent="0.3">
      <c r="A101" s="4" t="s">
        <v>135</v>
      </c>
    </row>
    <row r="102" spans="1:1" x14ac:dyDescent="0.3">
      <c r="A102" s="4" t="s">
        <v>136</v>
      </c>
    </row>
    <row r="103" spans="1:1" x14ac:dyDescent="0.3">
      <c r="A103" s="3"/>
    </row>
    <row r="104" spans="1:1" x14ac:dyDescent="0.3">
      <c r="A104" s="4" t="s">
        <v>137</v>
      </c>
    </row>
    <row r="105" spans="1:1" x14ac:dyDescent="0.3">
      <c r="A105" s="4" t="s">
        <v>138</v>
      </c>
    </row>
    <row r="106" spans="1:1" x14ac:dyDescent="0.3">
      <c r="A106" s="3"/>
    </row>
    <row r="107" spans="1:1" x14ac:dyDescent="0.3">
      <c r="A107" s="4" t="s">
        <v>139</v>
      </c>
    </row>
    <row r="108" spans="1:1" x14ac:dyDescent="0.3">
      <c r="A108" s="4" t="s">
        <v>140</v>
      </c>
    </row>
    <row r="109" spans="1:1" x14ac:dyDescent="0.3">
      <c r="A109" s="4" t="s">
        <v>141</v>
      </c>
    </row>
    <row r="110" spans="1:1" x14ac:dyDescent="0.3">
      <c r="A110" s="3"/>
    </row>
    <row r="111" spans="1:1" x14ac:dyDescent="0.3">
      <c r="A111" s="4" t="s">
        <v>142</v>
      </c>
    </row>
    <row r="112" spans="1:1" x14ac:dyDescent="0.3">
      <c r="A112" s="3"/>
    </row>
    <row r="113" spans="1:1" x14ac:dyDescent="0.3">
      <c r="A113" s="4" t="s">
        <v>143</v>
      </c>
    </row>
    <row r="114" spans="1:1" x14ac:dyDescent="0.3">
      <c r="A114" s="4" t="s">
        <v>144</v>
      </c>
    </row>
    <row r="115" spans="1:1" x14ac:dyDescent="0.3">
      <c r="A115" s="4" t="s">
        <v>145</v>
      </c>
    </row>
    <row r="116" spans="1:1" x14ac:dyDescent="0.3">
      <c r="A116" s="3"/>
    </row>
    <row r="117" spans="1:1" x14ac:dyDescent="0.3">
      <c r="A117" s="4" t="s">
        <v>146</v>
      </c>
    </row>
    <row r="118" spans="1:1" x14ac:dyDescent="0.3">
      <c r="A118" s="4" t="s">
        <v>147</v>
      </c>
    </row>
    <row r="119" spans="1:1" x14ac:dyDescent="0.3">
      <c r="A119" s="4" t="s">
        <v>148</v>
      </c>
    </row>
    <row r="120" spans="1:1" x14ac:dyDescent="0.3">
      <c r="A120" s="4" t="s">
        <v>149</v>
      </c>
    </row>
    <row r="121" spans="1:1" x14ac:dyDescent="0.3">
      <c r="A121" s="3"/>
    </row>
    <row r="122" spans="1:1" x14ac:dyDescent="0.3">
      <c r="A122" s="4" t="s">
        <v>150</v>
      </c>
    </row>
    <row r="123" spans="1:1" x14ac:dyDescent="0.3">
      <c r="A123" s="4" t="s">
        <v>151</v>
      </c>
    </row>
    <row r="124" spans="1:1" x14ac:dyDescent="0.3">
      <c r="A124" s="4" t="s">
        <v>152</v>
      </c>
    </row>
    <row r="125" spans="1:1" x14ac:dyDescent="0.3">
      <c r="A125" s="4" t="s">
        <v>153</v>
      </c>
    </row>
    <row r="126" spans="1:1" x14ac:dyDescent="0.3">
      <c r="A126" s="4" t="s">
        <v>154</v>
      </c>
    </row>
    <row r="127" spans="1:1" x14ac:dyDescent="0.3">
      <c r="A127" s="3"/>
    </row>
    <row r="128" spans="1:1" x14ac:dyDescent="0.3">
      <c r="A128" s="4" t="s">
        <v>155</v>
      </c>
    </row>
    <row r="129" spans="1:1" x14ac:dyDescent="0.3">
      <c r="A129" s="4" t="s">
        <v>156</v>
      </c>
    </row>
    <row r="130" spans="1:1" x14ac:dyDescent="0.3">
      <c r="A130" s="4" t="s">
        <v>157</v>
      </c>
    </row>
    <row r="131" spans="1:1" x14ac:dyDescent="0.3">
      <c r="A131" s="4" t="s">
        <v>158</v>
      </c>
    </row>
    <row r="132" spans="1:1" x14ac:dyDescent="0.3">
      <c r="A132" s="4" t="s">
        <v>159</v>
      </c>
    </row>
    <row r="133" spans="1:1" x14ac:dyDescent="0.3">
      <c r="A133" s="4" t="s">
        <v>160</v>
      </c>
    </row>
    <row r="134" spans="1:1" x14ac:dyDescent="0.3">
      <c r="A134" s="4" t="s">
        <v>161</v>
      </c>
    </row>
    <row r="135" spans="1:1" x14ac:dyDescent="0.3">
      <c r="A135" s="3"/>
    </row>
    <row r="136" spans="1:1" x14ac:dyDescent="0.3">
      <c r="A136" s="4" t="s">
        <v>162</v>
      </c>
    </row>
    <row r="137" spans="1:1" x14ac:dyDescent="0.3">
      <c r="A137" s="4" t="s">
        <v>163</v>
      </c>
    </row>
    <row r="138" spans="1:1" x14ac:dyDescent="0.3">
      <c r="A138" s="4" t="s">
        <v>164</v>
      </c>
    </row>
    <row r="139" spans="1:1" x14ac:dyDescent="0.3">
      <c r="A139" s="4" t="s">
        <v>165</v>
      </c>
    </row>
    <row r="140" spans="1:1" x14ac:dyDescent="0.3">
      <c r="A140" s="4" t="s">
        <v>166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FDCC9-9D0F-4E6B-8C76-AA5232C29965}">
  <dimension ref="A1:A54"/>
  <sheetViews>
    <sheetView topLeftCell="A22" workbookViewId="0">
      <selection activeCell="A50" sqref="A50"/>
    </sheetView>
  </sheetViews>
  <sheetFormatPr baseColWidth="10" defaultRowHeight="14.4" x14ac:dyDescent="0.3"/>
  <sheetData>
    <row r="1" spans="1:1" x14ac:dyDescent="0.3">
      <c r="A1" s="4" t="s">
        <v>17</v>
      </c>
    </row>
    <row r="2" spans="1:1" x14ac:dyDescent="0.3">
      <c r="A2" s="4" t="s">
        <v>18</v>
      </c>
    </row>
    <row r="3" spans="1:1" x14ac:dyDescent="0.3">
      <c r="A3" s="3"/>
    </row>
    <row r="4" spans="1:1" x14ac:dyDescent="0.3">
      <c r="A4" s="4" t="s">
        <v>19</v>
      </c>
    </row>
    <row r="5" spans="1:1" x14ac:dyDescent="0.3">
      <c r="A5" s="4" t="s">
        <v>20</v>
      </c>
    </row>
    <row r="6" spans="1:1" x14ac:dyDescent="0.3">
      <c r="A6" s="4" t="s">
        <v>21</v>
      </c>
    </row>
    <row r="7" spans="1:1" x14ac:dyDescent="0.3">
      <c r="A7" s="4" t="s">
        <v>22</v>
      </c>
    </row>
    <row r="8" spans="1:1" x14ac:dyDescent="0.3">
      <c r="A8" s="4" t="s">
        <v>23</v>
      </c>
    </row>
    <row r="9" spans="1:1" x14ac:dyDescent="0.3">
      <c r="A9" s="4" t="s">
        <v>24</v>
      </c>
    </row>
    <row r="10" spans="1:1" x14ac:dyDescent="0.3">
      <c r="A10" s="4" t="s">
        <v>25</v>
      </c>
    </row>
    <row r="11" spans="1:1" x14ac:dyDescent="0.3">
      <c r="A11" s="3"/>
    </row>
    <row r="12" spans="1:1" x14ac:dyDescent="0.3">
      <c r="A12" s="4" t="s">
        <v>26</v>
      </c>
    </row>
    <row r="13" spans="1:1" x14ac:dyDescent="0.3">
      <c r="A13" s="4" t="s">
        <v>27</v>
      </c>
    </row>
    <row r="14" spans="1:1" x14ac:dyDescent="0.3">
      <c r="A14" s="3"/>
    </row>
    <row r="15" spans="1:1" x14ac:dyDescent="0.3">
      <c r="A15" s="4" t="s">
        <v>28</v>
      </c>
    </row>
    <row r="16" spans="1:1" x14ac:dyDescent="0.3">
      <c r="A16" s="4" t="s">
        <v>29</v>
      </c>
    </row>
    <row r="17" spans="1:1" x14ac:dyDescent="0.3">
      <c r="A17" s="4" t="s">
        <v>30</v>
      </c>
    </row>
    <row r="18" spans="1:1" x14ac:dyDescent="0.3">
      <c r="A18" s="4" t="s">
        <v>31</v>
      </c>
    </row>
    <row r="19" spans="1:1" x14ac:dyDescent="0.3">
      <c r="A19" s="4" t="s">
        <v>32</v>
      </c>
    </row>
    <row r="20" spans="1:1" x14ac:dyDescent="0.3">
      <c r="A20" s="4" t="s">
        <v>33</v>
      </c>
    </row>
    <row r="21" spans="1:1" x14ac:dyDescent="0.3">
      <c r="A21" s="4" t="s">
        <v>34</v>
      </c>
    </row>
    <row r="22" spans="1:1" x14ac:dyDescent="0.3">
      <c r="A22" s="4" t="s">
        <v>35</v>
      </c>
    </row>
    <row r="23" spans="1:1" x14ac:dyDescent="0.3">
      <c r="A23" s="4" t="s">
        <v>36</v>
      </c>
    </row>
    <row r="24" spans="1:1" x14ac:dyDescent="0.3">
      <c r="A24" s="4" t="s">
        <v>37</v>
      </c>
    </row>
    <row r="25" spans="1:1" x14ac:dyDescent="0.3">
      <c r="A25" s="4" t="s">
        <v>38</v>
      </c>
    </row>
    <row r="26" spans="1:1" x14ac:dyDescent="0.3">
      <c r="A26" s="4" t="s">
        <v>39</v>
      </c>
    </row>
    <row r="27" spans="1:1" x14ac:dyDescent="0.3">
      <c r="A27" s="4" t="s">
        <v>40</v>
      </c>
    </row>
    <row r="28" spans="1:1" x14ac:dyDescent="0.3">
      <c r="A28" s="4" t="s">
        <v>41</v>
      </c>
    </row>
    <row r="29" spans="1:1" x14ac:dyDescent="0.3">
      <c r="A29" s="4" t="s">
        <v>42</v>
      </c>
    </row>
    <row r="30" spans="1:1" x14ac:dyDescent="0.3">
      <c r="A30" s="4" t="s">
        <v>43</v>
      </c>
    </row>
    <row r="31" spans="1:1" x14ac:dyDescent="0.3">
      <c r="A31" s="4" t="s">
        <v>44</v>
      </c>
    </row>
    <row r="32" spans="1:1" x14ac:dyDescent="0.3">
      <c r="A32" s="4" t="s">
        <v>45</v>
      </c>
    </row>
    <row r="33" spans="1:1" x14ac:dyDescent="0.3">
      <c r="A33" s="4" t="s">
        <v>46</v>
      </c>
    </row>
    <row r="34" spans="1:1" x14ac:dyDescent="0.3">
      <c r="A34" s="4" t="s">
        <v>47</v>
      </c>
    </row>
    <row r="35" spans="1:1" x14ac:dyDescent="0.3">
      <c r="A35" s="4" t="s">
        <v>48</v>
      </c>
    </row>
    <row r="36" spans="1:1" x14ac:dyDescent="0.3">
      <c r="A36" s="4" t="s">
        <v>49</v>
      </c>
    </row>
    <row r="37" spans="1:1" x14ac:dyDescent="0.3">
      <c r="A37" s="4" t="s">
        <v>50</v>
      </c>
    </row>
    <row r="38" spans="1:1" x14ac:dyDescent="0.3">
      <c r="A38" s="4" t="s">
        <v>51</v>
      </c>
    </row>
    <row r="39" spans="1:1" x14ac:dyDescent="0.3">
      <c r="A39" s="4" t="s">
        <v>52</v>
      </c>
    </row>
    <row r="40" spans="1:1" x14ac:dyDescent="0.3">
      <c r="A40" s="4" t="s">
        <v>53</v>
      </c>
    </row>
    <row r="41" spans="1:1" x14ac:dyDescent="0.3">
      <c r="A41" s="3"/>
    </row>
    <row r="42" spans="1:1" x14ac:dyDescent="0.3">
      <c r="A42" s="4" t="s">
        <v>54</v>
      </c>
    </row>
    <row r="43" spans="1:1" x14ac:dyDescent="0.3">
      <c r="A43" s="4" t="s">
        <v>55</v>
      </c>
    </row>
    <row r="44" spans="1:1" x14ac:dyDescent="0.3">
      <c r="A44" s="3"/>
    </row>
    <row r="45" spans="1:1" x14ac:dyDescent="0.3">
      <c r="A45" s="4" t="s">
        <v>56</v>
      </c>
    </row>
    <row r="47" spans="1:1" x14ac:dyDescent="0.3">
      <c r="A47" s="4" t="s">
        <v>215</v>
      </c>
    </row>
    <row r="48" spans="1:1" x14ac:dyDescent="0.3">
      <c r="A48" s="4" t="s">
        <v>216</v>
      </c>
    </row>
    <row r="49" spans="1:1" x14ac:dyDescent="0.3">
      <c r="A49" s="3"/>
    </row>
    <row r="50" spans="1:1" x14ac:dyDescent="0.3">
      <c r="A50" s="4" t="s">
        <v>217</v>
      </c>
    </row>
    <row r="51" spans="1:1" x14ac:dyDescent="0.3">
      <c r="A51" s="4" t="s">
        <v>218</v>
      </c>
    </row>
    <row r="52" spans="1:1" x14ac:dyDescent="0.3">
      <c r="A52" s="3"/>
    </row>
    <row r="53" spans="1:1" x14ac:dyDescent="0.3">
      <c r="A53" s="4" t="s">
        <v>219</v>
      </c>
    </row>
    <row r="54" spans="1:1" x14ac:dyDescent="0.3">
      <c r="A54" s="4" t="s">
        <v>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Ejemplos y otros valores</vt:lpstr>
      <vt:lpstr>Hoja1</vt:lpstr>
      <vt:lpstr>Calculos Nutricionales</vt:lpstr>
      <vt:lpstr>Modelos</vt:lpstr>
      <vt:lpstr>No significativas y desgloce</vt:lpstr>
      <vt:lpstr>Valores Diarios de referencia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Joaquín Torres</dc:creator>
  <cp:lastModifiedBy>Joaquín Torres</cp:lastModifiedBy>
  <dcterms:created xsi:type="dcterms:W3CDTF">2025-12-10T15:07:02Z</dcterms:created>
  <dcterms:modified xsi:type="dcterms:W3CDTF">2025-12-12T16:01:06Z</dcterms:modified>
</cp:coreProperties>
</file>